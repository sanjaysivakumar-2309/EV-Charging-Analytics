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4AE8D9AC63A6DB/Documents/"/>
    </mc:Choice>
  </mc:AlternateContent>
  <xr:revisionPtr revIDLastSave="51" documentId="8_{50394A88-CFC6-4A1F-8131-C6FD16187FB2}" xr6:coauthVersionLast="47" xr6:coauthVersionMax="47" xr10:uidLastSave="{F8CABE6E-AC56-4C6A-A4CF-6280394C65FE}"/>
  <bookViews>
    <workbookView xWindow="-108" yWindow="-108" windowWidth="23256" windowHeight="13176" xr2:uid="{138B8440-31C6-4252-BD09-285A500445B1}"/>
  </bookViews>
  <sheets>
    <sheet name="ev_charging_data" sheetId="1" r:id="rId1"/>
  </sheets>
  <definedNames>
    <definedName name="_xlnm._FilterDatabase" localSheetId="0" hidden="1">ev_charging_data!$A$1:$X$2001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E2" i="1"/>
  <c r="D2" i="1" s="1"/>
  <c r="E3" i="1"/>
  <c r="D3" i="1" s="1"/>
  <c r="E4" i="1"/>
  <c r="D4" i="1" s="1"/>
  <c r="E5" i="1"/>
  <c r="D5" i="1" s="1"/>
  <c r="E6" i="1"/>
  <c r="D6" i="1" s="1"/>
  <c r="E7" i="1"/>
  <c r="D7" i="1" s="1"/>
  <c r="E8" i="1"/>
  <c r="D8" i="1" s="1"/>
  <c r="E9" i="1"/>
  <c r="D9" i="1" s="1"/>
  <c r="E10" i="1"/>
  <c r="D10" i="1" s="1"/>
  <c r="E11" i="1"/>
  <c r="D11" i="1" s="1"/>
  <c r="E12" i="1"/>
  <c r="D12" i="1" s="1"/>
  <c r="E13" i="1"/>
  <c r="D13" i="1" s="1"/>
  <c r="E14" i="1"/>
  <c r="D14" i="1" s="1"/>
  <c r="E15" i="1"/>
  <c r="D15" i="1" s="1"/>
  <c r="E16" i="1"/>
  <c r="D16" i="1" s="1"/>
  <c r="E17" i="1"/>
  <c r="D17" i="1" s="1"/>
  <c r="E18" i="1"/>
  <c r="D18" i="1" s="1"/>
  <c r="E19" i="1"/>
  <c r="D19" i="1" s="1"/>
  <c r="E20" i="1"/>
  <c r="D20" i="1" s="1"/>
  <c r="E21" i="1"/>
  <c r="D21" i="1" s="1"/>
  <c r="E22" i="1"/>
  <c r="D22" i="1" s="1"/>
  <c r="E23" i="1"/>
  <c r="D23" i="1" s="1"/>
  <c r="E24" i="1"/>
  <c r="D24" i="1" s="1"/>
  <c r="E25" i="1"/>
  <c r="D25" i="1" s="1"/>
  <c r="E26" i="1"/>
  <c r="D26" i="1" s="1"/>
  <c r="E27" i="1"/>
  <c r="D27" i="1" s="1"/>
  <c r="E28" i="1"/>
  <c r="D28" i="1" s="1"/>
  <c r="E29" i="1"/>
  <c r="D29" i="1" s="1"/>
  <c r="E30" i="1"/>
  <c r="D30" i="1" s="1"/>
  <c r="E31" i="1"/>
  <c r="D31" i="1" s="1"/>
  <c r="E32" i="1"/>
  <c r="D32" i="1" s="1"/>
  <c r="E33" i="1"/>
  <c r="D33" i="1" s="1"/>
  <c r="E34" i="1"/>
  <c r="D34" i="1" s="1"/>
  <c r="E35" i="1"/>
  <c r="D35" i="1" s="1"/>
  <c r="E36" i="1"/>
  <c r="D36" i="1" s="1"/>
  <c r="E37" i="1"/>
  <c r="D37" i="1" s="1"/>
  <c r="E38" i="1"/>
  <c r="D38" i="1" s="1"/>
  <c r="E39" i="1"/>
  <c r="D39" i="1" s="1"/>
  <c r="E40" i="1"/>
  <c r="D40" i="1" s="1"/>
  <c r="E41" i="1"/>
  <c r="D41" i="1" s="1"/>
  <c r="E42" i="1"/>
  <c r="D42" i="1" s="1"/>
  <c r="E43" i="1"/>
  <c r="D43" i="1" s="1"/>
  <c r="E44" i="1"/>
  <c r="D44" i="1" s="1"/>
  <c r="E45" i="1"/>
  <c r="D45" i="1" s="1"/>
  <c r="E46" i="1"/>
  <c r="D46" i="1" s="1"/>
  <c r="E47" i="1"/>
  <c r="D47" i="1" s="1"/>
  <c r="E48" i="1"/>
  <c r="D48" i="1" s="1"/>
  <c r="E49" i="1"/>
  <c r="D49" i="1" s="1"/>
  <c r="E50" i="1"/>
  <c r="D50" i="1" s="1"/>
  <c r="E51" i="1"/>
  <c r="D51" i="1" s="1"/>
  <c r="E52" i="1"/>
  <c r="D52" i="1" s="1"/>
  <c r="E53" i="1"/>
  <c r="D53" i="1" s="1"/>
  <c r="E54" i="1"/>
  <c r="D54" i="1" s="1"/>
  <c r="E55" i="1"/>
  <c r="D55" i="1" s="1"/>
  <c r="E56" i="1"/>
  <c r="D56" i="1" s="1"/>
  <c r="E57" i="1"/>
  <c r="D57" i="1" s="1"/>
  <c r="E58" i="1"/>
  <c r="D58" i="1" s="1"/>
  <c r="E59" i="1"/>
  <c r="D59" i="1" s="1"/>
  <c r="E60" i="1"/>
  <c r="D60" i="1" s="1"/>
  <c r="E61" i="1"/>
  <c r="D61" i="1" s="1"/>
  <c r="E62" i="1"/>
  <c r="D62" i="1" s="1"/>
  <c r="E63" i="1"/>
  <c r="D63" i="1" s="1"/>
  <c r="E64" i="1"/>
  <c r="D64" i="1" s="1"/>
  <c r="E65" i="1"/>
  <c r="D65" i="1" s="1"/>
  <c r="E66" i="1"/>
  <c r="D66" i="1" s="1"/>
  <c r="E67" i="1"/>
  <c r="D67" i="1" s="1"/>
  <c r="E68" i="1"/>
  <c r="D68" i="1" s="1"/>
  <c r="E69" i="1"/>
  <c r="D69" i="1" s="1"/>
  <c r="E70" i="1"/>
  <c r="D70" i="1" s="1"/>
  <c r="E71" i="1"/>
  <c r="D71" i="1" s="1"/>
  <c r="E72" i="1"/>
  <c r="D72" i="1" s="1"/>
  <c r="E73" i="1"/>
  <c r="D73" i="1" s="1"/>
  <c r="E74" i="1"/>
  <c r="D74" i="1" s="1"/>
  <c r="E75" i="1"/>
  <c r="D75" i="1" s="1"/>
  <c r="E76" i="1"/>
  <c r="D76" i="1" s="1"/>
  <c r="E77" i="1"/>
  <c r="D77" i="1" s="1"/>
  <c r="E78" i="1"/>
  <c r="D78" i="1" s="1"/>
  <c r="E79" i="1"/>
  <c r="D79" i="1" s="1"/>
  <c r="E80" i="1"/>
  <c r="D80" i="1" s="1"/>
  <c r="E81" i="1"/>
  <c r="D81" i="1" s="1"/>
  <c r="E82" i="1"/>
  <c r="D82" i="1" s="1"/>
  <c r="E83" i="1"/>
  <c r="D83" i="1" s="1"/>
  <c r="E84" i="1"/>
  <c r="D84" i="1" s="1"/>
  <c r="E85" i="1"/>
  <c r="D85" i="1" s="1"/>
  <c r="E86" i="1"/>
  <c r="D86" i="1" s="1"/>
  <c r="E87" i="1"/>
  <c r="D87" i="1" s="1"/>
  <c r="E88" i="1"/>
  <c r="D88" i="1" s="1"/>
  <c r="E89" i="1"/>
  <c r="D89" i="1" s="1"/>
  <c r="E90" i="1"/>
  <c r="D90" i="1" s="1"/>
  <c r="E91" i="1"/>
  <c r="D91" i="1" s="1"/>
  <c r="E92" i="1"/>
  <c r="D92" i="1" s="1"/>
  <c r="E93" i="1"/>
  <c r="D93" i="1" s="1"/>
  <c r="E94" i="1"/>
  <c r="D94" i="1" s="1"/>
  <c r="E95" i="1"/>
  <c r="D95" i="1" s="1"/>
  <c r="E96" i="1"/>
  <c r="D96" i="1" s="1"/>
  <c r="E97" i="1"/>
  <c r="D97" i="1" s="1"/>
  <c r="E98" i="1"/>
  <c r="D98" i="1" s="1"/>
  <c r="E99" i="1"/>
  <c r="D99" i="1" s="1"/>
  <c r="E100" i="1"/>
  <c r="D100" i="1" s="1"/>
  <c r="E101" i="1"/>
  <c r="D101" i="1" s="1"/>
  <c r="E102" i="1"/>
  <c r="D102" i="1" s="1"/>
  <c r="E103" i="1"/>
  <c r="D103" i="1" s="1"/>
  <c r="E104" i="1"/>
  <c r="D104" i="1" s="1"/>
  <c r="E105" i="1"/>
  <c r="D105" i="1" s="1"/>
  <c r="E106" i="1"/>
  <c r="D106" i="1" s="1"/>
  <c r="E107" i="1"/>
  <c r="D107" i="1" s="1"/>
  <c r="E108" i="1"/>
  <c r="D108" i="1" s="1"/>
  <c r="E109" i="1"/>
  <c r="D109" i="1" s="1"/>
  <c r="E110" i="1"/>
  <c r="D110" i="1" s="1"/>
  <c r="E111" i="1"/>
  <c r="D111" i="1" s="1"/>
  <c r="E112" i="1"/>
  <c r="D112" i="1" s="1"/>
  <c r="E113" i="1"/>
  <c r="D113" i="1" s="1"/>
  <c r="E114" i="1"/>
  <c r="D114" i="1" s="1"/>
  <c r="E115" i="1"/>
  <c r="D115" i="1" s="1"/>
  <c r="E116" i="1"/>
  <c r="D116" i="1" s="1"/>
  <c r="E117" i="1"/>
  <c r="D117" i="1" s="1"/>
  <c r="E118" i="1"/>
  <c r="D118" i="1" s="1"/>
  <c r="E119" i="1"/>
  <c r="D119" i="1" s="1"/>
  <c r="E120" i="1"/>
  <c r="D120" i="1" s="1"/>
  <c r="E121" i="1"/>
  <c r="D121" i="1" s="1"/>
  <c r="E122" i="1"/>
  <c r="D122" i="1" s="1"/>
  <c r="E123" i="1"/>
  <c r="D123" i="1" s="1"/>
  <c r="E124" i="1"/>
  <c r="D124" i="1" s="1"/>
  <c r="E125" i="1"/>
  <c r="D125" i="1" s="1"/>
  <c r="E126" i="1"/>
  <c r="D126" i="1" s="1"/>
  <c r="E127" i="1"/>
  <c r="D127" i="1" s="1"/>
  <c r="E128" i="1"/>
  <c r="D128" i="1" s="1"/>
  <c r="E129" i="1"/>
  <c r="D129" i="1" s="1"/>
  <c r="E130" i="1"/>
  <c r="D130" i="1" s="1"/>
  <c r="E131" i="1"/>
  <c r="D131" i="1" s="1"/>
  <c r="E132" i="1"/>
  <c r="D132" i="1" s="1"/>
  <c r="E133" i="1"/>
  <c r="D133" i="1" s="1"/>
  <c r="E134" i="1"/>
  <c r="D134" i="1" s="1"/>
  <c r="E135" i="1"/>
  <c r="D135" i="1" s="1"/>
  <c r="E136" i="1"/>
  <c r="D136" i="1" s="1"/>
  <c r="E137" i="1"/>
  <c r="D137" i="1" s="1"/>
  <c r="E138" i="1"/>
  <c r="D138" i="1" s="1"/>
  <c r="E139" i="1"/>
  <c r="D139" i="1" s="1"/>
  <c r="E140" i="1"/>
  <c r="D140" i="1" s="1"/>
  <c r="E141" i="1"/>
  <c r="D141" i="1" s="1"/>
  <c r="E142" i="1"/>
  <c r="D142" i="1" s="1"/>
  <c r="E143" i="1"/>
  <c r="D143" i="1" s="1"/>
  <c r="E144" i="1"/>
  <c r="D144" i="1" s="1"/>
  <c r="E145" i="1"/>
  <c r="D145" i="1" s="1"/>
  <c r="E146" i="1"/>
  <c r="D146" i="1" s="1"/>
  <c r="E147" i="1"/>
  <c r="D147" i="1" s="1"/>
  <c r="E148" i="1"/>
  <c r="D148" i="1" s="1"/>
  <c r="E149" i="1"/>
  <c r="D149" i="1" s="1"/>
  <c r="E150" i="1"/>
  <c r="D150" i="1" s="1"/>
  <c r="E151" i="1"/>
  <c r="D151" i="1" s="1"/>
  <c r="E152" i="1"/>
  <c r="D152" i="1" s="1"/>
  <c r="E153" i="1"/>
  <c r="D153" i="1" s="1"/>
  <c r="E154" i="1"/>
  <c r="D154" i="1" s="1"/>
  <c r="E155" i="1"/>
  <c r="D155" i="1" s="1"/>
  <c r="E156" i="1"/>
  <c r="D156" i="1" s="1"/>
  <c r="E157" i="1"/>
  <c r="D157" i="1" s="1"/>
  <c r="E158" i="1"/>
  <c r="D158" i="1" s="1"/>
  <c r="E159" i="1"/>
  <c r="D159" i="1" s="1"/>
  <c r="E160" i="1"/>
  <c r="D160" i="1" s="1"/>
  <c r="E161" i="1"/>
  <c r="D161" i="1" s="1"/>
  <c r="E162" i="1"/>
  <c r="D162" i="1" s="1"/>
  <c r="E163" i="1"/>
  <c r="D163" i="1" s="1"/>
  <c r="E164" i="1"/>
  <c r="D164" i="1" s="1"/>
  <c r="E165" i="1"/>
  <c r="D165" i="1" s="1"/>
  <c r="E166" i="1"/>
  <c r="D166" i="1" s="1"/>
  <c r="E167" i="1"/>
  <c r="D167" i="1" s="1"/>
  <c r="E168" i="1"/>
  <c r="D168" i="1" s="1"/>
  <c r="E169" i="1"/>
  <c r="D169" i="1" s="1"/>
  <c r="E170" i="1"/>
  <c r="D170" i="1" s="1"/>
  <c r="E171" i="1"/>
  <c r="D171" i="1" s="1"/>
  <c r="E172" i="1"/>
  <c r="D172" i="1" s="1"/>
  <c r="E173" i="1"/>
  <c r="D173" i="1" s="1"/>
  <c r="E174" i="1"/>
  <c r="D174" i="1" s="1"/>
  <c r="E175" i="1"/>
  <c r="D175" i="1" s="1"/>
  <c r="E176" i="1"/>
  <c r="D176" i="1" s="1"/>
  <c r="E177" i="1"/>
  <c r="D177" i="1" s="1"/>
  <c r="E178" i="1"/>
  <c r="D178" i="1" s="1"/>
  <c r="E179" i="1"/>
  <c r="D179" i="1" s="1"/>
  <c r="E180" i="1"/>
  <c r="D180" i="1" s="1"/>
  <c r="E181" i="1"/>
  <c r="D181" i="1" s="1"/>
  <c r="E182" i="1"/>
  <c r="D182" i="1" s="1"/>
  <c r="E183" i="1"/>
  <c r="D183" i="1" s="1"/>
  <c r="E184" i="1"/>
  <c r="D184" i="1" s="1"/>
  <c r="E185" i="1"/>
  <c r="D185" i="1" s="1"/>
  <c r="E186" i="1"/>
  <c r="D186" i="1" s="1"/>
  <c r="E187" i="1"/>
  <c r="D187" i="1" s="1"/>
  <c r="E188" i="1"/>
  <c r="D188" i="1" s="1"/>
  <c r="E189" i="1"/>
  <c r="D189" i="1" s="1"/>
  <c r="E190" i="1"/>
  <c r="D190" i="1" s="1"/>
  <c r="E191" i="1"/>
  <c r="D191" i="1" s="1"/>
  <c r="E192" i="1"/>
  <c r="D192" i="1" s="1"/>
  <c r="E193" i="1"/>
  <c r="D193" i="1" s="1"/>
  <c r="E194" i="1"/>
  <c r="D194" i="1" s="1"/>
  <c r="E195" i="1"/>
  <c r="D195" i="1" s="1"/>
  <c r="E196" i="1"/>
  <c r="D196" i="1" s="1"/>
  <c r="E197" i="1"/>
  <c r="D197" i="1" s="1"/>
  <c r="E198" i="1"/>
  <c r="D198" i="1" s="1"/>
  <c r="E199" i="1"/>
  <c r="D199" i="1" s="1"/>
  <c r="E200" i="1"/>
  <c r="D200" i="1" s="1"/>
  <c r="E201" i="1"/>
  <c r="D201" i="1" s="1"/>
  <c r="E202" i="1"/>
  <c r="D202" i="1" s="1"/>
  <c r="E203" i="1"/>
  <c r="D203" i="1" s="1"/>
  <c r="E204" i="1"/>
  <c r="D204" i="1" s="1"/>
  <c r="E205" i="1"/>
  <c r="D205" i="1" s="1"/>
  <c r="E206" i="1"/>
  <c r="D206" i="1" s="1"/>
  <c r="E207" i="1"/>
  <c r="D207" i="1" s="1"/>
  <c r="E208" i="1"/>
  <c r="D208" i="1" s="1"/>
  <c r="E209" i="1"/>
  <c r="D209" i="1" s="1"/>
  <c r="E210" i="1"/>
  <c r="D210" i="1" s="1"/>
  <c r="E211" i="1"/>
  <c r="D211" i="1" s="1"/>
  <c r="E212" i="1"/>
  <c r="D212" i="1" s="1"/>
  <c r="E213" i="1"/>
  <c r="D213" i="1" s="1"/>
  <c r="E214" i="1"/>
  <c r="D214" i="1" s="1"/>
  <c r="E215" i="1"/>
  <c r="D215" i="1" s="1"/>
  <c r="E216" i="1"/>
  <c r="D216" i="1" s="1"/>
  <c r="E217" i="1"/>
  <c r="D217" i="1" s="1"/>
  <c r="E218" i="1"/>
  <c r="D218" i="1" s="1"/>
  <c r="E219" i="1"/>
  <c r="D219" i="1" s="1"/>
  <c r="E220" i="1"/>
  <c r="D220" i="1" s="1"/>
  <c r="E221" i="1"/>
  <c r="D221" i="1" s="1"/>
  <c r="E222" i="1"/>
  <c r="D222" i="1" s="1"/>
  <c r="E223" i="1"/>
  <c r="D223" i="1" s="1"/>
  <c r="E224" i="1"/>
  <c r="D224" i="1" s="1"/>
  <c r="E225" i="1"/>
  <c r="D225" i="1" s="1"/>
  <c r="E226" i="1"/>
  <c r="D226" i="1" s="1"/>
  <c r="E227" i="1"/>
  <c r="D227" i="1" s="1"/>
  <c r="E228" i="1"/>
  <c r="D228" i="1" s="1"/>
  <c r="E229" i="1"/>
  <c r="D229" i="1" s="1"/>
  <c r="E230" i="1"/>
  <c r="D230" i="1" s="1"/>
  <c r="E231" i="1"/>
  <c r="D231" i="1" s="1"/>
  <c r="E232" i="1"/>
  <c r="D232" i="1" s="1"/>
  <c r="E233" i="1"/>
  <c r="D233" i="1" s="1"/>
  <c r="E234" i="1"/>
  <c r="D234" i="1" s="1"/>
  <c r="E235" i="1"/>
  <c r="D235" i="1" s="1"/>
  <c r="E236" i="1"/>
  <c r="D236" i="1" s="1"/>
  <c r="E237" i="1"/>
  <c r="D237" i="1" s="1"/>
  <c r="E238" i="1"/>
  <c r="D238" i="1" s="1"/>
  <c r="E239" i="1"/>
  <c r="D239" i="1" s="1"/>
  <c r="E240" i="1"/>
  <c r="D240" i="1" s="1"/>
  <c r="E241" i="1"/>
  <c r="D241" i="1" s="1"/>
  <c r="E242" i="1"/>
  <c r="D242" i="1" s="1"/>
  <c r="E243" i="1"/>
  <c r="D243" i="1" s="1"/>
  <c r="E244" i="1"/>
  <c r="D244" i="1" s="1"/>
  <c r="E245" i="1"/>
  <c r="D245" i="1" s="1"/>
  <c r="E246" i="1"/>
  <c r="D246" i="1" s="1"/>
  <c r="E247" i="1"/>
  <c r="D247" i="1" s="1"/>
  <c r="E248" i="1"/>
  <c r="D248" i="1" s="1"/>
  <c r="E249" i="1"/>
  <c r="D249" i="1" s="1"/>
  <c r="E250" i="1"/>
  <c r="D250" i="1" s="1"/>
  <c r="E251" i="1"/>
  <c r="D251" i="1" s="1"/>
  <c r="E252" i="1"/>
  <c r="D252" i="1" s="1"/>
  <c r="E253" i="1"/>
  <c r="D253" i="1" s="1"/>
  <c r="E254" i="1"/>
  <c r="D254" i="1" s="1"/>
  <c r="E255" i="1"/>
  <c r="D255" i="1" s="1"/>
  <c r="E256" i="1"/>
  <c r="D256" i="1" s="1"/>
  <c r="E257" i="1"/>
  <c r="D257" i="1" s="1"/>
  <c r="E258" i="1"/>
  <c r="D258" i="1" s="1"/>
  <c r="E259" i="1"/>
  <c r="D259" i="1" s="1"/>
  <c r="E260" i="1"/>
  <c r="D260" i="1" s="1"/>
  <c r="E261" i="1"/>
  <c r="D261" i="1" s="1"/>
  <c r="E262" i="1"/>
  <c r="D262" i="1" s="1"/>
  <c r="E263" i="1"/>
  <c r="D263" i="1" s="1"/>
  <c r="E264" i="1"/>
  <c r="D264" i="1" s="1"/>
  <c r="E265" i="1"/>
  <c r="D265" i="1" s="1"/>
  <c r="E266" i="1"/>
  <c r="D266" i="1" s="1"/>
  <c r="E267" i="1"/>
  <c r="D267" i="1" s="1"/>
  <c r="E268" i="1"/>
  <c r="D268" i="1" s="1"/>
  <c r="E269" i="1"/>
  <c r="D269" i="1" s="1"/>
  <c r="E270" i="1"/>
  <c r="D270" i="1" s="1"/>
  <c r="E271" i="1"/>
  <c r="D271" i="1" s="1"/>
  <c r="E272" i="1"/>
  <c r="D272" i="1" s="1"/>
  <c r="E273" i="1"/>
  <c r="D273" i="1" s="1"/>
  <c r="E274" i="1"/>
  <c r="D274" i="1" s="1"/>
  <c r="E275" i="1"/>
  <c r="D275" i="1" s="1"/>
  <c r="E276" i="1"/>
  <c r="D276" i="1" s="1"/>
  <c r="E277" i="1"/>
  <c r="D277" i="1" s="1"/>
  <c r="E278" i="1"/>
  <c r="D278" i="1" s="1"/>
  <c r="E279" i="1"/>
  <c r="D279" i="1" s="1"/>
  <c r="E280" i="1"/>
  <c r="D280" i="1" s="1"/>
  <c r="E281" i="1"/>
  <c r="D281" i="1" s="1"/>
  <c r="E282" i="1"/>
  <c r="D282" i="1" s="1"/>
  <c r="E283" i="1"/>
  <c r="D283" i="1" s="1"/>
  <c r="E284" i="1"/>
  <c r="D284" i="1" s="1"/>
  <c r="E285" i="1"/>
  <c r="D285" i="1" s="1"/>
  <c r="E286" i="1"/>
  <c r="D286" i="1" s="1"/>
  <c r="E287" i="1"/>
  <c r="D287" i="1" s="1"/>
  <c r="E288" i="1"/>
  <c r="D288" i="1" s="1"/>
  <c r="E289" i="1"/>
  <c r="D289" i="1" s="1"/>
  <c r="E290" i="1"/>
  <c r="D290" i="1" s="1"/>
  <c r="E291" i="1"/>
  <c r="D291" i="1" s="1"/>
  <c r="E292" i="1"/>
  <c r="D292" i="1" s="1"/>
  <c r="E293" i="1"/>
  <c r="D293" i="1" s="1"/>
  <c r="E294" i="1"/>
  <c r="D294" i="1" s="1"/>
  <c r="E295" i="1"/>
  <c r="D295" i="1" s="1"/>
  <c r="E296" i="1"/>
  <c r="D296" i="1" s="1"/>
  <c r="E297" i="1"/>
  <c r="D297" i="1" s="1"/>
  <c r="E298" i="1"/>
  <c r="D298" i="1" s="1"/>
  <c r="E299" i="1"/>
  <c r="D299" i="1" s="1"/>
  <c r="E300" i="1"/>
  <c r="D300" i="1" s="1"/>
  <c r="E301" i="1"/>
  <c r="D301" i="1" s="1"/>
  <c r="E302" i="1"/>
  <c r="D302" i="1" s="1"/>
  <c r="E303" i="1"/>
  <c r="D303" i="1" s="1"/>
  <c r="E304" i="1"/>
  <c r="D304" i="1" s="1"/>
  <c r="E305" i="1"/>
  <c r="D305" i="1" s="1"/>
  <c r="E306" i="1"/>
  <c r="D306" i="1" s="1"/>
  <c r="E307" i="1"/>
  <c r="D307" i="1" s="1"/>
  <c r="E308" i="1"/>
  <c r="D308" i="1" s="1"/>
  <c r="E309" i="1"/>
  <c r="D309" i="1" s="1"/>
  <c r="E310" i="1"/>
  <c r="D310" i="1" s="1"/>
  <c r="E311" i="1"/>
  <c r="D311" i="1" s="1"/>
  <c r="E312" i="1"/>
  <c r="D312" i="1" s="1"/>
  <c r="E313" i="1"/>
  <c r="D313" i="1" s="1"/>
  <c r="E314" i="1"/>
  <c r="D314" i="1" s="1"/>
  <c r="E315" i="1"/>
  <c r="D315" i="1" s="1"/>
  <c r="E316" i="1"/>
  <c r="D316" i="1" s="1"/>
  <c r="E317" i="1"/>
  <c r="D317" i="1" s="1"/>
  <c r="E318" i="1"/>
  <c r="D318" i="1" s="1"/>
  <c r="E319" i="1"/>
  <c r="D319" i="1" s="1"/>
  <c r="E320" i="1"/>
  <c r="D320" i="1" s="1"/>
  <c r="E321" i="1"/>
  <c r="D321" i="1" s="1"/>
  <c r="E322" i="1"/>
  <c r="D322" i="1" s="1"/>
  <c r="E323" i="1"/>
  <c r="D323" i="1" s="1"/>
  <c r="E324" i="1"/>
  <c r="D324" i="1" s="1"/>
  <c r="E325" i="1"/>
  <c r="D325" i="1" s="1"/>
  <c r="E326" i="1"/>
  <c r="D326" i="1" s="1"/>
  <c r="E327" i="1"/>
  <c r="D327" i="1" s="1"/>
  <c r="E328" i="1"/>
  <c r="D328" i="1" s="1"/>
  <c r="E329" i="1"/>
  <c r="D329" i="1" s="1"/>
  <c r="E330" i="1"/>
  <c r="D330" i="1" s="1"/>
  <c r="E331" i="1"/>
  <c r="D331" i="1" s="1"/>
  <c r="E332" i="1"/>
  <c r="D332" i="1" s="1"/>
  <c r="E333" i="1"/>
  <c r="D333" i="1" s="1"/>
  <c r="E334" i="1"/>
  <c r="D334" i="1" s="1"/>
  <c r="E335" i="1"/>
  <c r="D335" i="1" s="1"/>
  <c r="E336" i="1"/>
  <c r="D336" i="1" s="1"/>
  <c r="E337" i="1"/>
  <c r="D337" i="1" s="1"/>
  <c r="E338" i="1"/>
  <c r="D338" i="1" s="1"/>
  <c r="E339" i="1"/>
  <c r="D339" i="1" s="1"/>
  <c r="E340" i="1"/>
  <c r="D340" i="1" s="1"/>
  <c r="E341" i="1"/>
  <c r="D341" i="1" s="1"/>
  <c r="E342" i="1"/>
  <c r="D342" i="1" s="1"/>
  <c r="E343" i="1"/>
  <c r="D343" i="1" s="1"/>
  <c r="E344" i="1"/>
  <c r="D344" i="1" s="1"/>
  <c r="E345" i="1"/>
  <c r="D345" i="1" s="1"/>
  <c r="E346" i="1"/>
  <c r="D346" i="1" s="1"/>
  <c r="E347" i="1"/>
  <c r="D347" i="1" s="1"/>
  <c r="E348" i="1"/>
  <c r="D348" i="1" s="1"/>
  <c r="E349" i="1"/>
  <c r="D349" i="1" s="1"/>
  <c r="E350" i="1"/>
  <c r="D350" i="1" s="1"/>
  <c r="E351" i="1"/>
  <c r="D351" i="1" s="1"/>
  <c r="E352" i="1"/>
  <c r="D352" i="1" s="1"/>
  <c r="E353" i="1"/>
  <c r="D353" i="1" s="1"/>
  <c r="E354" i="1"/>
  <c r="D354" i="1" s="1"/>
  <c r="E355" i="1"/>
  <c r="D355" i="1" s="1"/>
  <c r="E356" i="1"/>
  <c r="D356" i="1" s="1"/>
  <c r="E357" i="1"/>
  <c r="D357" i="1" s="1"/>
  <c r="E358" i="1"/>
  <c r="D358" i="1" s="1"/>
  <c r="E359" i="1"/>
  <c r="D359" i="1" s="1"/>
  <c r="E360" i="1"/>
  <c r="D360" i="1" s="1"/>
  <c r="E361" i="1"/>
  <c r="D361" i="1" s="1"/>
  <c r="E362" i="1"/>
  <c r="D362" i="1" s="1"/>
  <c r="E363" i="1"/>
  <c r="D363" i="1" s="1"/>
  <c r="E364" i="1"/>
  <c r="D364" i="1" s="1"/>
  <c r="E365" i="1"/>
  <c r="D365" i="1" s="1"/>
  <c r="E366" i="1"/>
  <c r="D366" i="1" s="1"/>
  <c r="E367" i="1"/>
  <c r="D367" i="1" s="1"/>
  <c r="E368" i="1"/>
  <c r="D368" i="1" s="1"/>
  <c r="E369" i="1"/>
  <c r="D369" i="1" s="1"/>
  <c r="E370" i="1"/>
  <c r="D370" i="1" s="1"/>
  <c r="E371" i="1"/>
  <c r="D371" i="1" s="1"/>
  <c r="E372" i="1"/>
  <c r="D372" i="1" s="1"/>
  <c r="E373" i="1"/>
  <c r="D373" i="1" s="1"/>
  <c r="E374" i="1"/>
  <c r="D374" i="1" s="1"/>
  <c r="E375" i="1"/>
  <c r="D375" i="1" s="1"/>
  <c r="E376" i="1"/>
  <c r="D376" i="1" s="1"/>
  <c r="E377" i="1"/>
  <c r="D377" i="1" s="1"/>
  <c r="E378" i="1"/>
  <c r="D378" i="1" s="1"/>
  <c r="E379" i="1"/>
  <c r="D379" i="1" s="1"/>
  <c r="E380" i="1"/>
  <c r="D380" i="1" s="1"/>
  <c r="E381" i="1"/>
  <c r="D381" i="1" s="1"/>
  <c r="E382" i="1"/>
  <c r="D382" i="1" s="1"/>
  <c r="E383" i="1"/>
  <c r="D383" i="1" s="1"/>
  <c r="E384" i="1"/>
  <c r="D384" i="1" s="1"/>
  <c r="E385" i="1"/>
  <c r="D385" i="1" s="1"/>
  <c r="E386" i="1"/>
  <c r="D386" i="1" s="1"/>
  <c r="E387" i="1"/>
  <c r="D387" i="1" s="1"/>
  <c r="E388" i="1"/>
  <c r="D388" i="1" s="1"/>
  <c r="E389" i="1"/>
  <c r="D389" i="1" s="1"/>
  <c r="E390" i="1"/>
  <c r="D390" i="1" s="1"/>
  <c r="E391" i="1"/>
  <c r="D391" i="1" s="1"/>
  <c r="E392" i="1"/>
  <c r="D392" i="1" s="1"/>
  <c r="E393" i="1"/>
  <c r="D393" i="1" s="1"/>
  <c r="E394" i="1"/>
  <c r="D394" i="1" s="1"/>
  <c r="E395" i="1"/>
  <c r="D395" i="1" s="1"/>
  <c r="E396" i="1"/>
  <c r="D396" i="1" s="1"/>
  <c r="E397" i="1"/>
  <c r="D397" i="1" s="1"/>
  <c r="E398" i="1"/>
  <c r="D398" i="1" s="1"/>
  <c r="E399" i="1"/>
  <c r="D399" i="1" s="1"/>
  <c r="E400" i="1"/>
  <c r="D400" i="1" s="1"/>
  <c r="E401" i="1"/>
  <c r="D401" i="1" s="1"/>
  <c r="E402" i="1"/>
  <c r="D402" i="1" s="1"/>
  <c r="E403" i="1"/>
  <c r="D403" i="1" s="1"/>
  <c r="E404" i="1"/>
  <c r="D404" i="1" s="1"/>
  <c r="E405" i="1"/>
  <c r="D405" i="1" s="1"/>
  <c r="E406" i="1"/>
  <c r="D406" i="1" s="1"/>
  <c r="E407" i="1"/>
  <c r="D407" i="1" s="1"/>
  <c r="E408" i="1"/>
  <c r="D408" i="1" s="1"/>
  <c r="E409" i="1"/>
  <c r="D409" i="1" s="1"/>
  <c r="E410" i="1"/>
  <c r="D410" i="1" s="1"/>
  <c r="E411" i="1"/>
  <c r="D411" i="1" s="1"/>
  <c r="E412" i="1"/>
  <c r="D412" i="1" s="1"/>
  <c r="E413" i="1"/>
  <c r="D413" i="1" s="1"/>
  <c r="E414" i="1"/>
  <c r="D414" i="1" s="1"/>
  <c r="E415" i="1"/>
  <c r="D415" i="1" s="1"/>
  <c r="E416" i="1"/>
  <c r="D416" i="1" s="1"/>
  <c r="E417" i="1"/>
  <c r="D417" i="1" s="1"/>
  <c r="E418" i="1"/>
  <c r="D418" i="1" s="1"/>
  <c r="E419" i="1"/>
  <c r="D419" i="1" s="1"/>
  <c r="E420" i="1"/>
  <c r="D420" i="1" s="1"/>
  <c r="E421" i="1"/>
  <c r="D421" i="1" s="1"/>
  <c r="E422" i="1"/>
  <c r="D422" i="1" s="1"/>
  <c r="E423" i="1"/>
  <c r="D423" i="1" s="1"/>
  <c r="E424" i="1"/>
  <c r="D424" i="1" s="1"/>
  <c r="E425" i="1"/>
  <c r="D425" i="1" s="1"/>
  <c r="E426" i="1"/>
  <c r="D426" i="1" s="1"/>
  <c r="E427" i="1"/>
  <c r="D427" i="1" s="1"/>
  <c r="E428" i="1"/>
  <c r="D428" i="1" s="1"/>
  <c r="E429" i="1"/>
  <c r="D429" i="1" s="1"/>
  <c r="E430" i="1"/>
  <c r="D430" i="1" s="1"/>
  <c r="E431" i="1"/>
  <c r="D431" i="1" s="1"/>
  <c r="E432" i="1"/>
  <c r="D432" i="1" s="1"/>
  <c r="E433" i="1"/>
  <c r="D433" i="1" s="1"/>
  <c r="E434" i="1"/>
  <c r="D434" i="1" s="1"/>
  <c r="E435" i="1"/>
  <c r="D435" i="1" s="1"/>
  <c r="E436" i="1"/>
  <c r="D436" i="1" s="1"/>
  <c r="E437" i="1"/>
  <c r="D437" i="1" s="1"/>
  <c r="E438" i="1"/>
  <c r="D438" i="1" s="1"/>
  <c r="E439" i="1"/>
  <c r="D439" i="1" s="1"/>
  <c r="E440" i="1"/>
  <c r="D440" i="1" s="1"/>
  <c r="E441" i="1"/>
  <c r="D441" i="1" s="1"/>
  <c r="E442" i="1"/>
  <c r="D442" i="1" s="1"/>
  <c r="E443" i="1"/>
  <c r="D443" i="1" s="1"/>
  <c r="E444" i="1"/>
  <c r="D444" i="1" s="1"/>
  <c r="E445" i="1"/>
  <c r="D445" i="1" s="1"/>
  <c r="E446" i="1"/>
  <c r="D446" i="1" s="1"/>
  <c r="E447" i="1"/>
  <c r="D447" i="1" s="1"/>
  <c r="E448" i="1"/>
  <c r="D448" i="1" s="1"/>
  <c r="E449" i="1"/>
  <c r="D449" i="1" s="1"/>
  <c r="E450" i="1"/>
  <c r="D450" i="1" s="1"/>
  <c r="E451" i="1"/>
  <c r="D451" i="1" s="1"/>
  <c r="E452" i="1"/>
  <c r="D452" i="1" s="1"/>
  <c r="E453" i="1"/>
  <c r="D453" i="1" s="1"/>
  <c r="E454" i="1"/>
  <c r="D454" i="1" s="1"/>
  <c r="E455" i="1"/>
  <c r="D455" i="1" s="1"/>
  <c r="E456" i="1"/>
  <c r="D456" i="1" s="1"/>
  <c r="E457" i="1"/>
  <c r="D457" i="1" s="1"/>
  <c r="E458" i="1"/>
  <c r="D458" i="1" s="1"/>
  <c r="E459" i="1"/>
  <c r="D459" i="1" s="1"/>
  <c r="E460" i="1"/>
  <c r="D460" i="1" s="1"/>
  <c r="E461" i="1"/>
  <c r="D461" i="1" s="1"/>
  <c r="E462" i="1"/>
  <c r="D462" i="1" s="1"/>
  <c r="E463" i="1"/>
  <c r="D463" i="1" s="1"/>
  <c r="E464" i="1"/>
  <c r="D464" i="1" s="1"/>
  <c r="E465" i="1"/>
  <c r="D465" i="1" s="1"/>
  <c r="E466" i="1"/>
  <c r="D466" i="1" s="1"/>
  <c r="E467" i="1"/>
  <c r="D467" i="1" s="1"/>
  <c r="E468" i="1"/>
  <c r="D468" i="1" s="1"/>
  <c r="E469" i="1"/>
  <c r="D469" i="1" s="1"/>
  <c r="E470" i="1"/>
  <c r="D470" i="1" s="1"/>
  <c r="E471" i="1"/>
  <c r="D471" i="1" s="1"/>
  <c r="E472" i="1"/>
  <c r="D472" i="1" s="1"/>
  <c r="E473" i="1"/>
  <c r="D473" i="1" s="1"/>
  <c r="E474" i="1"/>
  <c r="D474" i="1" s="1"/>
  <c r="E475" i="1"/>
  <c r="D475" i="1" s="1"/>
  <c r="E476" i="1"/>
  <c r="D476" i="1" s="1"/>
  <c r="E477" i="1"/>
  <c r="D477" i="1" s="1"/>
  <c r="E478" i="1"/>
  <c r="D478" i="1" s="1"/>
  <c r="E479" i="1"/>
  <c r="D479" i="1" s="1"/>
  <c r="E480" i="1"/>
  <c r="D480" i="1" s="1"/>
  <c r="E481" i="1"/>
  <c r="D481" i="1" s="1"/>
  <c r="E482" i="1"/>
  <c r="D482" i="1" s="1"/>
  <c r="E483" i="1"/>
  <c r="D483" i="1" s="1"/>
  <c r="E484" i="1"/>
  <c r="D484" i="1" s="1"/>
  <c r="E485" i="1"/>
  <c r="D485" i="1" s="1"/>
  <c r="E486" i="1"/>
  <c r="D486" i="1" s="1"/>
  <c r="E487" i="1"/>
  <c r="D487" i="1" s="1"/>
  <c r="E488" i="1"/>
  <c r="D488" i="1" s="1"/>
  <c r="E489" i="1"/>
  <c r="D489" i="1" s="1"/>
  <c r="E490" i="1"/>
  <c r="D490" i="1" s="1"/>
  <c r="E491" i="1"/>
  <c r="D491" i="1" s="1"/>
  <c r="E492" i="1"/>
  <c r="D492" i="1" s="1"/>
  <c r="E493" i="1"/>
  <c r="D493" i="1" s="1"/>
  <c r="E494" i="1"/>
  <c r="D494" i="1" s="1"/>
  <c r="E495" i="1"/>
  <c r="D495" i="1" s="1"/>
  <c r="E496" i="1"/>
  <c r="D496" i="1" s="1"/>
  <c r="E497" i="1"/>
  <c r="D497" i="1" s="1"/>
  <c r="E498" i="1"/>
  <c r="D498" i="1" s="1"/>
  <c r="E499" i="1"/>
  <c r="D499" i="1" s="1"/>
  <c r="E500" i="1"/>
  <c r="D500" i="1" s="1"/>
  <c r="E501" i="1"/>
  <c r="D501" i="1" s="1"/>
  <c r="E502" i="1"/>
  <c r="D502" i="1" s="1"/>
  <c r="E503" i="1"/>
  <c r="D503" i="1" s="1"/>
  <c r="E504" i="1"/>
  <c r="D504" i="1" s="1"/>
  <c r="E505" i="1"/>
  <c r="D505" i="1" s="1"/>
  <c r="E506" i="1"/>
  <c r="D506" i="1" s="1"/>
  <c r="E507" i="1"/>
  <c r="D507" i="1" s="1"/>
  <c r="E508" i="1"/>
  <c r="D508" i="1" s="1"/>
  <c r="E509" i="1"/>
  <c r="D509" i="1" s="1"/>
  <c r="E510" i="1"/>
  <c r="D510" i="1" s="1"/>
  <c r="E511" i="1"/>
  <c r="D511" i="1" s="1"/>
  <c r="E512" i="1"/>
  <c r="D512" i="1" s="1"/>
  <c r="E513" i="1"/>
  <c r="D513" i="1" s="1"/>
  <c r="E514" i="1"/>
  <c r="D514" i="1" s="1"/>
  <c r="E515" i="1"/>
  <c r="D515" i="1" s="1"/>
  <c r="E516" i="1"/>
  <c r="D516" i="1" s="1"/>
  <c r="E517" i="1"/>
  <c r="D517" i="1" s="1"/>
  <c r="E518" i="1"/>
  <c r="D518" i="1" s="1"/>
  <c r="E519" i="1"/>
  <c r="D519" i="1" s="1"/>
  <c r="E520" i="1"/>
  <c r="D520" i="1" s="1"/>
  <c r="E521" i="1"/>
  <c r="D521" i="1" s="1"/>
  <c r="E522" i="1"/>
  <c r="D522" i="1" s="1"/>
  <c r="E523" i="1"/>
  <c r="D523" i="1" s="1"/>
  <c r="E524" i="1"/>
  <c r="D524" i="1" s="1"/>
  <c r="E525" i="1"/>
  <c r="D525" i="1" s="1"/>
  <c r="E526" i="1"/>
  <c r="D526" i="1" s="1"/>
  <c r="E527" i="1"/>
  <c r="D527" i="1" s="1"/>
  <c r="E528" i="1"/>
  <c r="D528" i="1" s="1"/>
  <c r="E529" i="1"/>
  <c r="D529" i="1" s="1"/>
  <c r="E530" i="1"/>
  <c r="D530" i="1" s="1"/>
  <c r="E531" i="1"/>
  <c r="D531" i="1" s="1"/>
  <c r="E532" i="1"/>
  <c r="D532" i="1" s="1"/>
  <c r="E533" i="1"/>
  <c r="D533" i="1" s="1"/>
  <c r="E534" i="1"/>
  <c r="D534" i="1" s="1"/>
  <c r="E535" i="1"/>
  <c r="D535" i="1" s="1"/>
  <c r="E536" i="1"/>
  <c r="D536" i="1" s="1"/>
  <c r="E537" i="1"/>
  <c r="D537" i="1" s="1"/>
  <c r="E538" i="1"/>
  <c r="D538" i="1" s="1"/>
  <c r="E539" i="1"/>
  <c r="D539" i="1" s="1"/>
  <c r="E540" i="1"/>
  <c r="D540" i="1" s="1"/>
  <c r="E541" i="1"/>
  <c r="D541" i="1" s="1"/>
  <c r="E542" i="1"/>
  <c r="D542" i="1" s="1"/>
  <c r="E543" i="1"/>
  <c r="D543" i="1" s="1"/>
  <c r="E544" i="1"/>
  <c r="D544" i="1" s="1"/>
  <c r="E545" i="1"/>
  <c r="D545" i="1" s="1"/>
  <c r="E546" i="1"/>
  <c r="D546" i="1" s="1"/>
  <c r="E547" i="1"/>
  <c r="D547" i="1" s="1"/>
  <c r="E548" i="1"/>
  <c r="D548" i="1" s="1"/>
  <c r="E549" i="1"/>
  <c r="D549" i="1" s="1"/>
  <c r="E550" i="1"/>
  <c r="D550" i="1" s="1"/>
  <c r="E551" i="1"/>
  <c r="D551" i="1" s="1"/>
  <c r="E552" i="1"/>
  <c r="D552" i="1" s="1"/>
  <c r="E553" i="1"/>
  <c r="D553" i="1" s="1"/>
  <c r="E554" i="1"/>
  <c r="D554" i="1" s="1"/>
  <c r="E555" i="1"/>
  <c r="D555" i="1" s="1"/>
  <c r="E556" i="1"/>
  <c r="D556" i="1" s="1"/>
  <c r="E557" i="1"/>
  <c r="D557" i="1" s="1"/>
  <c r="E558" i="1"/>
  <c r="D558" i="1" s="1"/>
  <c r="E559" i="1"/>
  <c r="D559" i="1" s="1"/>
  <c r="E560" i="1"/>
  <c r="D560" i="1" s="1"/>
  <c r="E561" i="1"/>
  <c r="D561" i="1" s="1"/>
  <c r="E562" i="1"/>
  <c r="D562" i="1" s="1"/>
  <c r="E563" i="1"/>
  <c r="D563" i="1" s="1"/>
  <c r="E564" i="1"/>
  <c r="D564" i="1" s="1"/>
  <c r="E565" i="1"/>
  <c r="D565" i="1" s="1"/>
  <c r="E566" i="1"/>
  <c r="D566" i="1" s="1"/>
  <c r="E567" i="1"/>
  <c r="D567" i="1" s="1"/>
  <c r="E568" i="1"/>
  <c r="D568" i="1" s="1"/>
  <c r="E569" i="1"/>
  <c r="D569" i="1" s="1"/>
  <c r="E570" i="1"/>
  <c r="D570" i="1" s="1"/>
  <c r="E571" i="1"/>
  <c r="D571" i="1" s="1"/>
  <c r="E572" i="1"/>
  <c r="D572" i="1" s="1"/>
  <c r="E573" i="1"/>
  <c r="D573" i="1" s="1"/>
  <c r="E574" i="1"/>
  <c r="D574" i="1" s="1"/>
  <c r="E575" i="1"/>
  <c r="D575" i="1" s="1"/>
  <c r="E576" i="1"/>
  <c r="D576" i="1" s="1"/>
  <c r="E577" i="1"/>
  <c r="D577" i="1" s="1"/>
  <c r="E578" i="1"/>
  <c r="D578" i="1" s="1"/>
  <c r="E579" i="1"/>
  <c r="D579" i="1" s="1"/>
  <c r="E580" i="1"/>
  <c r="D580" i="1" s="1"/>
  <c r="E581" i="1"/>
  <c r="D581" i="1" s="1"/>
  <c r="E582" i="1"/>
  <c r="D582" i="1" s="1"/>
  <c r="E583" i="1"/>
  <c r="D583" i="1" s="1"/>
  <c r="E584" i="1"/>
  <c r="D584" i="1" s="1"/>
  <c r="E585" i="1"/>
  <c r="D585" i="1" s="1"/>
  <c r="E586" i="1"/>
  <c r="D586" i="1" s="1"/>
  <c r="E587" i="1"/>
  <c r="D587" i="1" s="1"/>
  <c r="E588" i="1"/>
  <c r="D588" i="1" s="1"/>
  <c r="E589" i="1"/>
  <c r="D589" i="1" s="1"/>
  <c r="E590" i="1"/>
  <c r="D590" i="1" s="1"/>
  <c r="E591" i="1"/>
  <c r="D591" i="1" s="1"/>
  <c r="E592" i="1"/>
  <c r="D592" i="1" s="1"/>
  <c r="E593" i="1"/>
  <c r="D593" i="1" s="1"/>
  <c r="E594" i="1"/>
  <c r="D594" i="1" s="1"/>
  <c r="E595" i="1"/>
  <c r="D595" i="1" s="1"/>
  <c r="E596" i="1"/>
  <c r="D596" i="1" s="1"/>
  <c r="E597" i="1"/>
  <c r="D597" i="1" s="1"/>
  <c r="E598" i="1"/>
  <c r="D598" i="1" s="1"/>
  <c r="E599" i="1"/>
  <c r="D599" i="1" s="1"/>
  <c r="E600" i="1"/>
  <c r="D600" i="1" s="1"/>
  <c r="E601" i="1"/>
  <c r="D601" i="1" s="1"/>
  <c r="E602" i="1"/>
  <c r="D602" i="1" s="1"/>
  <c r="E603" i="1"/>
  <c r="D603" i="1" s="1"/>
  <c r="E604" i="1"/>
  <c r="D604" i="1" s="1"/>
  <c r="E605" i="1"/>
  <c r="D605" i="1" s="1"/>
  <c r="E606" i="1"/>
  <c r="D606" i="1" s="1"/>
  <c r="E607" i="1"/>
  <c r="D607" i="1" s="1"/>
  <c r="E608" i="1"/>
  <c r="D608" i="1" s="1"/>
  <c r="E609" i="1"/>
  <c r="D609" i="1" s="1"/>
  <c r="E610" i="1"/>
  <c r="D610" i="1" s="1"/>
  <c r="E611" i="1"/>
  <c r="D611" i="1" s="1"/>
  <c r="E612" i="1"/>
  <c r="D612" i="1" s="1"/>
  <c r="E613" i="1"/>
  <c r="D613" i="1" s="1"/>
  <c r="E614" i="1"/>
  <c r="D614" i="1" s="1"/>
  <c r="E615" i="1"/>
  <c r="D615" i="1" s="1"/>
  <c r="E616" i="1"/>
  <c r="D616" i="1" s="1"/>
  <c r="E617" i="1"/>
  <c r="D617" i="1" s="1"/>
  <c r="E618" i="1"/>
  <c r="D618" i="1" s="1"/>
  <c r="E619" i="1"/>
  <c r="D619" i="1" s="1"/>
  <c r="E620" i="1"/>
  <c r="D620" i="1" s="1"/>
  <c r="E621" i="1"/>
  <c r="D621" i="1" s="1"/>
  <c r="E622" i="1"/>
  <c r="D622" i="1" s="1"/>
  <c r="E623" i="1"/>
  <c r="D623" i="1" s="1"/>
  <c r="E624" i="1"/>
  <c r="D624" i="1" s="1"/>
  <c r="E625" i="1"/>
  <c r="D625" i="1" s="1"/>
  <c r="E626" i="1"/>
  <c r="D626" i="1" s="1"/>
  <c r="E627" i="1"/>
  <c r="D627" i="1" s="1"/>
  <c r="E628" i="1"/>
  <c r="D628" i="1" s="1"/>
  <c r="E629" i="1"/>
  <c r="D629" i="1" s="1"/>
  <c r="E630" i="1"/>
  <c r="D630" i="1" s="1"/>
  <c r="E631" i="1"/>
  <c r="D631" i="1" s="1"/>
  <c r="E632" i="1"/>
  <c r="D632" i="1" s="1"/>
  <c r="E633" i="1"/>
  <c r="D633" i="1" s="1"/>
  <c r="E634" i="1"/>
  <c r="D634" i="1" s="1"/>
  <c r="E635" i="1"/>
  <c r="D635" i="1" s="1"/>
  <c r="E636" i="1"/>
  <c r="D636" i="1" s="1"/>
  <c r="E637" i="1"/>
  <c r="D637" i="1" s="1"/>
  <c r="E638" i="1"/>
  <c r="D638" i="1" s="1"/>
  <c r="E639" i="1"/>
  <c r="D639" i="1" s="1"/>
  <c r="E640" i="1"/>
  <c r="D640" i="1" s="1"/>
  <c r="E641" i="1"/>
  <c r="D641" i="1" s="1"/>
  <c r="E642" i="1"/>
  <c r="D642" i="1" s="1"/>
  <c r="E643" i="1"/>
  <c r="D643" i="1" s="1"/>
  <c r="E644" i="1"/>
  <c r="D644" i="1" s="1"/>
  <c r="E645" i="1"/>
  <c r="D645" i="1" s="1"/>
  <c r="E646" i="1"/>
  <c r="D646" i="1" s="1"/>
  <c r="E647" i="1"/>
  <c r="D647" i="1" s="1"/>
  <c r="E648" i="1"/>
  <c r="D648" i="1" s="1"/>
  <c r="E649" i="1"/>
  <c r="D649" i="1" s="1"/>
  <c r="E650" i="1"/>
  <c r="D650" i="1" s="1"/>
  <c r="E651" i="1"/>
  <c r="D651" i="1" s="1"/>
  <c r="E652" i="1"/>
  <c r="D652" i="1" s="1"/>
  <c r="E653" i="1"/>
  <c r="D653" i="1" s="1"/>
  <c r="E654" i="1"/>
  <c r="D654" i="1" s="1"/>
  <c r="E655" i="1"/>
  <c r="D655" i="1" s="1"/>
  <c r="E656" i="1"/>
  <c r="D656" i="1" s="1"/>
  <c r="E657" i="1"/>
  <c r="D657" i="1" s="1"/>
  <c r="E658" i="1"/>
  <c r="D658" i="1" s="1"/>
  <c r="E659" i="1"/>
  <c r="D659" i="1" s="1"/>
  <c r="E660" i="1"/>
  <c r="D660" i="1" s="1"/>
  <c r="E661" i="1"/>
  <c r="D661" i="1" s="1"/>
  <c r="E662" i="1"/>
  <c r="D662" i="1" s="1"/>
  <c r="E663" i="1"/>
  <c r="D663" i="1" s="1"/>
  <c r="E664" i="1"/>
  <c r="D664" i="1" s="1"/>
  <c r="E665" i="1"/>
  <c r="D665" i="1" s="1"/>
  <c r="E666" i="1"/>
  <c r="D666" i="1" s="1"/>
  <c r="E667" i="1"/>
  <c r="D667" i="1" s="1"/>
  <c r="E668" i="1"/>
  <c r="D668" i="1" s="1"/>
  <c r="E669" i="1"/>
  <c r="D669" i="1" s="1"/>
  <c r="E670" i="1"/>
  <c r="D670" i="1" s="1"/>
  <c r="E671" i="1"/>
  <c r="D671" i="1" s="1"/>
  <c r="E672" i="1"/>
  <c r="D672" i="1" s="1"/>
  <c r="E673" i="1"/>
  <c r="D673" i="1" s="1"/>
  <c r="E674" i="1"/>
  <c r="D674" i="1" s="1"/>
  <c r="E675" i="1"/>
  <c r="D675" i="1" s="1"/>
  <c r="E676" i="1"/>
  <c r="D676" i="1" s="1"/>
  <c r="E677" i="1"/>
  <c r="D677" i="1" s="1"/>
  <c r="E678" i="1"/>
  <c r="D678" i="1" s="1"/>
  <c r="E679" i="1"/>
  <c r="D679" i="1" s="1"/>
  <c r="E680" i="1"/>
  <c r="D680" i="1" s="1"/>
  <c r="E681" i="1"/>
  <c r="D681" i="1" s="1"/>
  <c r="E682" i="1"/>
  <c r="D682" i="1" s="1"/>
  <c r="E683" i="1"/>
  <c r="D683" i="1" s="1"/>
  <c r="E684" i="1"/>
  <c r="D684" i="1" s="1"/>
  <c r="E685" i="1"/>
  <c r="D685" i="1" s="1"/>
  <c r="E686" i="1"/>
  <c r="D686" i="1" s="1"/>
  <c r="E687" i="1"/>
  <c r="D687" i="1" s="1"/>
  <c r="E688" i="1"/>
  <c r="D688" i="1" s="1"/>
  <c r="E689" i="1"/>
  <c r="D689" i="1" s="1"/>
  <c r="E690" i="1"/>
  <c r="D690" i="1" s="1"/>
  <c r="E691" i="1"/>
  <c r="D691" i="1" s="1"/>
  <c r="E692" i="1"/>
  <c r="D692" i="1" s="1"/>
  <c r="E693" i="1"/>
  <c r="D693" i="1" s="1"/>
  <c r="E694" i="1"/>
  <c r="D694" i="1" s="1"/>
  <c r="E695" i="1"/>
  <c r="D695" i="1" s="1"/>
  <c r="E696" i="1"/>
  <c r="D696" i="1" s="1"/>
  <c r="E697" i="1"/>
  <c r="D697" i="1" s="1"/>
  <c r="E698" i="1"/>
  <c r="D698" i="1" s="1"/>
  <c r="E699" i="1"/>
  <c r="D699" i="1" s="1"/>
  <c r="E700" i="1"/>
  <c r="D700" i="1" s="1"/>
  <c r="E701" i="1"/>
  <c r="D701" i="1" s="1"/>
  <c r="E702" i="1"/>
  <c r="D702" i="1" s="1"/>
  <c r="E703" i="1"/>
  <c r="D703" i="1" s="1"/>
  <c r="E704" i="1"/>
  <c r="D704" i="1" s="1"/>
  <c r="E705" i="1"/>
  <c r="D705" i="1" s="1"/>
  <c r="E706" i="1"/>
  <c r="D706" i="1" s="1"/>
  <c r="E707" i="1"/>
  <c r="D707" i="1" s="1"/>
  <c r="E708" i="1"/>
  <c r="D708" i="1" s="1"/>
  <c r="E709" i="1"/>
  <c r="D709" i="1" s="1"/>
  <c r="E710" i="1"/>
  <c r="D710" i="1" s="1"/>
  <c r="E711" i="1"/>
  <c r="D711" i="1" s="1"/>
  <c r="E712" i="1"/>
  <c r="D712" i="1" s="1"/>
  <c r="E713" i="1"/>
  <c r="D713" i="1" s="1"/>
  <c r="E714" i="1"/>
  <c r="D714" i="1" s="1"/>
  <c r="E715" i="1"/>
  <c r="D715" i="1" s="1"/>
  <c r="E716" i="1"/>
  <c r="D716" i="1" s="1"/>
  <c r="E717" i="1"/>
  <c r="D717" i="1" s="1"/>
  <c r="E718" i="1"/>
  <c r="D718" i="1" s="1"/>
  <c r="E719" i="1"/>
  <c r="D719" i="1" s="1"/>
  <c r="E720" i="1"/>
  <c r="D720" i="1" s="1"/>
  <c r="E721" i="1"/>
  <c r="D721" i="1" s="1"/>
  <c r="E722" i="1"/>
  <c r="D722" i="1" s="1"/>
  <c r="E723" i="1"/>
  <c r="D723" i="1" s="1"/>
  <c r="E724" i="1"/>
  <c r="D724" i="1" s="1"/>
  <c r="E725" i="1"/>
  <c r="D725" i="1" s="1"/>
  <c r="E726" i="1"/>
  <c r="D726" i="1" s="1"/>
  <c r="E727" i="1"/>
  <c r="D727" i="1" s="1"/>
  <c r="E728" i="1"/>
  <c r="D728" i="1" s="1"/>
  <c r="E729" i="1"/>
  <c r="D729" i="1" s="1"/>
  <c r="E730" i="1"/>
  <c r="D730" i="1" s="1"/>
  <c r="E731" i="1"/>
  <c r="D731" i="1" s="1"/>
  <c r="E732" i="1"/>
  <c r="D732" i="1" s="1"/>
  <c r="E733" i="1"/>
  <c r="D733" i="1" s="1"/>
  <c r="E734" i="1"/>
  <c r="D734" i="1" s="1"/>
  <c r="E735" i="1"/>
  <c r="D735" i="1" s="1"/>
  <c r="E736" i="1"/>
  <c r="D736" i="1" s="1"/>
  <c r="E737" i="1"/>
  <c r="D737" i="1" s="1"/>
  <c r="E738" i="1"/>
  <c r="D738" i="1" s="1"/>
  <c r="E739" i="1"/>
  <c r="D739" i="1" s="1"/>
  <c r="E740" i="1"/>
  <c r="D740" i="1" s="1"/>
  <c r="E741" i="1"/>
  <c r="D741" i="1" s="1"/>
  <c r="E742" i="1"/>
  <c r="D742" i="1" s="1"/>
  <c r="E743" i="1"/>
  <c r="D743" i="1" s="1"/>
  <c r="E744" i="1"/>
  <c r="D744" i="1" s="1"/>
  <c r="E745" i="1"/>
  <c r="D745" i="1" s="1"/>
  <c r="E746" i="1"/>
  <c r="D746" i="1" s="1"/>
  <c r="E747" i="1"/>
  <c r="D747" i="1" s="1"/>
  <c r="E748" i="1"/>
  <c r="D748" i="1" s="1"/>
  <c r="E749" i="1"/>
  <c r="D749" i="1" s="1"/>
  <c r="E750" i="1"/>
  <c r="D750" i="1" s="1"/>
  <c r="E751" i="1"/>
  <c r="D751" i="1" s="1"/>
  <c r="E752" i="1"/>
  <c r="D752" i="1" s="1"/>
  <c r="E753" i="1"/>
  <c r="D753" i="1" s="1"/>
  <c r="E754" i="1"/>
  <c r="D754" i="1" s="1"/>
  <c r="E755" i="1"/>
  <c r="D755" i="1" s="1"/>
  <c r="E756" i="1"/>
  <c r="D756" i="1" s="1"/>
  <c r="E757" i="1"/>
  <c r="D757" i="1" s="1"/>
  <c r="E758" i="1"/>
  <c r="D758" i="1" s="1"/>
  <c r="E759" i="1"/>
  <c r="D759" i="1" s="1"/>
  <c r="E760" i="1"/>
  <c r="D760" i="1" s="1"/>
  <c r="E761" i="1"/>
  <c r="D761" i="1" s="1"/>
  <c r="E762" i="1"/>
  <c r="D762" i="1" s="1"/>
  <c r="E763" i="1"/>
  <c r="D763" i="1" s="1"/>
  <c r="E764" i="1"/>
  <c r="D764" i="1" s="1"/>
  <c r="E765" i="1"/>
  <c r="D765" i="1" s="1"/>
  <c r="E766" i="1"/>
  <c r="D766" i="1" s="1"/>
  <c r="E767" i="1"/>
  <c r="D767" i="1" s="1"/>
  <c r="E768" i="1"/>
  <c r="D768" i="1" s="1"/>
  <c r="E769" i="1"/>
  <c r="D769" i="1" s="1"/>
  <c r="E770" i="1"/>
  <c r="D770" i="1" s="1"/>
  <c r="E771" i="1"/>
  <c r="D771" i="1" s="1"/>
  <c r="E772" i="1"/>
  <c r="D772" i="1" s="1"/>
  <c r="E773" i="1"/>
  <c r="D773" i="1" s="1"/>
  <c r="E774" i="1"/>
  <c r="D774" i="1" s="1"/>
  <c r="E775" i="1"/>
  <c r="D775" i="1" s="1"/>
  <c r="E776" i="1"/>
  <c r="D776" i="1" s="1"/>
  <c r="E777" i="1"/>
  <c r="D777" i="1" s="1"/>
  <c r="E778" i="1"/>
  <c r="D778" i="1" s="1"/>
  <c r="E779" i="1"/>
  <c r="D779" i="1" s="1"/>
  <c r="E780" i="1"/>
  <c r="D780" i="1" s="1"/>
  <c r="E781" i="1"/>
  <c r="D781" i="1" s="1"/>
  <c r="E782" i="1"/>
  <c r="D782" i="1" s="1"/>
  <c r="E783" i="1"/>
  <c r="D783" i="1" s="1"/>
  <c r="E784" i="1"/>
  <c r="D784" i="1" s="1"/>
  <c r="E785" i="1"/>
  <c r="D785" i="1" s="1"/>
  <c r="E786" i="1"/>
  <c r="D786" i="1" s="1"/>
  <c r="E787" i="1"/>
  <c r="D787" i="1" s="1"/>
  <c r="E788" i="1"/>
  <c r="D788" i="1" s="1"/>
  <c r="E789" i="1"/>
  <c r="D789" i="1" s="1"/>
  <c r="E790" i="1"/>
  <c r="D790" i="1" s="1"/>
  <c r="E791" i="1"/>
  <c r="D791" i="1" s="1"/>
  <c r="E792" i="1"/>
  <c r="D792" i="1" s="1"/>
  <c r="E793" i="1"/>
  <c r="D793" i="1" s="1"/>
  <c r="E794" i="1"/>
  <c r="D794" i="1" s="1"/>
  <c r="E795" i="1"/>
  <c r="D795" i="1" s="1"/>
  <c r="E796" i="1"/>
  <c r="D796" i="1" s="1"/>
  <c r="E797" i="1"/>
  <c r="D797" i="1" s="1"/>
  <c r="E798" i="1"/>
  <c r="D798" i="1" s="1"/>
  <c r="E799" i="1"/>
  <c r="D799" i="1" s="1"/>
  <c r="E800" i="1"/>
  <c r="D800" i="1" s="1"/>
  <c r="E801" i="1"/>
  <c r="D801" i="1" s="1"/>
  <c r="E802" i="1"/>
  <c r="D802" i="1" s="1"/>
  <c r="E803" i="1"/>
  <c r="D803" i="1" s="1"/>
  <c r="E804" i="1"/>
  <c r="D804" i="1" s="1"/>
  <c r="E805" i="1"/>
  <c r="D805" i="1" s="1"/>
  <c r="E806" i="1"/>
  <c r="D806" i="1" s="1"/>
  <c r="E807" i="1"/>
  <c r="D807" i="1" s="1"/>
  <c r="E808" i="1"/>
  <c r="D808" i="1" s="1"/>
  <c r="E809" i="1"/>
  <c r="D809" i="1" s="1"/>
  <c r="E810" i="1"/>
  <c r="D810" i="1" s="1"/>
  <c r="E811" i="1"/>
  <c r="D811" i="1" s="1"/>
  <c r="E812" i="1"/>
  <c r="D812" i="1" s="1"/>
  <c r="E813" i="1"/>
  <c r="D813" i="1" s="1"/>
  <c r="E814" i="1"/>
  <c r="D814" i="1" s="1"/>
  <c r="E815" i="1"/>
  <c r="D815" i="1" s="1"/>
  <c r="E816" i="1"/>
  <c r="D816" i="1" s="1"/>
  <c r="E817" i="1"/>
  <c r="D817" i="1" s="1"/>
  <c r="E818" i="1"/>
  <c r="D818" i="1" s="1"/>
  <c r="E819" i="1"/>
  <c r="D819" i="1" s="1"/>
  <c r="E820" i="1"/>
  <c r="D820" i="1" s="1"/>
  <c r="E821" i="1"/>
  <c r="D821" i="1" s="1"/>
  <c r="E822" i="1"/>
  <c r="D822" i="1" s="1"/>
  <c r="E823" i="1"/>
  <c r="D823" i="1" s="1"/>
  <c r="E824" i="1"/>
  <c r="D824" i="1" s="1"/>
  <c r="E825" i="1"/>
  <c r="D825" i="1" s="1"/>
  <c r="E826" i="1"/>
  <c r="D826" i="1" s="1"/>
  <c r="E827" i="1"/>
  <c r="D827" i="1" s="1"/>
  <c r="E828" i="1"/>
  <c r="D828" i="1" s="1"/>
  <c r="E829" i="1"/>
  <c r="D829" i="1" s="1"/>
  <c r="E830" i="1"/>
  <c r="D830" i="1" s="1"/>
  <c r="E831" i="1"/>
  <c r="D831" i="1" s="1"/>
  <c r="E832" i="1"/>
  <c r="D832" i="1" s="1"/>
  <c r="E833" i="1"/>
  <c r="D833" i="1" s="1"/>
  <c r="E834" i="1"/>
  <c r="D834" i="1" s="1"/>
  <c r="E835" i="1"/>
  <c r="D835" i="1" s="1"/>
  <c r="E836" i="1"/>
  <c r="D836" i="1" s="1"/>
  <c r="E837" i="1"/>
  <c r="D837" i="1" s="1"/>
  <c r="E838" i="1"/>
  <c r="D838" i="1" s="1"/>
  <c r="E839" i="1"/>
  <c r="D839" i="1" s="1"/>
  <c r="E840" i="1"/>
  <c r="D840" i="1" s="1"/>
  <c r="E841" i="1"/>
  <c r="D841" i="1" s="1"/>
  <c r="E842" i="1"/>
  <c r="D842" i="1" s="1"/>
  <c r="E843" i="1"/>
  <c r="D843" i="1" s="1"/>
  <c r="E844" i="1"/>
  <c r="D844" i="1" s="1"/>
  <c r="E845" i="1"/>
  <c r="D845" i="1" s="1"/>
  <c r="E846" i="1"/>
  <c r="D846" i="1" s="1"/>
  <c r="E847" i="1"/>
  <c r="D847" i="1" s="1"/>
  <c r="E848" i="1"/>
  <c r="D848" i="1" s="1"/>
  <c r="E849" i="1"/>
  <c r="D849" i="1" s="1"/>
  <c r="E850" i="1"/>
  <c r="D850" i="1" s="1"/>
  <c r="E851" i="1"/>
  <c r="D851" i="1" s="1"/>
  <c r="E852" i="1"/>
  <c r="D852" i="1" s="1"/>
  <c r="E853" i="1"/>
  <c r="D853" i="1" s="1"/>
  <c r="E854" i="1"/>
  <c r="D854" i="1" s="1"/>
  <c r="E855" i="1"/>
  <c r="D855" i="1" s="1"/>
  <c r="E856" i="1"/>
  <c r="D856" i="1" s="1"/>
  <c r="E857" i="1"/>
  <c r="D857" i="1" s="1"/>
  <c r="E858" i="1"/>
  <c r="D858" i="1" s="1"/>
  <c r="E859" i="1"/>
  <c r="D859" i="1" s="1"/>
  <c r="E860" i="1"/>
  <c r="D860" i="1" s="1"/>
  <c r="E861" i="1"/>
  <c r="D861" i="1" s="1"/>
  <c r="E862" i="1"/>
  <c r="D862" i="1" s="1"/>
  <c r="E863" i="1"/>
  <c r="D863" i="1" s="1"/>
  <c r="E864" i="1"/>
  <c r="D864" i="1" s="1"/>
  <c r="E865" i="1"/>
  <c r="D865" i="1" s="1"/>
  <c r="E866" i="1"/>
  <c r="D866" i="1" s="1"/>
  <c r="E867" i="1"/>
  <c r="D867" i="1" s="1"/>
  <c r="E868" i="1"/>
  <c r="D868" i="1" s="1"/>
  <c r="E869" i="1"/>
  <c r="D869" i="1" s="1"/>
  <c r="E870" i="1"/>
  <c r="D870" i="1" s="1"/>
  <c r="E871" i="1"/>
  <c r="D871" i="1" s="1"/>
  <c r="E872" i="1"/>
  <c r="D872" i="1" s="1"/>
  <c r="E873" i="1"/>
  <c r="D873" i="1" s="1"/>
  <c r="E874" i="1"/>
  <c r="D874" i="1" s="1"/>
  <c r="E875" i="1"/>
  <c r="D875" i="1" s="1"/>
  <c r="E876" i="1"/>
  <c r="D876" i="1" s="1"/>
  <c r="E877" i="1"/>
  <c r="D877" i="1" s="1"/>
  <c r="E878" i="1"/>
  <c r="D878" i="1" s="1"/>
  <c r="E879" i="1"/>
  <c r="D879" i="1" s="1"/>
  <c r="E880" i="1"/>
  <c r="D880" i="1" s="1"/>
  <c r="E881" i="1"/>
  <c r="D881" i="1" s="1"/>
  <c r="E882" i="1"/>
  <c r="D882" i="1" s="1"/>
  <c r="E883" i="1"/>
  <c r="D883" i="1" s="1"/>
  <c r="E884" i="1"/>
  <c r="D884" i="1" s="1"/>
  <c r="E885" i="1"/>
  <c r="D885" i="1" s="1"/>
  <c r="E886" i="1"/>
  <c r="D886" i="1" s="1"/>
  <c r="E887" i="1"/>
  <c r="D887" i="1" s="1"/>
  <c r="E888" i="1"/>
  <c r="D888" i="1" s="1"/>
  <c r="E889" i="1"/>
  <c r="D889" i="1" s="1"/>
  <c r="E890" i="1"/>
  <c r="D890" i="1" s="1"/>
  <c r="E891" i="1"/>
  <c r="D891" i="1" s="1"/>
  <c r="E892" i="1"/>
  <c r="D892" i="1" s="1"/>
  <c r="E893" i="1"/>
  <c r="D893" i="1" s="1"/>
  <c r="E894" i="1"/>
  <c r="D894" i="1" s="1"/>
  <c r="E895" i="1"/>
  <c r="D895" i="1" s="1"/>
  <c r="E896" i="1"/>
  <c r="D896" i="1" s="1"/>
  <c r="E897" i="1"/>
  <c r="D897" i="1" s="1"/>
  <c r="E898" i="1"/>
  <c r="D898" i="1" s="1"/>
  <c r="E899" i="1"/>
  <c r="D899" i="1" s="1"/>
  <c r="E900" i="1"/>
  <c r="D900" i="1" s="1"/>
  <c r="E901" i="1"/>
  <c r="D901" i="1" s="1"/>
  <c r="E902" i="1"/>
  <c r="D902" i="1" s="1"/>
  <c r="E903" i="1"/>
  <c r="D903" i="1" s="1"/>
  <c r="E904" i="1"/>
  <c r="D904" i="1" s="1"/>
  <c r="E905" i="1"/>
  <c r="D905" i="1" s="1"/>
  <c r="E906" i="1"/>
  <c r="D906" i="1" s="1"/>
  <c r="E907" i="1"/>
  <c r="D907" i="1" s="1"/>
  <c r="E908" i="1"/>
  <c r="D908" i="1" s="1"/>
  <c r="E909" i="1"/>
  <c r="D909" i="1" s="1"/>
  <c r="E910" i="1"/>
  <c r="D910" i="1" s="1"/>
  <c r="E911" i="1"/>
  <c r="D911" i="1" s="1"/>
  <c r="E912" i="1"/>
  <c r="D912" i="1" s="1"/>
  <c r="E913" i="1"/>
  <c r="D913" i="1" s="1"/>
  <c r="E914" i="1"/>
  <c r="D914" i="1" s="1"/>
  <c r="E915" i="1"/>
  <c r="D915" i="1" s="1"/>
  <c r="E916" i="1"/>
  <c r="D916" i="1" s="1"/>
  <c r="E917" i="1"/>
  <c r="D917" i="1" s="1"/>
  <c r="E918" i="1"/>
  <c r="D918" i="1" s="1"/>
  <c r="E919" i="1"/>
  <c r="D919" i="1" s="1"/>
  <c r="E920" i="1"/>
  <c r="D920" i="1" s="1"/>
  <c r="E921" i="1"/>
  <c r="D921" i="1" s="1"/>
  <c r="E922" i="1"/>
  <c r="D922" i="1" s="1"/>
  <c r="E923" i="1"/>
  <c r="D923" i="1" s="1"/>
  <c r="E924" i="1"/>
  <c r="D924" i="1" s="1"/>
  <c r="E925" i="1"/>
  <c r="D925" i="1" s="1"/>
  <c r="E926" i="1"/>
  <c r="D926" i="1" s="1"/>
  <c r="E927" i="1"/>
  <c r="D927" i="1" s="1"/>
  <c r="E928" i="1"/>
  <c r="D928" i="1" s="1"/>
  <c r="E929" i="1"/>
  <c r="D929" i="1" s="1"/>
  <c r="E930" i="1"/>
  <c r="D930" i="1" s="1"/>
  <c r="E931" i="1"/>
  <c r="D931" i="1" s="1"/>
  <c r="E932" i="1"/>
  <c r="D932" i="1" s="1"/>
  <c r="E933" i="1"/>
  <c r="D933" i="1" s="1"/>
  <c r="E934" i="1"/>
  <c r="D934" i="1" s="1"/>
  <c r="E935" i="1"/>
  <c r="D935" i="1" s="1"/>
  <c r="E936" i="1"/>
  <c r="D936" i="1" s="1"/>
  <c r="E937" i="1"/>
  <c r="D937" i="1" s="1"/>
  <c r="E938" i="1"/>
  <c r="D938" i="1" s="1"/>
  <c r="E939" i="1"/>
  <c r="D939" i="1" s="1"/>
  <c r="E940" i="1"/>
  <c r="D940" i="1" s="1"/>
  <c r="E941" i="1"/>
  <c r="D941" i="1" s="1"/>
  <c r="E942" i="1"/>
  <c r="D942" i="1" s="1"/>
  <c r="E943" i="1"/>
  <c r="D943" i="1" s="1"/>
  <c r="E944" i="1"/>
  <c r="D944" i="1" s="1"/>
  <c r="E945" i="1"/>
  <c r="D945" i="1" s="1"/>
  <c r="E946" i="1"/>
  <c r="D946" i="1" s="1"/>
  <c r="E947" i="1"/>
  <c r="D947" i="1" s="1"/>
  <c r="E948" i="1"/>
  <c r="D948" i="1" s="1"/>
  <c r="E949" i="1"/>
  <c r="D949" i="1" s="1"/>
  <c r="E950" i="1"/>
  <c r="D950" i="1" s="1"/>
  <c r="E951" i="1"/>
  <c r="D951" i="1" s="1"/>
  <c r="E952" i="1"/>
  <c r="D952" i="1" s="1"/>
  <c r="E953" i="1"/>
  <c r="D953" i="1" s="1"/>
  <c r="E954" i="1"/>
  <c r="D954" i="1" s="1"/>
  <c r="E955" i="1"/>
  <c r="D955" i="1" s="1"/>
  <c r="E956" i="1"/>
  <c r="D956" i="1" s="1"/>
  <c r="E957" i="1"/>
  <c r="D957" i="1" s="1"/>
  <c r="E958" i="1"/>
  <c r="D958" i="1" s="1"/>
  <c r="E959" i="1"/>
  <c r="D959" i="1" s="1"/>
  <c r="E960" i="1"/>
  <c r="D960" i="1" s="1"/>
  <c r="E961" i="1"/>
  <c r="D961" i="1" s="1"/>
  <c r="E962" i="1"/>
  <c r="D962" i="1" s="1"/>
  <c r="E963" i="1"/>
  <c r="D963" i="1" s="1"/>
  <c r="E964" i="1"/>
  <c r="D964" i="1" s="1"/>
  <c r="E965" i="1"/>
  <c r="D965" i="1" s="1"/>
  <c r="E966" i="1"/>
  <c r="D966" i="1" s="1"/>
  <c r="E967" i="1"/>
  <c r="D967" i="1" s="1"/>
  <c r="E968" i="1"/>
  <c r="D968" i="1" s="1"/>
  <c r="E969" i="1"/>
  <c r="D969" i="1" s="1"/>
  <c r="E970" i="1"/>
  <c r="D970" i="1" s="1"/>
  <c r="E971" i="1"/>
  <c r="D971" i="1" s="1"/>
  <c r="E972" i="1"/>
  <c r="D972" i="1" s="1"/>
  <c r="E973" i="1"/>
  <c r="D973" i="1" s="1"/>
  <c r="E974" i="1"/>
  <c r="D974" i="1" s="1"/>
  <c r="E975" i="1"/>
  <c r="D975" i="1" s="1"/>
  <c r="E976" i="1"/>
  <c r="D976" i="1" s="1"/>
  <c r="E977" i="1"/>
  <c r="D977" i="1" s="1"/>
  <c r="E978" i="1"/>
  <c r="D978" i="1" s="1"/>
  <c r="E979" i="1"/>
  <c r="D979" i="1" s="1"/>
  <c r="E980" i="1"/>
  <c r="D980" i="1" s="1"/>
  <c r="E981" i="1"/>
  <c r="D981" i="1" s="1"/>
  <c r="E982" i="1"/>
  <c r="D982" i="1" s="1"/>
  <c r="E983" i="1"/>
  <c r="D983" i="1" s="1"/>
  <c r="E984" i="1"/>
  <c r="D984" i="1" s="1"/>
  <c r="E985" i="1"/>
  <c r="D985" i="1" s="1"/>
  <c r="E986" i="1"/>
  <c r="D986" i="1" s="1"/>
  <c r="E987" i="1"/>
  <c r="D987" i="1" s="1"/>
  <c r="E988" i="1"/>
  <c r="D988" i="1" s="1"/>
  <c r="E989" i="1"/>
  <c r="D989" i="1" s="1"/>
  <c r="E990" i="1"/>
  <c r="D990" i="1" s="1"/>
  <c r="E991" i="1"/>
  <c r="D991" i="1" s="1"/>
  <c r="E992" i="1"/>
  <c r="D992" i="1" s="1"/>
  <c r="E993" i="1"/>
  <c r="D993" i="1" s="1"/>
  <c r="E994" i="1"/>
  <c r="D994" i="1" s="1"/>
  <c r="E995" i="1"/>
  <c r="D995" i="1" s="1"/>
  <c r="E996" i="1"/>
  <c r="D996" i="1" s="1"/>
  <c r="E997" i="1"/>
  <c r="D997" i="1" s="1"/>
  <c r="E998" i="1"/>
  <c r="D998" i="1" s="1"/>
  <c r="E999" i="1"/>
  <c r="D999" i="1" s="1"/>
  <c r="E1000" i="1"/>
  <c r="D1000" i="1" s="1"/>
  <c r="E1001" i="1"/>
  <c r="D1001" i="1" s="1"/>
  <c r="E1002" i="1"/>
  <c r="D1002" i="1" s="1"/>
  <c r="E1003" i="1"/>
  <c r="D1003" i="1" s="1"/>
  <c r="E1004" i="1"/>
  <c r="D1004" i="1" s="1"/>
  <c r="E1005" i="1"/>
  <c r="D1005" i="1" s="1"/>
  <c r="E1006" i="1"/>
  <c r="D1006" i="1" s="1"/>
  <c r="E1007" i="1"/>
  <c r="D1007" i="1" s="1"/>
  <c r="E1008" i="1"/>
  <c r="D1008" i="1" s="1"/>
  <c r="E1009" i="1"/>
  <c r="D1009" i="1" s="1"/>
  <c r="E1010" i="1"/>
  <c r="D1010" i="1" s="1"/>
  <c r="E1011" i="1"/>
  <c r="D1011" i="1" s="1"/>
  <c r="E1012" i="1"/>
  <c r="D1012" i="1" s="1"/>
  <c r="E1013" i="1"/>
  <c r="D1013" i="1" s="1"/>
  <c r="E1014" i="1"/>
  <c r="D1014" i="1" s="1"/>
  <c r="E1015" i="1"/>
  <c r="D1015" i="1" s="1"/>
  <c r="E1016" i="1"/>
  <c r="D1016" i="1" s="1"/>
  <c r="E1017" i="1"/>
  <c r="D1017" i="1" s="1"/>
  <c r="E1018" i="1"/>
  <c r="D1018" i="1" s="1"/>
  <c r="E1019" i="1"/>
  <c r="D1019" i="1" s="1"/>
  <c r="E1020" i="1"/>
  <c r="D1020" i="1" s="1"/>
  <c r="E1021" i="1"/>
  <c r="D1021" i="1" s="1"/>
  <c r="E1022" i="1"/>
  <c r="D1022" i="1" s="1"/>
  <c r="E1023" i="1"/>
  <c r="D1023" i="1" s="1"/>
  <c r="E1024" i="1"/>
  <c r="D1024" i="1" s="1"/>
  <c r="E1025" i="1"/>
  <c r="D1025" i="1" s="1"/>
  <c r="E1026" i="1"/>
  <c r="D1026" i="1" s="1"/>
  <c r="E1027" i="1"/>
  <c r="D1027" i="1" s="1"/>
  <c r="E1028" i="1"/>
  <c r="D1028" i="1" s="1"/>
  <c r="E1029" i="1"/>
  <c r="D1029" i="1" s="1"/>
  <c r="E1030" i="1"/>
  <c r="D1030" i="1" s="1"/>
  <c r="E1031" i="1"/>
  <c r="D1031" i="1" s="1"/>
  <c r="E1032" i="1"/>
  <c r="D1032" i="1" s="1"/>
  <c r="E1033" i="1"/>
  <c r="D1033" i="1" s="1"/>
  <c r="E1034" i="1"/>
  <c r="D1034" i="1" s="1"/>
  <c r="E1035" i="1"/>
  <c r="D1035" i="1" s="1"/>
  <c r="E1036" i="1"/>
  <c r="D1036" i="1" s="1"/>
  <c r="E1037" i="1"/>
  <c r="D1037" i="1" s="1"/>
  <c r="E1038" i="1"/>
  <c r="D1038" i="1" s="1"/>
  <c r="E1039" i="1"/>
  <c r="D1039" i="1" s="1"/>
  <c r="E1040" i="1"/>
  <c r="D1040" i="1" s="1"/>
  <c r="E1041" i="1"/>
  <c r="D1041" i="1" s="1"/>
  <c r="E1042" i="1"/>
  <c r="D1042" i="1" s="1"/>
  <c r="E1043" i="1"/>
  <c r="D1043" i="1" s="1"/>
  <c r="E1044" i="1"/>
  <c r="D1044" i="1" s="1"/>
  <c r="E1045" i="1"/>
  <c r="D1045" i="1" s="1"/>
  <c r="E1046" i="1"/>
  <c r="D1046" i="1" s="1"/>
  <c r="E1047" i="1"/>
  <c r="D1047" i="1" s="1"/>
  <c r="E1048" i="1"/>
  <c r="D1048" i="1" s="1"/>
  <c r="E1049" i="1"/>
  <c r="D1049" i="1" s="1"/>
  <c r="E1050" i="1"/>
  <c r="D1050" i="1" s="1"/>
  <c r="E1051" i="1"/>
  <c r="D1051" i="1" s="1"/>
  <c r="E1052" i="1"/>
  <c r="D1052" i="1" s="1"/>
  <c r="E1053" i="1"/>
  <c r="D1053" i="1" s="1"/>
  <c r="E1054" i="1"/>
  <c r="D1054" i="1" s="1"/>
  <c r="E1055" i="1"/>
  <c r="D1055" i="1" s="1"/>
  <c r="E1056" i="1"/>
  <c r="D1056" i="1" s="1"/>
  <c r="E1057" i="1"/>
  <c r="D1057" i="1" s="1"/>
  <c r="E1058" i="1"/>
  <c r="D1058" i="1" s="1"/>
  <c r="E1059" i="1"/>
  <c r="D1059" i="1" s="1"/>
  <c r="E1060" i="1"/>
  <c r="D1060" i="1" s="1"/>
  <c r="E1061" i="1"/>
  <c r="D1061" i="1" s="1"/>
  <c r="E1062" i="1"/>
  <c r="D1062" i="1" s="1"/>
  <c r="E1063" i="1"/>
  <c r="D1063" i="1" s="1"/>
  <c r="E1064" i="1"/>
  <c r="D1064" i="1" s="1"/>
  <c r="E1065" i="1"/>
  <c r="D1065" i="1" s="1"/>
  <c r="E1066" i="1"/>
  <c r="D1066" i="1" s="1"/>
  <c r="E1067" i="1"/>
  <c r="D1067" i="1" s="1"/>
  <c r="E1068" i="1"/>
  <c r="D1068" i="1" s="1"/>
  <c r="E1069" i="1"/>
  <c r="D1069" i="1" s="1"/>
  <c r="E1070" i="1"/>
  <c r="D1070" i="1" s="1"/>
  <c r="E1071" i="1"/>
  <c r="D1071" i="1" s="1"/>
  <c r="E1072" i="1"/>
  <c r="D1072" i="1" s="1"/>
  <c r="E1073" i="1"/>
  <c r="D1073" i="1" s="1"/>
  <c r="E1074" i="1"/>
  <c r="D1074" i="1" s="1"/>
  <c r="E1075" i="1"/>
  <c r="D1075" i="1" s="1"/>
  <c r="E1076" i="1"/>
  <c r="D1076" i="1" s="1"/>
  <c r="E1077" i="1"/>
  <c r="D1077" i="1" s="1"/>
  <c r="E1078" i="1"/>
  <c r="D1078" i="1" s="1"/>
  <c r="E1079" i="1"/>
  <c r="D1079" i="1" s="1"/>
  <c r="E1080" i="1"/>
  <c r="D1080" i="1" s="1"/>
  <c r="E1081" i="1"/>
  <c r="D1081" i="1" s="1"/>
  <c r="E1082" i="1"/>
  <c r="D1082" i="1" s="1"/>
  <c r="E1083" i="1"/>
  <c r="D1083" i="1" s="1"/>
  <c r="E1084" i="1"/>
  <c r="D1084" i="1" s="1"/>
  <c r="E1085" i="1"/>
  <c r="D1085" i="1" s="1"/>
  <c r="E1086" i="1"/>
  <c r="D1086" i="1" s="1"/>
  <c r="E1087" i="1"/>
  <c r="D1087" i="1" s="1"/>
  <c r="E1088" i="1"/>
  <c r="D1088" i="1" s="1"/>
  <c r="E1089" i="1"/>
  <c r="D1089" i="1" s="1"/>
  <c r="E1090" i="1"/>
  <c r="D1090" i="1" s="1"/>
  <c r="E1091" i="1"/>
  <c r="D1091" i="1" s="1"/>
  <c r="E1092" i="1"/>
  <c r="D1092" i="1" s="1"/>
  <c r="E1093" i="1"/>
  <c r="D1093" i="1" s="1"/>
  <c r="E1094" i="1"/>
  <c r="D1094" i="1" s="1"/>
  <c r="E1095" i="1"/>
  <c r="D1095" i="1" s="1"/>
  <c r="E1096" i="1"/>
  <c r="D1096" i="1" s="1"/>
  <c r="E1097" i="1"/>
  <c r="D1097" i="1" s="1"/>
  <c r="E1098" i="1"/>
  <c r="D1098" i="1" s="1"/>
  <c r="E1099" i="1"/>
  <c r="D1099" i="1" s="1"/>
  <c r="E1100" i="1"/>
  <c r="D1100" i="1" s="1"/>
  <c r="E1101" i="1"/>
  <c r="D1101" i="1" s="1"/>
  <c r="E1102" i="1"/>
  <c r="D1102" i="1" s="1"/>
  <c r="E1103" i="1"/>
  <c r="D1103" i="1" s="1"/>
  <c r="E1104" i="1"/>
  <c r="D1104" i="1" s="1"/>
  <c r="E1105" i="1"/>
  <c r="D1105" i="1" s="1"/>
  <c r="E1106" i="1"/>
  <c r="D1106" i="1" s="1"/>
  <c r="E1107" i="1"/>
  <c r="D1107" i="1" s="1"/>
  <c r="E1108" i="1"/>
  <c r="D1108" i="1" s="1"/>
  <c r="E1109" i="1"/>
  <c r="D1109" i="1" s="1"/>
  <c r="E1110" i="1"/>
  <c r="D1110" i="1" s="1"/>
  <c r="E1111" i="1"/>
  <c r="D1111" i="1" s="1"/>
  <c r="E1112" i="1"/>
  <c r="D1112" i="1" s="1"/>
  <c r="E1113" i="1"/>
  <c r="D1113" i="1" s="1"/>
  <c r="E1114" i="1"/>
  <c r="D1114" i="1" s="1"/>
  <c r="E1115" i="1"/>
  <c r="D1115" i="1" s="1"/>
  <c r="E1116" i="1"/>
  <c r="D1116" i="1" s="1"/>
  <c r="E1117" i="1"/>
  <c r="D1117" i="1" s="1"/>
  <c r="E1118" i="1"/>
  <c r="D1118" i="1" s="1"/>
  <c r="E1119" i="1"/>
  <c r="D1119" i="1" s="1"/>
  <c r="E1120" i="1"/>
  <c r="D1120" i="1" s="1"/>
  <c r="E1121" i="1"/>
  <c r="D1121" i="1" s="1"/>
  <c r="E1122" i="1"/>
  <c r="D1122" i="1" s="1"/>
  <c r="E1123" i="1"/>
  <c r="D1123" i="1" s="1"/>
  <c r="E1124" i="1"/>
  <c r="D1124" i="1" s="1"/>
  <c r="E1125" i="1"/>
  <c r="D1125" i="1" s="1"/>
  <c r="E1126" i="1"/>
  <c r="D1126" i="1" s="1"/>
  <c r="E1127" i="1"/>
  <c r="D1127" i="1" s="1"/>
  <c r="E1128" i="1"/>
  <c r="D1128" i="1" s="1"/>
  <c r="E1129" i="1"/>
  <c r="D1129" i="1" s="1"/>
  <c r="E1130" i="1"/>
  <c r="D1130" i="1" s="1"/>
  <c r="E1131" i="1"/>
  <c r="D1131" i="1" s="1"/>
  <c r="E1132" i="1"/>
  <c r="D1132" i="1" s="1"/>
  <c r="E1133" i="1"/>
  <c r="D1133" i="1" s="1"/>
  <c r="E1134" i="1"/>
  <c r="D1134" i="1" s="1"/>
  <c r="E1135" i="1"/>
  <c r="D1135" i="1" s="1"/>
  <c r="E1136" i="1"/>
  <c r="D1136" i="1" s="1"/>
  <c r="E1137" i="1"/>
  <c r="D1137" i="1" s="1"/>
  <c r="E1138" i="1"/>
  <c r="D1138" i="1" s="1"/>
  <c r="E1139" i="1"/>
  <c r="D1139" i="1" s="1"/>
  <c r="E1140" i="1"/>
  <c r="D1140" i="1" s="1"/>
  <c r="E1141" i="1"/>
  <c r="D1141" i="1" s="1"/>
  <c r="E1142" i="1"/>
  <c r="D1142" i="1" s="1"/>
  <c r="E1143" i="1"/>
  <c r="D1143" i="1" s="1"/>
  <c r="E1144" i="1"/>
  <c r="D1144" i="1" s="1"/>
  <c r="E1145" i="1"/>
  <c r="D1145" i="1" s="1"/>
  <c r="E1146" i="1"/>
  <c r="D1146" i="1" s="1"/>
  <c r="E1147" i="1"/>
  <c r="D1147" i="1" s="1"/>
  <c r="E1148" i="1"/>
  <c r="D1148" i="1" s="1"/>
  <c r="E1149" i="1"/>
  <c r="D1149" i="1" s="1"/>
  <c r="E1150" i="1"/>
  <c r="D1150" i="1" s="1"/>
  <c r="E1151" i="1"/>
  <c r="D1151" i="1" s="1"/>
  <c r="E1152" i="1"/>
  <c r="D1152" i="1" s="1"/>
  <c r="E1153" i="1"/>
  <c r="D1153" i="1" s="1"/>
  <c r="E1154" i="1"/>
  <c r="D1154" i="1" s="1"/>
  <c r="E1155" i="1"/>
  <c r="D1155" i="1" s="1"/>
  <c r="E1156" i="1"/>
  <c r="D1156" i="1" s="1"/>
  <c r="E1157" i="1"/>
  <c r="D1157" i="1" s="1"/>
  <c r="E1158" i="1"/>
  <c r="D1158" i="1" s="1"/>
  <c r="E1159" i="1"/>
  <c r="D1159" i="1" s="1"/>
  <c r="E1160" i="1"/>
  <c r="D1160" i="1" s="1"/>
  <c r="E1161" i="1"/>
  <c r="D1161" i="1" s="1"/>
  <c r="E1162" i="1"/>
  <c r="D1162" i="1" s="1"/>
  <c r="E1163" i="1"/>
  <c r="D1163" i="1" s="1"/>
  <c r="E1164" i="1"/>
  <c r="D1164" i="1" s="1"/>
  <c r="E1165" i="1"/>
  <c r="D1165" i="1" s="1"/>
  <c r="E1166" i="1"/>
  <c r="D1166" i="1" s="1"/>
  <c r="E1167" i="1"/>
  <c r="D1167" i="1" s="1"/>
  <c r="E1168" i="1"/>
  <c r="D1168" i="1" s="1"/>
  <c r="E1169" i="1"/>
  <c r="D1169" i="1" s="1"/>
  <c r="E1170" i="1"/>
  <c r="D1170" i="1" s="1"/>
  <c r="E1171" i="1"/>
  <c r="D1171" i="1" s="1"/>
  <c r="E1172" i="1"/>
  <c r="D1172" i="1" s="1"/>
  <c r="E1173" i="1"/>
  <c r="D1173" i="1" s="1"/>
  <c r="E1174" i="1"/>
  <c r="D1174" i="1" s="1"/>
  <c r="E1175" i="1"/>
  <c r="D1175" i="1" s="1"/>
  <c r="E1176" i="1"/>
  <c r="D1176" i="1" s="1"/>
  <c r="E1177" i="1"/>
  <c r="D1177" i="1" s="1"/>
  <c r="E1178" i="1"/>
  <c r="D1178" i="1" s="1"/>
  <c r="E1179" i="1"/>
  <c r="D1179" i="1" s="1"/>
  <c r="E1180" i="1"/>
  <c r="D1180" i="1" s="1"/>
  <c r="E1181" i="1"/>
  <c r="D1181" i="1" s="1"/>
  <c r="E1182" i="1"/>
  <c r="D1182" i="1" s="1"/>
  <c r="E1183" i="1"/>
  <c r="D1183" i="1" s="1"/>
  <c r="E1184" i="1"/>
  <c r="D1184" i="1" s="1"/>
  <c r="E1185" i="1"/>
  <c r="D1185" i="1" s="1"/>
  <c r="E1186" i="1"/>
  <c r="D1186" i="1" s="1"/>
  <c r="E1187" i="1"/>
  <c r="D1187" i="1" s="1"/>
  <c r="E1188" i="1"/>
  <c r="D1188" i="1" s="1"/>
  <c r="E1189" i="1"/>
  <c r="D1189" i="1" s="1"/>
  <c r="E1190" i="1"/>
  <c r="D1190" i="1" s="1"/>
  <c r="E1191" i="1"/>
  <c r="D1191" i="1" s="1"/>
  <c r="E1192" i="1"/>
  <c r="D1192" i="1" s="1"/>
  <c r="E1193" i="1"/>
  <c r="D1193" i="1" s="1"/>
  <c r="E1194" i="1"/>
  <c r="D1194" i="1" s="1"/>
  <c r="E1195" i="1"/>
  <c r="D1195" i="1" s="1"/>
  <c r="E1196" i="1"/>
  <c r="D1196" i="1" s="1"/>
  <c r="E1197" i="1"/>
  <c r="D1197" i="1" s="1"/>
  <c r="E1198" i="1"/>
  <c r="D1198" i="1" s="1"/>
  <c r="E1199" i="1"/>
  <c r="D1199" i="1" s="1"/>
  <c r="E1200" i="1"/>
  <c r="D1200" i="1" s="1"/>
  <c r="E1201" i="1"/>
  <c r="D1201" i="1" s="1"/>
  <c r="E1202" i="1"/>
  <c r="D1202" i="1" s="1"/>
  <c r="E1203" i="1"/>
  <c r="D1203" i="1" s="1"/>
  <c r="E1204" i="1"/>
  <c r="D1204" i="1" s="1"/>
  <c r="E1205" i="1"/>
  <c r="D1205" i="1" s="1"/>
  <c r="E1206" i="1"/>
  <c r="D1206" i="1" s="1"/>
  <c r="E1207" i="1"/>
  <c r="D1207" i="1" s="1"/>
  <c r="E1208" i="1"/>
  <c r="D1208" i="1" s="1"/>
  <c r="E1209" i="1"/>
  <c r="D1209" i="1" s="1"/>
  <c r="E1210" i="1"/>
  <c r="D1210" i="1" s="1"/>
  <c r="E1211" i="1"/>
  <c r="D1211" i="1" s="1"/>
  <c r="E1212" i="1"/>
  <c r="D1212" i="1" s="1"/>
  <c r="E1213" i="1"/>
  <c r="D1213" i="1" s="1"/>
  <c r="E1214" i="1"/>
  <c r="D1214" i="1" s="1"/>
  <c r="E1215" i="1"/>
  <c r="D1215" i="1" s="1"/>
  <c r="E1216" i="1"/>
  <c r="D1216" i="1" s="1"/>
  <c r="E1217" i="1"/>
  <c r="D1217" i="1" s="1"/>
  <c r="E1218" i="1"/>
  <c r="D1218" i="1" s="1"/>
  <c r="E1219" i="1"/>
  <c r="D1219" i="1" s="1"/>
  <c r="E1220" i="1"/>
  <c r="D1220" i="1" s="1"/>
  <c r="E1221" i="1"/>
  <c r="D1221" i="1" s="1"/>
  <c r="E1222" i="1"/>
  <c r="D1222" i="1" s="1"/>
  <c r="E1223" i="1"/>
  <c r="D1223" i="1" s="1"/>
  <c r="E1224" i="1"/>
  <c r="D1224" i="1" s="1"/>
  <c r="E1225" i="1"/>
  <c r="D1225" i="1" s="1"/>
  <c r="E1226" i="1"/>
  <c r="D1226" i="1" s="1"/>
  <c r="E1227" i="1"/>
  <c r="D1227" i="1" s="1"/>
  <c r="E1228" i="1"/>
  <c r="D1228" i="1" s="1"/>
  <c r="E1229" i="1"/>
  <c r="D1229" i="1" s="1"/>
  <c r="E1230" i="1"/>
  <c r="D1230" i="1" s="1"/>
  <c r="E1231" i="1"/>
  <c r="D1231" i="1" s="1"/>
  <c r="E1232" i="1"/>
  <c r="D1232" i="1" s="1"/>
  <c r="E1233" i="1"/>
  <c r="D1233" i="1" s="1"/>
  <c r="E1234" i="1"/>
  <c r="D1234" i="1" s="1"/>
  <c r="E1235" i="1"/>
  <c r="D1235" i="1" s="1"/>
  <c r="E1236" i="1"/>
  <c r="D1236" i="1" s="1"/>
  <c r="E1237" i="1"/>
  <c r="D1237" i="1" s="1"/>
  <c r="E1238" i="1"/>
  <c r="D1238" i="1" s="1"/>
  <c r="E1239" i="1"/>
  <c r="D1239" i="1" s="1"/>
  <c r="E1240" i="1"/>
  <c r="D1240" i="1" s="1"/>
  <c r="E1241" i="1"/>
  <c r="D1241" i="1" s="1"/>
  <c r="E1242" i="1"/>
  <c r="D1242" i="1" s="1"/>
  <c r="E1243" i="1"/>
  <c r="D1243" i="1" s="1"/>
  <c r="E1244" i="1"/>
  <c r="D1244" i="1" s="1"/>
  <c r="E1245" i="1"/>
  <c r="D1245" i="1" s="1"/>
  <c r="E1246" i="1"/>
  <c r="D1246" i="1" s="1"/>
  <c r="E1247" i="1"/>
  <c r="D1247" i="1" s="1"/>
  <c r="E1248" i="1"/>
  <c r="D1248" i="1" s="1"/>
  <c r="E1249" i="1"/>
  <c r="D1249" i="1" s="1"/>
  <c r="E1250" i="1"/>
  <c r="D1250" i="1" s="1"/>
  <c r="E1251" i="1"/>
  <c r="D1251" i="1" s="1"/>
  <c r="E1252" i="1"/>
  <c r="D1252" i="1" s="1"/>
  <c r="E1253" i="1"/>
  <c r="D1253" i="1" s="1"/>
  <c r="E1254" i="1"/>
  <c r="D1254" i="1" s="1"/>
  <c r="E1255" i="1"/>
  <c r="D1255" i="1" s="1"/>
  <c r="E1256" i="1"/>
  <c r="D1256" i="1" s="1"/>
  <c r="E1257" i="1"/>
  <c r="D1257" i="1" s="1"/>
  <c r="E1258" i="1"/>
  <c r="D1258" i="1" s="1"/>
  <c r="E1259" i="1"/>
  <c r="D1259" i="1" s="1"/>
  <c r="E1260" i="1"/>
  <c r="D1260" i="1" s="1"/>
  <c r="E1261" i="1"/>
  <c r="D1261" i="1" s="1"/>
  <c r="E1262" i="1"/>
  <c r="D1262" i="1" s="1"/>
  <c r="E1263" i="1"/>
  <c r="D1263" i="1" s="1"/>
  <c r="E1264" i="1"/>
  <c r="D1264" i="1" s="1"/>
  <c r="E1265" i="1"/>
  <c r="D1265" i="1" s="1"/>
  <c r="E1266" i="1"/>
  <c r="D1266" i="1" s="1"/>
  <c r="E1267" i="1"/>
  <c r="D1267" i="1" s="1"/>
  <c r="E1268" i="1"/>
  <c r="D1268" i="1" s="1"/>
  <c r="E1269" i="1"/>
  <c r="D1269" i="1" s="1"/>
  <c r="E1270" i="1"/>
  <c r="D1270" i="1" s="1"/>
  <c r="E1271" i="1"/>
  <c r="D1271" i="1" s="1"/>
  <c r="E1272" i="1"/>
  <c r="D1272" i="1" s="1"/>
  <c r="E1273" i="1"/>
  <c r="D1273" i="1" s="1"/>
  <c r="E1274" i="1"/>
  <c r="D1274" i="1" s="1"/>
  <c r="E1275" i="1"/>
  <c r="D1275" i="1" s="1"/>
  <c r="E1276" i="1"/>
  <c r="D1276" i="1" s="1"/>
  <c r="E1277" i="1"/>
  <c r="D1277" i="1" s="1"/>
  <c r="E1278" i="1"/>
  <c r="D1278" i="1" s="1"/>
  <c r="E1279" i="1"/>
  <c r="D1279" i="1" s="1"/>
  <c r="E1280" i="1"/>
  <c r="D1280" i="1" s="1"/>
  <c r="E1281" i="1"/>
  <c r="D1281" i="1" s="1"/>
  <c r="E1282" i="1"/>
  <c r="D1282" i="1" s="1"/>
  <c r="E1283" i="1"/>
  <c r="D1283" i="1" s="1"/>
  <c r="E1284" i="1"/>
  <c r="D1284" i="1" s="1"/>
  <c r="E1285" i="1"/>
  <c r="D1285" i="1" s="1"/>
  <c r="E1286" i="1"/>
  <c r="D1286" i="1" s="1"/>
  <c r="E1287" i="1"/>
  <c r="D1287" i="1" s="1"/>
  <c r="E1288" i="1"/>
  <c r="D1288" i="1" s="1"/>
  <c r="E1289" i="1"/>
  <c r="D1289" i="1" s="1"/>
  <c r="E1290" i="1"/>
  <c r="D1290" i="1" s="1"/>
  <c r="E1291" i="1"/>
  <c r="D1291" i="1" s="1"/>
  <c r="E1292" i="1"/>
  <c r="D1292" i="1" s="1"/>
  <c r="E1293" i="1"/>
  <c r="D1293" i="1" s="1"/>
  <c r="E1294" i="1"/>
  <c r="D1294" i="1" s="1"/>
  <c r="E1295" i="1"/>
  <c r="D1295" i="1" s="1"/>
  <c r="E1296" i="1"/>
  <c r="D1296" i="1" s="1"/>
  <c r="E1297" i="1"/>
  <c r="D1297" i="1" s="1"/>
  <c r="E1298" i="1"/>
  <c r="D1298" i="1" s="1"/>
  <c r="E1299" i="1"/>
  <c r="D1299" i="1" s="1"/>
  <c r="E1300" i="1"/>
  <c r="D1300" i="1" s="1"/>
  <c r="E1301" i="1"/>
  <c r="D1301" i="1" s="1"/>
  <c r="E1302" i="1"/>
  <c r="D1302" i="1" s="1"/>
  <c r="E1303" i="1"/>
  <c r="D1303" i="1" s="1"/>
  <c r="E1304" i="1"/>
  <c r="D1304" i="1" s="1"/>
  <c r="E1305" i="1"/>
  <c r="D1305" i="1" s="1"/>
  <c r="E1306" i="1"/>
  <c r="D1306" i="1" s="1"/>
  <c r="E1307" i="1"/>
  <c r="D1307" i="1" s="1"/>
  <c r="E1308" i="1"/>
  <c r="D1308" i="1" s="1"/>
  <c r="E1309" i="1"/>
  <c r="D1309" i="1" s="1"/>
  <c r="E1310" i="1"/>
  <c r="D1310" i="1" s="1"/>
  <c r="E1311" i="1"/>
  <c r="D1311" i="1" s="1"/>
  <c r="E1312" i="1"/>
  <c r="D1312" i="1" s="1"/>
  <c r="E1313" i="1"/>
  <c r="D1313" i="1" s="1"/>
  <c r="E1314" i="1"/>
  <c r="D1314" i="1" s="1"/>
  <c r="E1315" i="1"/>
  <c r="D1315" i="1" s="1"/>
  <c r="E1316" i="1"/>
  <c r="D1316" i="1" s="1"/>
  <c r="E1317" i="1"/>
  <c r="D1317" i="1" s="1"/>
  <c r="E1318" i="1"/>
  <c r="D1318" i="1" s="1"/>
  <c r="E1319" i="1"/>
  <c r="D1319" i="1" s="1"/>
  <c r="E1320" i="1"/>
  <c r="D1320" i="1" s="1"/>
  <c r="E1321" i="1"/>
  <c r="D1321" i="1" s="1"/>
  <c r="E1322" i="1"/>
  <c r="D1322" i="1" s="1"/>
  <c r="E1323" i="1"/>
  <c r="D1323" i="1" s="1"/>
  <c r="E1324" i="1"/>
  <c r="D1324" i="1" s="1"/>
  <c r="E1325" i="1"/>
  <c r="D1325" i="1" s="1"/>
  <c r="E1326" i="1"/>
  <c r="D1326" i="1" s="1"/>
  <c r="E1327" i="1"/>
  <c r="D1327" i="1" s="1"/>
  <c r="E1328" i="1"/>
  <c r="D1328" i="1" s="1"/>
  <c r="E1329" i="1"/>
  <c r="D1329" i="1" s="1"/>
  <c r="E1330" i="1"/>
  <c r="D1330" i="1" s="1"/>
  <c r="E1331" i="1"/>
  <c r="D1331" i="1" s="1"/>
  <c r="E1332" i="1"/>
  <c r="D1332" i="1" s="1"/>
  <c r="E1333" i="1"/>
  <c r="D1333" i="1" s="1"/>
  <c r="E1334" i="1"/>
  <c r="D1334" i="1" s="1"/>
  <c r="E1335" i="1"/>
  <c r="D1335" i="1" s="1"/>
  <c r="E1336" i="1"/>
  <c r="D1336" i="1" s="1"/>
  <c r="E1337" i="1"/>
  <c r="D1337" i="1" s="1"/>
  <c r="E1338" i="1"/>
  <c r="D1338" i="1" s="1"/>
  <c r="E1339" i="1"/>
  <c r="D1339" i="1" s="1"/>
  <c r="E1340" i="1"/>
  <c r="D1340" i="1" s="1"/>
  <c r="E1341" i="1"/>
  <c r="D1341" i="1" s="1"/>
  <c r="E1342" i="1"/>
  <c r="D1342" i="1" s="1"/>
  <c r="E1343" i="1"/>
  <c r="D1343" i="1" s="1"/>
  <c r="E1344" i="1"/>
  <c r="D1344" i="1" s="1"/>
  <c r="E1345" i="1"/>
  <c r="D1345" i="1" s="1"/>
  <c r="E1346" i="1"/>
  <c r="D1346" i="1" s="1"/>
  <c r="E1347" i="1"/>
  <c r="D1347" i="1" s="1"/>
  <c r="E1348" i="1"/>
  <c r="D1348" i="1" s="1"/>
  <c r="E1349" i="1"/>
  <c r="D1349" i="1" s="1"/>
  <c r="E1350" i="1"/>
  <c r="D1350" i="1" s="1"/>
  <c r="E1351" i="1"/>
  <c r="D1351" i="1" s="1"/>
  <c r="E1352" i="1"/>
  <c r="D1352" i="1" s="1"/>
  <c r="E1353" i="1"/>
  <c r="D1353" i="1" s="1"/>
  <c r="E1354" i="1"/>
  <c r="D1354" i="1" s="1"/>
  <c r="E1355" i="1"/>
  <c r="D1355" i="1" s="1"/>
  <c r="E1356" i="1"/>
  <c r="D1356" i="1" s="1"/>
  <c r="E1357" i="1"/>
  <c r="D1357" i="1" s="1"/>
  <c r="E1358" i="1"/>
  <c r="D1358" i="1" s="1"/>
  <c r="E1359" i="1"/>
  <c r="D1359" i="1" s="1"/>
  <c r="E1360" i="1"/>
  <c r="D1360" i="1" s="1"/>
  <c r="E1361" i="1"/>
  <c r="D1361" i="1" s="1"/>
  <c r="E1362" i="1"/>
  <c r="D1362" i="1" s="1"/>
  <c r="E1363" i="1"/>
  <c r="D1363" i="1" s="1"/>
  <c r="E1364" i="1"/>
  <c r="D1364" i="1" s="1"/>
  <c r="E1365" i="1"/>
  <c r="D1365" i="1" s="1"/>
  <c r="E1366" i="1"/>
  <c r="D1366" i="1" s="1"/>
  <c r="E1367" i="1"/>
  <c r="D1367" i="1" s="1"/>
  <c r="E1368" i="1"/>
  <c r="D1368" i="1" s="1"/>
  <c r="E1369" i="1"/>
  <c r="D1369" i="1" s="1"/>
  <c r="E1370" i="1"/>
  <c r="D1370" i="1" s="1"/>
  <c r="E1371" i="1"/>
  <c r="D1371" i="1" s="1"/>
  <c r="E1372" i="1"/>
  <c r="D1372" i="1" s="1"/>
  <c r="E1373" i="1"/>
  <c r="D1373" i="1" s="1"/>
  <c r="E1374" i="1"/>
  <c r="D1374" i="1" s="1"/>
  <c r="E1375" i="1"/>
  <c r="D1375" i="1" s="1"/>
  <c r="E1376" i="1"/>
  <c r="D1376" i="1" s="1"/>
  <c r="E1377" i="1"/>
  <c r="D1377" i="1" s="1"/>
  <c r="E1378" i="1"/>
  <c r="D1378" i="1" s="1"/>
  <c r="E1379" i="1"/>
  <c r="D1379" i="1" s="1"/>
  <c r="E1380" i="1"/>
  <c r="D1380" i="1" s="1"/>
  <c r="E1381" i="1"/>
  <c r="D1381" i="1" s="1"/>
  <c r="E1382" i="1"/>
  <c r="D1382" i="1" s="1"/>
  <c r="E1383" i="1"/>
  <c r="D1383" i="1" s="1"/>
  <c r="E1384" i="1"/>
  <c r="D1384" i="1" s="1"/>
  <c r="E1385" i="1"/>
  <c r="D1385" i="1" s="1"/>
  <c r="E1386" i="1"/>
  <c r="D1386" i="1" s="1"/>
  <c r="E1387" i="1"/>
  <c r="D1387" i="1" s="1"/>
  <c r="E1388" i="1"/>
  <c r="D1388" i="1" s="1"/>
  <c r="E1389" i="1"/>
  <c r="D1389" i="1" s="1"/>
  <c r="E1390" i="1"/>
  <c r="D1390" i="1" s="1"/>
  <c r="E1391" i="1"/>
  <c r="D1391" i="1" s="1"/>
  <c r="E1392" i="1"/>
  <c r="D1392" i="1" s="1"/>
  <c r="E1393" i="1"/>
  <c r="D1393" i="1" s="1"/>
  <c r="E1394" i="1"/>
  <c r="D1394" i="1" s="1"/>
  <c r="E1395" i="1"/>
  <c r="D1395" i="1" s="1"/>
  <c r="E1396" i="1"/>
  <c r="D1396" i="1" s="1"/>
  <c r="E1397" i="1"/>
  <c r="D1397" i="1" s="1"/>
  <c r="E1398" i="1"/>
  <c r="D1398" i="1" s="1"/>
  <c r="E1399" i="1"/>
  <c r="D1399" i="1" s="1"/>
  <c r="E1400" i="1"/>
  <c r="D1400" i="1" s="1"/>
  <c r="E1401" i="1"/>
  <c r="D1401" i="1" s="1"/>
  <c r="E1402" i="1"/>
  <c r="D1402" i="1" s="1"/>
  <c r="E1403" i="1"/>
  <c r="D1403" i="1" s="1"/>
  <c r="E1404" i="1"/>
  <c r="D1404" i="1" s="1"/>
  <c r="E1405" i="1"/>
  <c r="D1405" i="1" s="1"/>
  <c r="E1406" i="1"/>
  <c r="D1406" i="1" s="1"/>
  <c r="E1407" i="1"/>
  <c r="D1407" i="1" s="1"/>
  <c r="E1408" i="1"/>
  <c r="D1408" i="1" s="1"/>
  <c r="E1409" i="1"/>
  <c r="D1409" i="1" s="1"/>
  <c r="E1410" i="1"/>
  <c r="D1410" i="1" s="1"/>
  <c r="E1411" i="1"/>
  <c r="D1411" i="1" s="1"/>
  <c r="E1412" i="1"/>
  <c r="D1412" i="1" s="1"/>
  <c r="E1413" i="1"/>
  <c r="D1413" i="1" s="1"/>
  <c r="E1414" i="1"/>
  <c r="D1414" i="1" s="1"/>
  <c r="E1415" i="1"/>
  <c r="D1415" i="1" s="1"/>
  <c r="E1416" i="1"/>
  <c r="D1416" i="1" s="1"/>
  <c r="E1417" i="1"/>
  <c r="D1417" i="1" s="1"/>
  <c r="E1418" i="1"/>
  <c r="D1418" i="1" s="1"/>
  <c r="E1419" i="1"/>
  <c r="D1419" i="1" s="1"/>
  <c r="E1420" i="1"/>
  <c r="D1420" i="1" s="1"/>
  <c r="E1421" i="1"/>
  <c r="D1421" i="1" s="1"/>
  <c r="E1422" i="1"/>
  <c r="D1422" i="1" s="1"/>
  <c r="E1423" i="1"/>
  <c r="D1423" i="1" s="1"/>
  <c r="E1424" i="1"/>
  <c r="D1424" i="1" s="1"/>
  <c r="E1425" i="1"/>
  <c r="D1425" i="1" s="1"/>
  <c r="E1426" i="1"/>
  <c r="D1426" i="1" s="1"/>
  <c r="E1427" i="1"/>
  <c r="D1427" i="1" s="1"/>
  <c r="E1428" i="1"/>
  <c r="D1428" i="1" s="1"/>
  <c r="E1429" i="1"/>
  <c r="D1429" i="1" s="1"/>
  <c r="E1430" i="1"/>
  <c r="D1430" i="1" s="1"/>
  <c r="E1431" i="1"/>
  <c r="D1431" i="1" s="1"/>
  <c r="E1432" i="1"/>
  <c r="D1432" i="1" s="1"/>
  <c r="E1433" i="1"/>
  <c r="D1433" i="1" s="1"/>
  <c r="E1434" i="1"/>
  <c r="D1434" i="1" s="1"/>
  <c r="E1435" i="1"/>
  <c r="D1435" i="1" s="1"/>
  <c r="E1436" i="1"/>
  <c r="D1436" i="1" s="1"/>
  <c r="E1437" i="1"/>
  <c r="D1437" i="1" s="1"/>
  <c r="E1438" i="1"/>
  <c r="D1438" i="1" s="1"/>
  <c r="E1439" i="1"/>
  <c r="D1439" i="1" s="1"/>
  <c r="E1440" i="1"/>
  <c r="D1440" i="1" s="1"/>
  <c r="E1441" i="1"/>
  <c r="D1441" i="1" s="1"/>
  <c r="E1442" i="1"/>
  <c r="D1442" i="1" s="1"/>
  <c r="E1443" i="1"/>
  <c r="D1443" i="1" s="1"/>
  <c r="E1444" i="1"/>
  <c r="D1444" i="1" s="1"/>
  <c r="E1445" i="1"/>
  <c r="D1445" i="1" s="1"/>
  <c r="E1446" i="1"/>
  <c r="D1446" i="1" s="1"/>
  <c r="E1447" i="1"/>
  <c r="D1447" i="1" s="1"/>
  <c r="E1448" i="1"/>
  <c r="D1448" i="1" s="1"/>
  <c r="E1449" i="1"/>
  <c r="D1449" i="1" s="1"/>
  <c r="E1450" i="1"/>
  <c r="D1450" i="1" s="1"/>
  <c r="E1451" i="1"/>
  <c r="D1451" i="1" s="1"/>
  <c r="E1452" i="1"/>
  <c r="D1452" i="1" s="1"/>
  <c r="E1453" i="1"/>
  <c r="D1453" i="1" s="1"/>
  <c r="E1454" i="1"/>
  <c r="D1454" i="1" s="1"/>
  <c r="E1455" i="1"/>
  <c r="D1455" i="1" s="1"/>
  <c r="E1456" i="1"/>
  <c r="D1456" i="1" s="1"/>
  <c r="E1457" i="1"/>
  <c r="D1457" i="1" s="1"/>
  <c r="E1458" i="1"/>
  <c r="D1458" i="1" s="1"/>
  <c r="E1459" i="1"/>
  <c r="D1459" i="1" s="1"/>
  <c r="E1460" i="1"/>
  <c r="D1460" i="1" s="1"/>
  <c r="E1461" i="1"/>
  <c r="D1461" i="1" s="1"/>
  <c r="E1462" i="1"/>
  <c r="D1462" i="1" s="1"/>
  <c r="E1463" i="1"/>
  <c r="D1463" i="1" s="1"/>
  <c r="E1464" i="1"/>
  <c r="D1464" i="1" s="1"/>
  <c r="E1465" i="1"/>
  <c r="D1465" i="1" s="1"/>
  <c r="E1466" i="1"/>
  <c r="D1466" i="1" s="1"/>
  <c r="E1467" i="1"/>
  <c r="D1467" i="1" s="1"/>
  <c r="E1468" i="1"/>
  <c r="D1468" i="1" s="1"/>
  <c r="E1469" i="1"/>
  <c r="D1469" i="1" s="1"/>
  <c r="E1470" i="1"/>
  <c r="D1470" i="1" s="1"/>
  <c r="E1471" i="1"/>
  <c r="D1471" i="1" s="1"/>
  <c r="E1472" i="1"/>
  <c r="D1472" i="1" s="1"/>
  <c r="E1473" i="1"/>
  <c r="D1473" i="1" s="1"/>
  <c r="E1474" i="1"/>
  <c r="D1474" i="1" s="1"/>
  <c r="E1475" i="1"/>
  <c r="D1475" i="1" s="1"/>
  <c r="E1476" i="1"/>
  <c r="D1476" i="1" s="1"/>
  <c r="E1477" i="1"/>
  <c r="D1477" i="1" s="1"/>
  <c r="E1478" i="1"/>
  <c r="D1478" i="1" s="1"/>
  <c r="E1479" i="1"/>
  <c r="D1479" i="1" s="1"/>
  <c r="E1480" i="1"/>
  <c r="D1480" i="1" s="1"/>
  <c r="E1481" i="1"/>
  <c r="D1481" i="1" s="1"/>
  <c r="E1482" i="1"/>
  <c r="D1482" i="1" s="1"/>
  <c r="E1483" i="1"/>
  <c r="D1483" i="1" s="1"/>
  <c r="E1484" i="1"/>
  <c r="D1484" i="1" s="1"/>
  <c r="E1485" i="1"/>
  <c r="D1485" i="1" s="1"/>
  <c r="E1486" i="1"/>
  <c r="D1486" i="1" s="1"/>
  <c r="E1487" i="1"/>
  <c r="D1487" i="1" s="1"/>
  <c r="E1488" i="1"/>
  <c r="D1488" i="1" s="1"/>
  <c r="E1489" i="1"/>
  <c r="D1489" i="1" s="1"/>
  <c r="E1490" i="1"/>
  <c r="D1490" i="1" s="1"/>
  <c r="E1491" i="1"/>
  <c r="D1491" i="1" s="1"/>
  <c r="E1492" i="1"/>
  <c r="D1492" i="1" s="1"/>
  <c r="E1493" i="1"/>
  <c r="D1493" i="1" s="1"/>
  <c r="E1494" i="1"/>
  <c r="D1494" i="1" s="1"/>
  <c r="E1495" i="1"/>
  <c r="D1495" i="1" s="1"/>
  <c r="E1496" i="1"/>
  <c r="D1496" i="1" s="1"/>
  <c r="E1497" i="1"/>
  <c r="D1497" i="1" s="1"/>
  <c r="E1498" i="1"/>
  <c r="D1498" i="1" s="1"/>
  <c r="E1499" i="1"/>
  <c r="D1499" i="1" s="1"/>
  <c r="E1500" i="1"/>
  <c r="D1500" i="1" s="1"/>
  <c r="E1501" i="1"/>
  <c r="D1501" i="1" s="1"/>
  <c r="E1502" i="1"/>
  <c r="D1502" i="1" s="1"/>
  <c r="E1503" i="1"/>
  <c r="D1503" i="1" s="1"/>
  <c r="E1504" i="1"/>
  <c r="D1504" i="1" s="1"/>
  <c r="E1505" i="1"/>
  <c r="D1505" i="1" s="1"/>
  <c r="E1506" i="1"/>
  <c r="D1506" i="1" s="1"/>
  <c r="E1507" i="1"/>
  <c r="D1507" i="1" s="1"/>
  <c r="E1508" i="1"/>
  <c r="D1508" i="1" s="1"/>
  <c r="E1509" i="1"/>
  <c r="D1509" i="1" s="1"/>
  <c r="E1510" i="1"/>
  <c r="D1510" i="1" s="1"/>
  <c r="E1511" i="1"/>
  <c r="D1511" i="1" s="1"/>
  <c r="E1512" i="1"/>
  <c r="D1512" i="1" s="1"/>
  <c r="E1513" i="1"/>
  <c r="D1513" i="1" s="1"/>
  <c r="E1514" i="1"/>
  <c r="D1514" i="1" s="1"/>
  <c r="E1515" i="1"/>
  <c r="D1515" i="1" s="1"/>
  <c r="E1516" i="1"/>
  <c r="D1516" i="1" s="1"/>
  <c r="E1517" i="1"/>
  <c r="D1517" i="1" s="1"/>
  <c r="E1518" i="1"/>
  <c r="D1518" i="1" s="1"/>
  <c r="E1519" i="1"/>
  <c r="D1519" i="1" s="1"/>
  <c r="E1520" i="1"/>
  <c r="D1520" i="1" s="1"/>
  <c r="E1521" i="1"/>
  <c r="D1521" i="1" s="1"/>
  <c r="E1522" i="1"/>
  <c r="D1522" i="1" s="1"/>
  <c r="E1523" i="1"/>
  <c r="D1523" i="1" s="1"/>
  <c r="E1524" i="1"/>
  <c r="D1524" i="1" s="1"/>
  <c r="E1525" i="1"/>
  <c r="D1525" i="1" s="1"/>
  <c r="E1526" i="1"/>
  <c r="D1526" i="1" s="1"/>
  <c r="E1527" i="1"/>
  <c r="D1527" i="1" s="1"/>
  <c r="E1528" i="1"/>
  <c r="D1528" i="1" s="1"/>
  <c r="E1529" i="1"/>
  <c r="D1529" i="1" s="1"/>
  <c r="E1530" i="1"/>
  <c r="D1530" i="1" s="1"/>
  <c r="E1531" i="1"/>
  <c r="D1531" i="1" s="1"/>
  <c r="E1532" i="1"/>
  <c r="D1532" i="1" s="1"/>
  <c r="E1533" i="1"/>
  <c r="D1533" i="1" s="1"/>
  <c r="E1534" i="1"/>
  <c r="D1534" i="1" s="1"/>
  <c r="E1535" i="1"/>
  <c r="D1535" i="1" s="1"/>
  <c r="E1536" i="1"/>
  <c r="D1536" i="1" s="1"/>
  <c r="E1537" i="1"/>
  <c r="D1537" i="1" s="1"/>
  <c r="E1538" i="1"/>
  <c r="D1538" i="1" s="1"/>
  <c r="E1539" i="1"/>
  <c r="D1539" i="1" s="1"/>
  <c r="E1540" i="1"/>
  <c r="D1540" i="1" s="1"/>
  <c r="E1541" i="1"/>
  <c r="D1541" i="1" s="1"/>
  <c r="E1542" i="1"/>
  <c r="D1542" i="1" s="1"/>
  <c r="E1543" i="1"/>
  <c r="D1543" i="1" s="1"/>
  <c r="E1544" i="1"/>
  <c r="D1544" i="1" s="1"/>
  <c r="E1545" i="1"/>
  <c r="D1545" i="1" s="1"/>
  <c r="E1546" i="1"/>
  <c r="D1546" i="1" s="1"/>
  <c r="E1547" i="1"/>
  <c r="D1547" i="1" s="1"/>
  <c r="E1548" i="1"/>
  <c r="D1548" i="1" s="1"/>
  <c r="E1549" i="1"/>
  <c r="D1549" i="1" s="1"/>
  <c r="E1550" i="1"/>
  <c r="D1550" i="1" s="1"/>
  <c r="E1551" i="1"/>
  <c r="D1551" i="1" s="1"/>
  <c r="E1552" i="1"/>
  <c r="D1552" i="1" s="1"/>
  <c r="E1553" i="1"/>
  <c r="D1553" i="1" s="1"/>
  <c r="E1554" i="1"/>
  <c r="D1554" i="1" s="1"/>
  <c r="E1555" i="1"/>
  <c r="D1555" i="1" s="1"/>
  <c r="E1556" i="1"/>
  <c r="D1556" i="1" s="1"/>
  <c r="E1557" i="1"/>
  <c r="D1557" i="1" s="1"/>
  <c r="E1558" i="1"/>
  <c r="D1558" i="1" s="1"/>
  <c r="E1559" i="1"/>
  <c r="D1559" i="1" s="1"/>
  <c r="E1560" i="1"/>
  <c r="D1560" i="1" s="1"/>
  <c r="E1561" i="1"/>
  <c r="D1561" i="1" s="1"/>
  <c r="E1562" i="1"/>
  <c r="D1562" i="1" s="1"/>
  <c r="E1563" i="1"/>
  <c r="D1563" i="1" s="1"/>
  <c r="E1564" i="1"/>
  <c r="D1564" i="1" s="1"/>
  <c r="E1565" i="1"/>
  <c r="D1565" i="1" s="1"/>
  <c r="E1566" i="1"/>
  <c r="D1566" i="1" s="1"/>
  <c r="E1567" i="1"/>
  <c r="D1567" i="1" s="1"/>
  <c r="E1568" i="1"/>
  <c r="D1568" i="1" s="1"/>
  <c r="E1569" i="1"/>
  <c r="D1569" i="1" s="1"/>
  <c r="E1570" i="1"/>
  <c r="D1570" i="1" s="1"/>
  <c r="E1571" i="1"/>
  <c r="D1571" i="1" s="1"/>
  <c r="E1572" i="1"/>
  <c r="D1572" i="1" s="1"/>
  <c r="E1573" i="1"/>
  <c r="D1573" i="1" s="1"/>
  <c r="E1574" i="1"/>
  <c r="D1574" i="1" s="1"/>
  <c r="E1575" i="1"/>
  <c r="D1575" i="1" s="1"/>
  <c r="E1576" i="1"/>
  <c r="D1576" i="1" s="1"/>
  <c r="E1577" i="1"/>
  <c r="D1577" i="1" s="1"/>
  <c r="E1578" i="1"/>
  <c r="D1578" i="1" s="1"/>
  <c r="E1579" i="1"/>
  <c r="D1579" i="1" s="1"/>
  <c r="E1580" i="1"/>
  <c r="D1580" i="1" s="1"/>
  <c r="E1581" i="1"/>
  <c r="D1581" i="1" s="1"/>
  <c r="E1582" i="1"/>
  <c r="D1582" i="1" s="1"/>
  <c r="E1583" i="1"/>
  <c r="D1583" i="1" s="1"/>
  <c r="E1584" i="1"/>
  <c r="D1584" i="1" s="1"/>
  <c r="E1585" i="1"/>
  <c r="D1585" i="1" s="1"/>
  <c r="E1586" i="1"/>
  <c r="D1586" i="1" s="1"/>
  <c r="E1587" i="1"/>
  <c r="D1587" i="1" s="1"/>
  <c r="E1588" i="1"/>
  <c r="D1588" i="1" s="1"/>
  <c r="E1589" i="1"/>
  <c r="D1589" i="1" s="1"/>
  <c r="E1590" i="1"/>
  <c r="D1590" i="1" s="1"/>
  <c r="E1591" i="1"/>
  <c r="D1591" i="1" s="1"/>
  <c r="E1592" i="1"/>
  <c r="D1592" i="1" s="1"/>
  <c r="E1593" i="1"/>
  <c r="D1593" i="1" s="1"/>
  <c r="E1594" i="1"/>
  <c r="D1594" i="1" s="1"/>
  <c r="E1595" i="1"/>
  <c r="D1595" i="1" s="1"/>
  <c r="E1596" i="1"/>
  <c r="D1596" i="1" s="1"/>
  <c r="E1597" i="1"/>
  <c r="D1597" i="1" s="1"/>
  <c r="E1598" i="1"/>
  <c r="D1598" i="1" s="1"/>
  <c r="E1599" i="1"/>
  <c r="D1599" i="1" s="1"/>
  <c r="E1600" i="1"/>
  <c r="D1600" i="1" s="1"/>
  <c r="E1601" i="1"/>
  <c r="D1601" i="1" s="1"/>
  <c r="E1602" i="1"/>
  <c r="D1602" i="1" s="1"/>
  <c r="E1603" i="1"/>
  <c r="D1603" i="1" s="1"/>
  <c r="E1604" i="1"/>
  <c r="D1604" i="1" s="1"/>
  <c r="E1605" i="1"/>
  <c r="D1605" i="1" s="1"/>
  <c r="E1606" i="1"/>
  <c r="D1606" i="1" s="1"/>
  <c r="E1607" i="1"/>
  <c r="D1607" i="1" s="1"/>
  <c r="E1608" i="1"/>
  <c r="D1608" i="1" s="1"/>
  <c r="E1609" i="1"/>
  <c r="D1609" i="1" s="1"/>
  <c r="E1610" i="1"/>
  <c r="D1610" i="1" s="1"/>
  <c r="E1611" i="1"/>
  <c r="D1611" i="1" s="1"/>
  <c r="E1612" i="1"/>
  <c r="D1612" i="1" s="1"/>
  <c r="E1613" i="1"/>
  <c r="D1613" i="1" s="1"/>
  <c r="E1614" i="1"/>
  <c r="D1614" i="1" s="1"/>
  <c r="E1615" i="1"/>
  <c r="D1615" i="1" s="1"/>
  <c r="E1616" i="1"/>
  <c r="D1616" i="1" s="1"/>
  <c r="E1617" i="1"/>
  <c r="D1617" i="1" s="1"/>
  <c r="E1618" i="1"/>
  <c r="D1618" i="1" s="1"/>
  <c r="E1619" i="1"/>
  <c r="D1619" i="1" s="1"/>
  <c r="E1620" i="1"/>
  <c r="D1620" i="1" s="1"/>
  <c r="E1621" i="1"/>
  <c r="D1621" i="1" s="1"/>
  <c r="E1622" i="1"/>
  <c r="D1622" i="1" s="1"/>
  <c r="E1623" i="1"/>
  <c r="D1623" i="1" s="1"/>
  <c r="E1624" i="1"/>
  <c r="D1624" i="1" s="1"/>
  <c r="E1625" i="1"/>
  <c r="D1625" i="1" s="1"/>
  <c r="E1626" i="1"/>
  <c r="D1626" i="1" s="1"/>
  <c r="E1627" i="1"/>
  <c r="D1627" i="1" s="1"/>
  <c r="E1628" i="1"/>
  <c r="D1628" i="1" s="1"/>
  <c r="E1629" i="1"/>
  <c r="D1629" i="1" s="1"/>
  <c r="E1630" i="1"/>
  <c r="D1630" i="1" s="1"/>
  <c r="E1631" i="1"/>
  <c r="D1631" i="1" s="1"/>
  <c r="E1632" i="1"/>
  <c r="D1632" i="1" s="1"/>
  <c r="E1633" i="1"/>
  <c r="D1633" i="1" s="1"/>
  <c r="E1634" i="1"/>
  <c r="D1634" i="1" s="1"/>
  <c r="E1635" i="1"/>
  <c r="D1635" i="1" s="1"/>
  <c r="E1636" i="1"/>
  <c r="D1636" i="1" s="1"/>
  <c r="E1637" i="1"/>
  <c r="D1637" i="1" s="1"/>
  <c r="E1638" i="1"/>
  <c r="D1638" i="1" s="1"/>
  <c r="E1639" i="1"/>
  <c r="D1639" i="1" s="1"/>
  <c r="E1640" i="1"/>
  <c r="D1640" i="1" s="1"/>
  <c r="E1641" i="1"/>
  <c r="D1641" i="1" s="1"/>
  <c r="E1642" i="1"/>
  <c r="D1642" i="1" s="1"/>
  <c r="E1643" i="1"/>
  <c r="D1643" i="1" s="1"/>
  <c r="E1644" i="1"/>
  <c r="D1644" i="1" s="1"/>
  <c r="E1645" i="1"/>
  <c r="D1645" i="1" s="1"/>
  <c r="E1646" i="1"/>
  <c r="D1646" i="1" s="1"/>
  <c r="E1647" i="1"/>
  <c r="D1647" i="1" s="1"/>
  <c r="E1648" i="1"/>
  <c r="D1648" i="1" s="1"/>
  <c r="E1649" i="1"/>
  <c r="D1649" i="1" s="1"/>
  <c r="E1650" i="1"/>
  <c r="D1650" i="1" s="1"/>
  <c r="E1651" i="1"/>
  <c r="D1651" i="1" s="1"/>
  <c r="E1652" i="1"/>
  <c r="D1652" i="1" s="1"/>
  <c r="E1653" i="1"/>
  <c r="D1653" i="1" s="1"/>
  <c r="E1654" i="1"/>
  <c r="D1654" i="1" s="1"/>
  <c r="E1655" i="1"/>
  <c r="D1655" i="1" s="1"/>
  <c r="E1656" i="1"/>
  <c r="D1656" i="1" s="1"/>
  <c r="E1657" i="1"/>
  <c r="D1657" i="1" s="1"/>
  <c r="E1658" i="1"/>
  <c r="D1658" i="1" s="1"/>
  <c r="E1659" i="1"/>
  <c r="D1659" i="1" s="1"/>
  <c r="E1660" i="1"/>
  <c r="D1660" i="1" s="1"/>
  <c r="E1661" i="1"/>
  <c r="D1661" i="1" s="1"/>
  <c r="E1662" i="1"/>
  <c r="D1662" i="1" s="1"/>
  <c r="E1663" i="1"/>
  <c r="D1663" i="1" s="1"/>
  <c r="E1664" i="1"/>
  <c r="D1664" i="1" s="1"/>
  <c r="E1665" i="1"/>
  <c r="D1665" i="1" s="1"/>
  <c r="E1666" i="1"/>
  <c r="D1666" i="1" s="1"/>
  <c r="E1667" i="1"/>
  <c r="D1667" i="1" s="1"/>
  <c r="E1668" i="1"/>
  <c r="D1668" i="1" s="1"/>
  <c r="E1669" i="1"/>
  <c r="D1669" i="1" s="1"/>
  <c r="E1670" i="1"/>
  <c r="D1670" i="1" s="1"/>
  <c r="E1671" i="1"/>
  <c r="D1671" i="1" s="1"/>
  <c r="E1672" i="1"/>
  <c r="D1672" i="1" s="1"/>
  <c r="E1673" i="1"/>
  <c r="D1673" i="1" s="1"/>
  <c r="E1674" i="1"/>
  <c r="D1674" i="1" s="1"/>
  <c r="E1675" i="1"/>
  <c r="D1675" i="1" s="1"/>
  <c r="E1676" i="1"/>
  <c r="D1676" i="1" s="1"/>
  <c r="E1677" i="1"/>
  <c r="D1677" i="1" s="1"/>
  <c r="E1678" i="1"/>
  <c r="D1678" i="1" s="1"/>
  <c r="E1679" i="1"/>
  <c r="D1679" i="1" s="1"/>
  <c r="E1680" i="1"/>
  <c r="D1680" i="1" s="1"/>
  <c r="E1681" i="1"/>
  <c r="D1681" i="1" s="1"/>
  <c r="E1682" i="1"/>
  <c r="D1682" i="1" s="1"/>
  <c r="E1683" i="1"/>
  <c r="D1683" i="1" s="1"/>
  <c r="E1684" i="1"/>
  <c r="D1684" i="1" s="1"/>
  <c r="E1685" i="1"/>
  <c r="D1685" i="1" s="1"/>
  <c r="E1686" i="1"/>
  <c r="D1686" i="1" s="1"/>
  <c r="E1687" i="1"/>
  <c r="D1687" i="1" s="1"/>
  <c r="E1688" i="1"/>
  <c r="D1688" i="1" s="1"/>
  <c r="E1689" i="1"/>
  <c r="D1689" i="1" s="1"/>
  <c r="E1690" i="1"/>
  <c r="D1690" i="1" s="1"/>
  <c r="E1691" i="1"/>
  <c r="D1691" i="1" s="1"/>
  <c r="E1692" i="1"/>
  <c r="D1692" i="1" s="1"/>
  <c r="E1693" i="1"/>
  <c r="D1693" i="1" s="1"/>
  <c r="E1694" i="1"/>
  <c r="D1694" i="1" s="1"/>
  <c r="E1695" i="1"/>
  <c r="D1695" i="1" s="1"/>
  <c r="E1696" i="1"/>
  <c r="D1696" i="1" s="1"/>
  <c r="E1697" i="1"/>
  <c r="D1697" i="1" s="1"/>
  <c r="E1698" i="1"/>
  <c r="D1698" i="1" s="1"/>
  <c r="E1699" i="1"/>
  <c r="D1699" i="1" s="1"/>
  <c r="E1700" i="1"/>
  <c r="D1700" i="1" s="1"/>
  <c r="E1701" i="1"/>
  <c r="D1701" i="1" s="1"/>
  <c r="E1702" i="1"/>
  <c r="D1702" i="1" s="1"/>
  <c r="E1703" i="1"/>
  <c r="D1703" i="1" s="1"/>
  <c r="E1704" i="1"/>
  <c r="D1704" i="1" s="1"/>
  <c r="E1705" i="1"/>
  <c r="D1705" i="1" s="1"/>
  <c r="E1706" i="1"/>
  <c r="D1706" i="1" s="1"/>
  <c r="E1707" i="1"/>
  <c r="D1707" i="1" s="1"/>
  <c r="E1708" i="1"/>
  <c r="D1708" i="1" s="1"/>
  <c r="E1709" i="1"/>
  <c r="D1709" i="1" s="1"/>
  <c r="E1710" i="1"/>
  <c r="D1710" i="1" s="1"/>
  <c r="E1711" i="1"/>
  <c r="D1711" i="1" s="1"/>
  <c r="E1712" i="1"/>
  <c r="D1712" i="1" s="1"/>
  <c r="E1713" i="1"/>
  <c r="D1713" i="1" s="1"/>
  <c r="E1714" i="1"/>
  <c r="D1714" i="1" s="1"/>
  <c r="E1715" i="1"/>
  <c r="D1715" i="1" s="1"/>
  <c r="E1716" i="1"/>
  <c r="D1716" i="1" s="1"/>
  <c r="E1717" i="1"/>
  <c r="D1717" i="1" s="1"/>
  <c r="E1718" i="1"/>
  <c r="D1718" i="1" s="1"/>
  <c r="E1719" i="1"/>
  <c r="D1719" i="1" s="1"/>
  <c r="E1720" i="1"/>
  <c r="D1720" i="1" s="1"/>
  <c r="E1721" i="1"/>
  <c r="D1721" i="1" s="1"/>
  <c r="E1722" i="1"/>
  <c r="D1722" i="1" s="1"/>
  <c r="E1723" i="1"/>
  <c r="D1723" i="1" s="1"/>
  <c r="E1724" i="1"/>
  <c r="D1724" i="1" s="1"/>
  <c r="E1725" i="1"/>
  <c r="D1725" i="1" s="1"/>
  <c r="E1726" i="1"/>
  <c r="D1726" i="1" s="1"/>
  <c r="E1727" i="1"/>
  <c r="D1727" i="1" s="1"/>
  <c r="E1728" i="1"/>
  <c r="D1728" i="1" s="1"/>
  <c r="E1729" i="1"/>
  <c r="D1729" i="1" s="1"/>
  <c r="E1730" i="1"/>
  <c r="D1730" i="1" s="1"/>
  <c r="E1731" i="1"/>
  <c r="D1731" i="1" s="1"/>
  <c r="E1732" i="1"/>
  <c r="D1732" i="1" s="1"/>
  <c r="E1733" i="1"/>
  <c r="D1733" i="1" s="1"/>
  <c r="E1734" i="1"/>
  <c r="D1734" i="1" s="1"/>
  <c r="E1735" i="1"/>
  <c r="D1735" i="1" s="1"/>
  <c r="E1736" i="1"/>
  <c r="D1736" i="1" s="1"/>
  <c r="E1737" i="1"/>
  <c r="D1737" i="1" s="1"/>
  <c r="E1738" i="1"/>
  <c r="D1738" i="1" s="1"/>
  <c r="E1739" i="1"/>
  <c r="D1739" i="1" s="1"/>
  <c r="E1740" i="1"/>
  <c r="D1740" i="1" s="1"/>
  <c r="E1741" i="1"/>
  <c r="D1741" i="1" s="1"/>
  <c r="E1742" i="1"/>
  <c r="D1742" i="1" s="1"/>
  <c r="E1743" i="1"/>
  <c r="D1743" i="1" s="1"/>
  <c r="E1744" i="1"/>
  <c r="D1744" i="1" s="1"/>
  <c r="E1745" i="1"/>
  <c r="D1745" i="1" s="1"/>
  <c r="E1746" i="1"/>
  <c r="D1746" i="1" s="1"/>
  <c r="E1747" i="1"/>
  <c r="D1747" i="1" s="1"/>
  <c r="E1748" i="1"/>
  <c r="D1748" i="1" s="1"/>
  <c r="E1749" i="1"/>
  <c r="D1749" i="1" s="1"/>
  <c r="E1750" i="1"/>
  <c r="D1750" i="1" s="1"/>
  <c r="E1751" i="1"/>
  <c r="D1751" i="1" s="1"/>
  <c r="E1752" i="1"/>
  <c r="D1752" i="1" s="1"/>
  <c r="E1753" i="1"/>
  <c r="D1753" i="1" s="1"/>
  <c r="E1754" i="1"/>
  <c r="D1754" i="1" s="1"/>
  <c r="E1755" i="1"/>
  <c r="D1755" i="1" s="1"/>
  <c r="E1756" i="1"/>
  <c r="D1756" i="1" s="1"/>
  <c r="E1757" i="1"/>
  <c r="D1757" i="1" s="1"/>
  <c r="E1758" i="1"/>
  <c r="D1758" i="1" s="1"/>
  <c r="E1759" i="1"/>
  <c r="D1759" i="1" s="1"/>
  <c r="E1760" i="1"/>
  <c r="D1760" i="1" s="1"/>
  <c r="E1761" i="1"/>
  <c r="D1761" i="1" s="1"/>
  <c r="E1762" i="1"/>
  <c r="D1762" i="1" s="1"/>
  <c r="E1763" i="1"/>
  <c r="D1763" i="1" s="1"/>
  <c r="E1764" i="1"/>
  <c r="D1764" i="1" s="1"/>
  <c r="E1765" i="1"/>
  <c r="D1765" i="1" s="1"/>
  <c r="E1766" i="1"/>
  <c r="D1766" i="1" s="1"/>
  <c r="E1767" i="1"/>
  <c r="D1767" i="1" s="1"/>
  <c r="E1768" i="1"/>
  <c r="D1768" i="1" s="1"/>
  <c r="E1769" i="1"/>
  <c r="D1769" i="1" s="1"/>
  <c r="E1770" i="1"/>
  <c r="D1770" i="1" s="1"/>
  <c r="E1771" i="1"/>
  <c r="D1771" i="1" s="1"/>
  <c r="E1772" i="1"/>
  <c r="D1772" i="1" s="1"/>
  <c r="E1773" i="1"/>
  <c r="D1773" i="1" s="1"/>
  <c r="E1774" i="1"/>
  <c r="D1774" i="1" s="1"/>
  <c r="E1775" i="1"/>
  <c r="D1775" i="1" s="1"/>
  <c r="E1776" i="1"/>
  <c r="D1776" i="1" s="1"/>
  <c r="E1777" i="1"/>
  <c r="D1777" i="1" s="1"/>
  <c r="E1778" i="1"/>
  <c r="D1778" i="1" s="1"/>
  <c r="E1779" i="1"/>
  <c r="D1779" i="1" s="1"/>
  <c r="E1780" i="1"/>
  <c r="D1780" i="1" s="1"/>
  <c r="E1781" i="1"/>
  <c r="D1781" i="1" s="1"/>
  <c r="E1782" i="1"/>
  <c r="D1782" i="1" s="1"/>
  <c r="E1783" i="1"/>
  <c r="D1783" i="1" s="1"/>
  <c r="E1784" i="1"/>
  <c r="D1784" i="1" s="1"/>
  <c r="E1785" i="1"/>
  <c r="D1785" i="1" s="1"/>
  <c r="E1786" i="1"/>
  <c r="D1786" i="1" s="1"/>
  <c r="E1787" i="1"/>
  <c r="D1787" i="1" s="1"/>
  <c r="E1788" i="1"/>
  <c r="D1788" i="1" s="1"/>
  <c r="E1789" i="1"/>
  <c r="D1789" i="1" s="1"/>
  <c r="E1790" i="1"/>
  <c r="D1790" i="1" s="1"/>
  <c r="E1791" i="1"/>
  <c r="D1791" i="1" s="1"/>
  <c r="E1792" i="1"/>
  <c r="D1792" i="1" s="1"/>
  <c r="E1793" i="1"/>
  <c r="D1793" i="1" s="1"/>
  <c r="E1794" i="1"/>
  <c r="D1794" i="1" s="1"/>
  <c r="E1795" i="1"/>
  <c r="D1795" i="1" s="1"/>
  <c r="E1796" i="1"/>
  <c r="D1796" i="1" s="1"/>
  <c r="E1797" i="1"/>
  <c r="D1797" i="1" s="1"/>
  <c r="E1798" i="1"/>
  <c r="D1798" i="1" s="1"/>
  <c r="E1799" i="1"/>
  <c r="D1799" i="1" s="1"/>
  <c r="E1800" i="1"/>
  <c r="D1800" i="1" s="1"/>
  <c r="E1801" i="1"/>
  <c r="D1801" i="1" s="1"/>
  <c r="E1802" i="1"/>
  <c r="D1802" i="1" s="1"/>
  <c r="E1803" i="1"/>
  <c r="D1803" i="1" s="1"/>
  <c r="E1804" i="1"/>
  <c r="D1804" i="1" s="1"/>
  <c r="E1805" i="1"/>
  <c r="D1805" i="1" s="1"/>
  <c r="E1806" i="1"/>
  <c r="D1806" i="1" s="1"/>
  <c r="E1807" i="1"/>
  <c r="D1807" i="1" s="1"/>
  <c r="E1808" i="1"/>
  <c r="D1808" i="1" s="1"/>
  <c r="E1809" i="1"/>
  <c r="D1809" i="1" s="1"/>
  <c r="E1810" i="1"/>
  <c r="D1810" i="1" s="1"/>
  <c r="E1811" i="1"/>
  <c r="D1811" i="1" s="1"/>
  <c r="E1812" i="1"/>
  <c r="D1812" i="1" s="1"/>
  <c r="E1813" i="1"/>
  <c r="D1813" i="1" s="1"/>
  <c r="E1814" i="1"/>
  <c r="D1814" i="1" s="1"/>
  <c r="E1815" i="1"/>
  <c r="D1815" i="1" s="1"/>
  <c r="E1816" i="1"/>
  <c r="D1816" i="1" s="1"/>
  <c r="E1817" i="1"/>
  <c r="D1817" i="1" s="1"/>
  <c r="E1818" i="1"/>
  <c r="D1818" i="1" s="1"/>
  <c r="E1819" i="1"/>
  <c r="D1819" i="1" s="1"/>
  <c r="E1820" i="1"/>
  <c r="D1820" i="1" s="1"/>
  <c r="E1821" i="1"/>
  <c r="D1821" i="1" s="1"/>
  <c r="E1822" i="1"/>
  <c r="D1822" i="1" s="1"/>
  <c r="E1823" i="1"/>
  <c r="D1823" i="1" s="1"/>
  <c r="E1824" i="1"/>
  <c r="D1824" i="1" s="1"/>
  <c r="E1825" i="1"/>
  <c r="D1825" i="1" s="1"/>
  <c r="E1826" i="1"/>
  <c r="D1826" i="1" s="1"/>
  <c r="E1827" i="1"/>
  <c r="D1827" i="1" s="1"/>
  <c r="E1828" i="1"/>
  <c r="D1828" i="1" s="1"/>
  <c r="E1829" i="1"/>
  <c r="D1829" i="1" s="1"/>
  <c r="E1830" i="1"/>
  <c r="D1830" i="1" s="1"/>
  <c r="E1831" i="1"/>
  <c r="D1831" i="1" s="1"/>
  <c r="E1832" i="1"/>
  <c r="D1832" i="1" s="1"/>
  <c r="E1833" i="1"/>
  <c r="D1833" i="1" s="1"/>
  <c r="E1834" i="1"/>
  <c r="D1834" i="1" s="1"/>
  <c r="E1835" i="1"/>
  <c r="D1835" i="1" s="1"/>
  <c r="E1836" i="1"/>
  <c r="D1836" i="1" s="1"/>
  <c r="E1837" i="1"/>
  <c r="D1837" i="1" s="1"/>
  <c r="E1838" i="1"/>
  <c r="D1838" i="1" s="1"/>
  <c r="E1839" i="1"/>
  <c r="D1839" i="1" s="1"/>
  <c r="E1840" i="1"/>
  <c r="D1840" i="1" s="1"/>
  <c r="E1841" i="1"/>
  <c r="D1841" i="1" s="1"/>
  <c r="E1842" i="1"/>
  <c r="D1842" i="1" s="1"/>
  <c r="E1843" i="1"/>
  <c r="D1843" i="1" s="1"/>
  <c r="E1844" i="1"/>
  <c r="D1844" i="1" s="1"/>
  <c r="E1845" i="1"/>
  <c r="D1845" i="1" s="1"/>
  <c r="E1846" i="1"/>
  <c r="D1846" i="1" s="1"/>
  <c r="E1847" i="1"/>
  <c r="D1847" i="1" s="1"/>
  <c r="E1848" i="1"/>
  <c r="D1848" i="1" s="1"/>
  <c r="E1849" i="1"/>
  <c r="D1849" i="1" s="1"/>
  <c r="E1850" i="1"/>
  <c r="D1850" i="1" s="1"/>
  <c r="E1851" i="1"/>
  <c r="D1851" i="1" s="1"/>
  <c r="E1852" i="1"/>
  <c r="D1852" i="1" s="1"/>
  <c r="E1853" i="1"/>
  <c r="D1853" i="1" s="1"/>
  <c r="E1854" i="1"/>
  <c r="D1854" i="1" s="1"/>
  <c r="E1855" i="1"/>
  <c r="D1855" i="1" s="1"/>
  <c r="E1856" i="1"/>
  <c r="D1856" i="1" s="1"/>
  <c r="E1857" i="1"/>
  <c r="D1857" i="1" s="1"/>
  <c r="E1858" i="1"/>
  <c r="D1858" i="1" s="1"/>
  <c r="E1859" i="1"/>
  <c r="D1859" i="1" s="1"/>
  <c r="E1860" i="1"/>
  <c r="D1860" i="1" s="1"/>
  <c r="E1861" i="1"/>
  <c r="D1861" i="1" s="1"/>
  <c r="E1862" i="1"/>
  <c r="D1862" i="1" s="1"/>
  <c r="E1863" i="1"/>
  <c r="D1863" i="1" s="1"/>
  <c r="E1864" i="1"/>
  <c r="D1864" i="1" s="1"/>
  <c r="E1865" i="1"/>
  <c r="D1865" i="1" s="1"/>
  <c r="E1866" i="1"/>
  <c r="D1866" i="1" s="1"/>
  <c r="E1867" i="1"/>
  <c r="D1867" i="1" s="1"/>
  <c r="E1868" i="1"/>
  <c r="D1868" i="1" s="1"/>
  <c r="E1869" i="1"/>
  <c r="D1869" i="1" s="1"/>
  <c r="E1870" i="1"/>
  <c r="D1870" i="1" s="1"/>
  <c r="E1871" i="1"/>
  <c r="D1871" i="1" s="1"/>
  <c r="E1872" i="1"/>
  <c r="D1872" i="1" s="1"/>
  <c r="E1873" i="1"/>
  <c r="D1873" i="1" s="1"/>
  <c r="E1874" i="1"/>
  <c r="D1874" i="1" s="1"/>
  <c r="E1875" i="1"/>
  <c r="D1875" i="1" s="1"/>
  <c r="E1876" i="1"/>
  <c r="D1876" i="1" s="1"/>
  <c r="E1877" i="1"/>
  <c r="D1877" i="1" s="1"/>
  <c r="E1878" i="1"/>
  <c r="D1878" i="1" s="1"/>
  <c r="E1879" i="1"/>
  <c r="D1879" i="1" s="1"/>
  <c r="E1880" i="1"/>
  <c r="D1880" i="1" s="1"/>
  <c r="E1881" i="1"/>
  <c r="D1881" i="1" s="1"/>
  <c r="E1882" i="1"/>
  <c r="D1882" i="1" s="1"/>
  <c r="E1883" i="1"/>
  <c r="D1883" i="1" s="1"/>
  <c r="E1884" i="1"/>
  <c r="D1884" i="1" s="1"/>
  <c r="E1885" i="1"/>
  <c r="D1885" i="1" s="1"/>
  <c r="E1886" i="1"/>
  <c r="D1886" i="1" s="1"/>
  <c r="E1887" i="1"/>
  <c r="D1887" i="1" s="1"/>
  <c r="E1888" i="1"/>
  <c r="D1888" i="1" s="1"/>
  <c r="E1889" i="1"/>
  <c r="D1889" i="1" s="1"/>
  <c r="E1890" i="1"/>
  <c r="D1890" i="1" s="1"/>
  <c r="E1891" i="1"/>
  <c r="D1891" i="1" s="1"/>
  <c r="E1892" i="1"/>
  <c r="D1892" i="1" s="1"/>
  <c r="E1893" i="1"/>
  <c r="D1893" i="1" s="1"/>
  <c r="E1894" i="1"/>
  <c r="D1894" i="1" s="1"/>
  <c r="E1895" i="1"/>
  <c r="D1895" i="1" s="1"/>
  <c r="E1896" i="1"/>
  <c r="D1896" i="1" s="1"/>
  <c r="E1897" i="1"/>
  <c r="D1897" i="1" s="1"/>
  <c r="E1898" i="1"/>
  <c r="D1898" i="1" s="1"/>
  <c r="E1899" i="1"/>
  <c r="D1899" i="1" s="1"/>
  <c r="E1900" i="1"/>
  <c r="D1900" i="1" s="1"/>
  <c r="E1901" i="1"/>
  <c r="D1901" i="1" s="1"/>
  <c r="E1902" i="1"/>
  <c r="D1902" i="1" s="1"/>
  <c r="E1903" i="1"/>
  <c r="D1903" i="1" s="1"/>
  <c r="E1904" i="1"/>
  <c r="D1904" i="1" s="1"/>
  <c r="E1905" i="1"/>
  <c r="D1905" i="1" s="1"/>
  <c r="E1906" i="1"/>
  <c r="D1906" i="1" s="1"/>
  <c r="E1907" i="1"/>
  <c r="D1907" i="1" s="1"/>
  <c r="E1908" i="1"/>
  <c r="D1908" i="1" s="1"/>
  <c r="E1909" i="1"/>
  <c r="D1909" i="1" s="1"/>
  <c r="E1910" i="1"/>
  <c r="D1910" i="1" s="1"/>
  <c r="E1911" i="1"/>
  <c r="D1911" i="1" s="1"/>
  <c r="E1912" i="1"/>
  <c r="D1912" i="1" s="1"/>
  <c r="E1913" i="1"/>
  <c r="D1913" i="1" s="1"/>
  <c r="E1914" i="1"/>
  <c r="D1914" i="1" s="1"/>
  <c r="E1915" i="1"/>
  <c r="D1915" i="1" s="1"/>
  <c r="E1916" i="1"/>
  <c r="D1916" i="1" s="1"/>
  <c r="E1917" i="1"/>
  <c r="D1917" i="1" s="1"/>
  <c r="E1918" i="1"/>
  <c r="D1918" i="1" s="1"/>
  <c r="E1919" i="1"/>
  <c r="D1919" i="1" s="1"/>
  <c r="E1920" i="1"/>
  <c r="D1920" i="1" s="1"/>
  <c r="E1921" i="1"/>
  <c r="D1921" i="1" s="1"/>
  <c r="E1922" i="1"/>
  <c r="D1922" i="1" s="1"/>
  <c r="E1923" i="1"/>
  <c r="D1923" i="1" s="1"/>
  <c r="E1924" i="1"/>
  <c r="D1924" i="1" s="1"/>
  <c r="E1925" i="1"/>
  <c r="D1925" i="1" s="1"/>
  <c r="E1926" i="1"/>
  <c r="D1926" i="1" s="1"/>
  <c r="E1927" i="1"/>
  <c r="D1927" i="1" s="1"/>
  <c r="E1928" i="1"/>
  <c r="D1928" i="1" s="1"/>
  <c r="E1929" i="1"/>
  <c r="D1929" i="1" s="1"/>
  <c r="E1930" i="1"/>
  <c r="D1930" i="1" s="1"/>
  <c r="E1931" i="1"/>
  <c r="D1931" i="1" s="1"/>
  <c r="E1932" i="1"/>
  <c r="D1932" i="1" s="1"/>
  <c r="E1933" i="1"/>
  <c r="D1933" i="1" s="1"/>
  <c r="E1934" i="1"/>
  <c r="D1934" i="1" s="1"/>
  <c r="E1935" i="1"/>
  <c r="D1935" i="1" s="1"/>
  <c r="E1936" i="1"/>
  <c r="D1936" i="1" s="1"/>
  <c r="E1937" i="1"/>
  <c r="D1937" i="1" s="1"/>
  <c r="E1938" i="1"/>
  <c r="D1938" i="1" s="1"/>
  <c r="E1939" i="1"/>
  <c r="D1939" i="1" s="1"/>
  <c r="E1940" i="1"/>
  <c r="D1940" i="1" s="1"/>
  <c r="E1941" i="1"/>
  <c r="D1941" i="1" s="1"/>
  <c r="E1942" i="1"/>
  <c r="D1942" i="1" s="1"/>
  <c r="E1943" i="1"/>
  <c r="D1943" i="1" s="1"/>
  <c r="E1944" i="1"/>
  <c r="D1944" i="1" s="1"/>
  <c r="E1945" i="1"/>
  <c r="D1945" i="1" s="1"/>
  <c r="E1946" i="1"/>
  <c r="D1946" i="1" s="1"/>
  <c r="E1947" i="1"/>
  <c r="D1947" i="1" s="1"/>
  <c r="E1948" i="1"/>
  <c r="D1948" i="1" s="1"/>
  <c r="E1949" i="1"/>
  <c r="D1949" i="1" s="1"/>
  <c r="E1950" i="1"/>
  <c r="D1950" i="1" s="1"/>
  <c r="E1951" i="1"/>
  <c r="D1951" i="1" s="1"/>
  <c r="E1952" i="1"/>
  <c r="D1952" i="1" s="1"/>
  <c r="E1953" i="1"/>
  <c r="D1953" i="1" s="1"/>
  <c r="E1954" i="1"/>
  <c r="D1954" i="1" s="1"/>
  <c r="E1955" i="1"/>
  <c r="D1955" i="1" s="1"/>
  <c r="E1956" i="1"/>
  <c r="D1956" i="1" s="1"/>
  <c r="E1957" i="1"/>
  <c r="D1957" i="1" s="1"/>
  <c r="E1958" i="1"/>
  <c r="D1958" i="1" s="1"/>
  <c r="E1959" i="1"/>
  <c r="D1959" i="1" s="1"/>
  <c r="E1960" i="1"/>
  <c r="D1960" i="1" s="1"/>
  <c r="E1961" i="1"/>
  <c r="D1961" i="1" s="1"/>
  <c r="E1962" i="1"/>
  <c r="D1962" i="1" s="1"/>
  <c r="E1963" i="1"/>
  <c r="D1963" i="1" s="1"/>
  <c r="E1964" i="1"/>
  <c r="D1964" i="1" s="1"/>
  <c r="E1965" i="1"/>
  <c r="D1965" i="1" s="1"/>
  <c r="E1966" i="1"/>
  <c r="D1966" i="1" s="1"/>
  <c r="E1967" i="1"/>
  <c r="D1967" i="1" s="1"/>
  <c r="E1968" i="1"/>
  <c r="D1968" i="1" s="1"/>
  <c r="E1969" i="1"/>
  <c r="D1969" i="1" s="1"/>
  <c r="E1970" i="1"/>
  <c r="D1970" i="1" s="1"/>
  <c r="E1971" i="1"/>
  <c r="D1971" i="1" s="1"/>
  <c r="E1972" i="1"/>
  <c r="D1972" i="1" s="1"/>
  <c r="E1973" i="1"/>
  <c r="D1973" i="1" s="1"/>
  <c r="E1974" i="1"/>
  <c r="D1974" i="1" s="1"/>
  <c r="E1975" i="1"/>
  <c r="D1975" i="1" s="1"/>
  <c r="E1976" i="1"/>
  <c r="D1976" i="1" s="1"/>
  <c r="E1977" i="1"/>
  <c r="D1977" i="1" s="1"/>
  <c r="E1978" i="1"/>
  <c r="D1978" i="1" s="1"/>
  <c r="E1979" i="1"/>
  <c r="D1979" i="1" s="1"/>
  <c r="E1980" i="1"/>
  <c r="D1980" i="1" s="1"/>
  <c r="E1981" i="1"/>
  <c r="D1981" i="1" s="1"/>
  <c r="E1982" i="1"/>
  <c r="D1982" i="1" s="1"/>
  <c r="E1983" i="1"/>
  <c r="D1983" i="1" s="1"/>
  <c r="E1984" i="1"/>
  <c r="D1984" i="1" s="1"/>
  <c r="E1985" i="1"/>
  <c r="D1985" i="1" s="1"/>
  <c r="E1986" i="1"/>
  <c r="D1986" i="1" s="1"/>
  <c r="E1987" i="1"/>
  <c r="D1987" i="1" s="1"/>
  <c r="E1988" i="1"/>
  <c r="D1988" i="1" s="1"/>
  <c r="E1989" i="1"/>
  <c r="D1989" i="1" s="1"/>
  <c r="E1990" i="1"/>
  <c r="D1990" i="1" s="1"/>
  <c r="E1991" i="1"/>
  <c r="D1991" i="1" s="1"/>
  <c r="E1992" i="1"/>
  <c r="D1992" i="1" s="1"/>
  <c r="E1993" i="1"/>
  <c r="D1993" i="1" s="1"/>
  <c r="E1994" i="1"/>
  <c r="D1994" i="1" s="1"/>
  <c r="E1995" i="1"/>
  <c r="D1995" i="1" s="1"/>
  <c r="E1996" i="1"/>
  <c r="D1996" i="1" s="1"/>
  <c r="E1997" i="1"/>
  <c r="D1997" i="1" s="1"/>
  <c r="E1998" i="1"/>
  <c r="D1998" i="1" s="1"/>
  <c r="E1999" i="1"/>
  <c r="D1999" i="1" s="1"/>
  <c r="E2000" i="1"/>
  <c r="D2000" i="1" s="1"/>
  <c r="E2001" i="1"/>
  <c r="D2001" i="1" s="1"/>
</calcChain>
</file>

<file path=xl/sharedStrings.xml><?xml version="1.0" encoding="utf-8"?>
<sst xmlns="http://schemas.openxmlformats.org/spreadsheetml/2006/main" count="21914" uniqueCount="3282">
  <si>
    <t>Session ID</t>
  </si>
  <si>
    <t>Station ID</t>
  </si>
  <si>
    <t>Station Location</t>
  </si>
  <si>
    <t>Charging Start Time</t>
  </si>
  <si>
    <t>Charging End Time</t>
  </si>
  <si>
    <t>Charging Duration (mins)</t>
  </si>
  <si>
    <t>Energy Consumed (kWh)</t>
  </si>
  <si>
    <t>Vehicle Type</t>
  </si>
  <si>
    <t>Battery Level Start (%)</t>
  </si>
  <si>
    <t>Battery Level End (%)</t>
  </si>
  <si>
    <t>Cost of Charging (â‚¹/$)</t>
  </si>
  <si>
    <t>Payment Method</t>
  </si>
  <si>
    <t>Station Type</t>
  </si>
  <si>
    <t>Connector Type</t>
  </si>
  <si>
    <t>User ID</t>
  </si>
  <si>
    <t>Subscription Plan</t>
  </si>
  <si>
    <t>Renewable Energy Source Used (%)</t>
  </si>
  <si>
    <t>Charging Station Rating</t>
  </si>
  <si>
    <t>Charging Status</t>
  </si>
  <si>
    <t>Comments/Issues</t>
  </si>
  <si>
    <t>ST0066</t>
  </si>
  <si>
    <t>Seattle</t>
  </si>
  <si>
    <t>Hatchback</t>
  </si>
  <si>
    <t>Wallet</t>
  </si>
  <si>
    <t>Level 2 Charger</t>
  </si>
  <si>
    <t>Type 2</t>
  </si>
  <si>
    <t>USER5057</t>
  </si>
  <si>
    <t>Pay-as-you-go</t>
  </si>
  <si>
    <t>Failed</t>
  </si>
  <si>
    <t>Charging interrupted</t>
  </si>
  <si>
    <t>ST0063</t>
  </si>
  <si>
    <t>Boston</t>
  </si>
  <si>
    <t>Motorbike</t>
  </si>
  <si>
    <t>Debit Card</t>
  </si>
  <si>
    <t>DC Fast Charger</t>
  </si>
  <si>
    <t>CHAdeMO</t>
  </si>
  <si>
    <t>USER3537</t>
  </si>
  <si>
    <t>Monthly</t>
  </si>
  <si>
    <t>Successful</t>
  </si>
  <si>
    <t>Slow charging</t>
  </si>
  <si>
    <t>ST0016</t>
  </si>
  <si>
    <t>Miami</t>
  </si>
  <si>
    <t>Truck</t>
  </si>
  <si>
    <t>Cash</t>
  </si>
  <si>
    <t>CCS</t>
  </si>
  <si>
    <t>USER7977</t>
  </si>
  <si>
    <t>Free</t>
  </si>
  <si>
    <t>In Progress</t>
  </si>
  <si>
    <t>Fast Charger</t>
  </si>
  <si>
    <t>USER9437</t>
  </si>
  <si>
    <t>Bus</t>
  </si>
  <si>
    <t>UPI</t>
  </si>
  <si>
    <t>USER3256</t>
  </si>
  <si>
    <t>ST0050</t>
  </si>
  <si>
    <t>New York</t>
  </si>
  <si>
    <t>SUV</t>
  </si>
  <si>
    <t>Tesla Supercharger</t>
  </si>
  <si>
    <t>USER6612</t>
  </si>
  <si>
    <t>Slow Charger</t>
  </si>
  <si>
    <t>USER6901</t>
  </si>
  <si>
    <t>Annual</t>
  </si>
  <si>
    <t>USER3077</t>
  </si>
  <si>
    <t>Expensive</t>
  </si>
  <si>
    <t>USER6655</t>
  </si>
  <si>
    <t>Credit Card</t>
  </si>
  <si>
    <t>USER5400</t>
  </si>
  <si>
    <t>USER2271</t>
  </si>
  <si>
    <t>USER3304</t>
  </si>
  <si>
    <t>Charger not working</t>
  </si>
  <si>
    <t>Sedan</t>
  </si>
  <si>
    <t>USER7978</t>
  </si>
  <si>
    <t>ST0003</t>
  </si>
  <si>
    <t>Chicago</t>
  </si>
  <si>
    <t>USER2279</t>
  </si>
  <si>
    <t>USER3571</t>
  </si>
  <si>
    <t>USER3481</t>
  </si>
  <si>
    <t>USER3167</t>
  </si>
  <si>
    <t>ST0031</t>
  </si>
  <si>
    <t>Los Angeles</t>
  </si>
  <si>
    <t>USER8123</t>
  </si>
  <si>
    <t>USER2832</t>
  </si>
  <si>
    <t>USER9020</t>
  </si>
  <si>
    <t>USER2717</t>
  </si>
  <si>
    <t>Convenient location</t>
  </si>
  <si>
    <t>USER7673</t>
  </si>
  <si>
    <t>Great experience</t>
  </si>
  <si>
    <t>USER9972</t>
  </si>
  <si>
    <t>USER7523</t>
  </si>
  <si>
    <t>USER6090</t>
  </si>
  <si>
    <t>USER7473</t>
  </si>
  <si>
    <t>USER5301</t>
  </si>
  <si>
    <t>USER9342</t>
  </si>
  <si>
    <t>ST0084</t>
  </si>
  <si>
    <t>Houston</t>
  </si>
  <si>
    <t>USER5066</t>
  </si>
  <si>
    <t>USER3658</t>
  </si>
  <si>
    <t>USER1344</t>
  </si>
  <si>
    <t>USER1203</t>
  </si>
  <si>
    <t>USER6057</t>
  </si>
  <si>
    <t>USER5545</t>
  </si>
  <si>
    <t>USER6421</t>
  </si>
  <si>
    <t>USER6545</t>
  </si>
  <si>
    <t>San Francisco</t>
  </si>
  <si>
    <t>USER9602</t>
  </si>
  <si>
    <t>USER3816</t>
  </si>
  <si>
    <t>USER6508</t>
  </si>
  <si>
    <t>USER3033</t>
  </si>
  <si>
    <t>USER2113</t>
  </si>
  <si>
    <t>USER6403</t>
  </si>
  <si>
    <t>USER7847</t>
  </si>
  <si>
    <t>USER4590</t>
  </si>
  <si>
    <t>USER9070</t>
  </si>
  <si>
    <t>USER8316</t>
  </si>
  <si>
    <t>USER4117</t>
  </si>
  <si>
    <t>USER2544</t>
  </si>
  <si>
    <t>USER2103</t>
  </si>
  <si>
    <t>USER3734</t>
  </si>
  <si>
    <t>USER7694</t>
  </si>
  <si>
    <t>USER9702</t>
  </si>
  <si>
    <t>USER7320</t>
  </si>
  <si>
    <t>USER1289</t>
  </si>
  <si>
    <t>USER4997</t>
  </si>
  <si>
    <t>USER3214</t>
  </si>
  <si>
    <t>USER8974</t>
  </si>
  <si>
    <t>USER1500</t>
  </si>
  <si>
    <t>USER7287</t>
  </si>
  <si>
    <t>ST0081</t>
  </si>
  <si>
    <t>USER9457</t>
  </si>
  <si>
    <t>USER8701</t>
  </si>
  <si>
    <t>USER2928</t>
  </si>
  <si>
    <t>USER4335</t>
  </si>
  <si>
    <t>USER6464</t>
  </si>
  <si>
    <t>USER2540</t>
  </si>
  <si>
    <t>USER4770</t>
  </si>
  <si>
    <t>USER4465</t>
  </si>
  <si>
    <t>USER2473</t>
  </si>
  <si>
    <t>USER9167</t>
  </si>
  <si>
    <t>USER7895</t>
  </si>
  <si>
    <t>USER3280</t>
  </si>
  <si>
    <t>USER4736</t>
  </si>
  <si>
    <t>USER9962</t>
  </si>
  <si>
    <t>USER5167</t>
  </si>
  <si>
    <t>USER7289</t>
  </si>
  <si>
    <t>USER4099</t>
  </si>
  <si>
    <t>USER9661</t>
  </si>
  <si>
    <t>USER3954</t>
  </si>
  <si>
    <t>USER9226</t>
  </si>
  <si>
    <t>USER4295</t>
  </si>
  <si>
    <t>USER2209</t>
  </si>
  <si>
    <t>USER7105</t>
  </si>
  <si>
    <t>USER5225</t>
  </si>
  <si>
    <t>USER6131</t>
  </si>
  <si>
    <t>USER4213</t>
  </si>
  <si>
    <t>USER6255</t>
  </si>
  <si>
    <t>USER2093</t>
  </si>
  <si>
    <t>USER7407</t>
  </si>
  <si>
    <t>USER8248</t>
  </si>
  <si>
    <t>USER7996</t>
  </si>
  <si>
    <t>USER5978</t>
  </si>
  <si>
    <t>USER8213</t>
  </si>
  <si>
    <t>USER9183</t>
  </si>
  <si>
    <t>USER5249</t>
  </si>
  <si>
    <t>USER5055</t>
  </si>
  <si>
    <t>USER1770</t>
  </si>
  <si>
    <t>USER4709</t>
  </si>
  <si>
    <t>USER5643</t>
  </si>
  <si>
    <t>USER4665</t>
  </si>
  <si>
    <t>USER1082</t>
  </si>
  <si>
    <t>USER7272</t>
  </si>
  <si>
    <t>USER8925</t>
  </si>
  <si>
    <t>USER5059</t>
  </si>
  <si>
    <t>USER1025</t>
  </si>
  <si>
    <t>USER1049</t>
  </si>
  <si>
    <t>USER6850</t>
  </si>
  <si>
    <t>USER4078</t>
  </si>
  <si>
    <t>USER8564</t>
  </si>
  <si>
    <t>USER4993</t>
  </si>
  <si>
    <t>USER5214</t>
  </si>
  <si>
    <t>USER6675</t>
  </si>
  <si>
    <t>USER5425</t>
  </si>
  <si>
    <t>USER9597</t>
  </si>
  <si>
    <t>USER7729</t>
  </si>
  <si>
    <t>USER6943</t>
  </si>
  <si>
    <t>USER3333</t>
  </si>
  <si>
    <t>USER5054</t>
  </si>
  <si>
    <t>USER9785</t>
  </si>
  <si>
    <t>USER2336</t>
  </si>
  <si>
    <t>USER8390</t>
  </si>
  <si>
    <t>USER3716</t>
  </si>
  <si>
    <t>USER1136</t>
  </si>
  <si>
    <t>USER3900</t>
  </si>
  <si>
    <t>USER3085</t>
  </si>
  <si>
    <t>USER8521</t>
  </si>
  <si>
    <t>USER8709</t>
  </si>
  <si>
    <t>USER9258</t>
  </si>
  <si>
    <t>USER3508</t>
  </si>
  <si>
    <t>USER1005</t>
  </si>
  <si>
    <t>USER6789</t>
  </si>
  <si>
    <t>USER6007</t>
  </si>
  <si>
    <t>USER6332</t>
  </si>
  <si>
    <t>USER7448</t>
  </si>
  <si>
    <t>USER1811</t>
  </si>
  <si>
    <t>USER3269</t>
  </si>
  <si>
    <t>USER1991</t>
  </si>
  <si>
    <t>USER5942</t>
  </si>
  <si>
    <t>USER3242</t>
  </si>
  <si>
    <t>USER7685</t>
  </si>
  <si>
    <t>USER3396</t>
  </si>
  <si>
    <t>USER6341</t>
  </si>
  <si>
    <t>USER5909</t>
  </si>
  <si>
    <t>USER8499</t>
  </si>
  <si>
    <t>USER3234</t>
  </si>
  <si>
    <t>USER2044</t>
  </si>
  <si>
    <t>USER4000</t>
  </si>
  <si>
    <t>USER6309</t>
  </si>
  <si>
    <t>USER2037</t>
  </si>
  <si>
    <t>USER7038</t>
  </si>
  <si>
    <t>USER5563</t>
  </si>
  <si>
    <t>USER1813</t>
  </si>
  <si>
    <t>USER3372</t>
  </si>
  <si>
    <t>USER8906</t>
  </si>
  <si>
    <t>USER9646</t>
  </si>
  <si>
    <t>USER2069</t>
  </si>
  <si>
    <t>USER6329</t>
  </si>
  <si>
    <t>USER5607</t>
  </si>
  <si>
    <t>USER8280</t>
  </si>
  <si>
    <t>USER7208</t>
  </si>
  <si>
    <t>USER6292</t>
  </si>
  <si>
    <t>USER6451</t>
  </si>
  <si>
    <t>USER5549</t>
  </si>
  <si>
    <t>USER8059</t>
  </si>
  <si>
    <t>USER4085</t>
  </si>
  <si>
    <t>USER1690</t>
  </si>
  <si>
    <t>USER7365</t>
  </si>
  <si>
    <t>USER5720</t>
  </si>
  <si>
    <t>USER6843</t>
  </si>
  <si>
    <t>USER6134</t>
  </si>
  <si>
    <t>USER1401</t>
  </si>
  <si>
    <t>USER9208</t>
  </si>
  <si>
    <t>USER9651</t>
  </si>
  <si>
    <t>USER4540</t>
  </si>
  <si>
    <t>USER8448</t>
  </si>
  <si>
    <t>USER2709</t>
  </si>
  <si>
    <t>USER4100</t>
  </si>
  <si>
    <t>USER6384</t>
  </si>
  <si>
    <t>USER2589</t>
  </si>
  <si>
    <t>USER8476</t>
  </si>
  <si>
    <t>USER4324</t>
  </si>
  <si>
    <t>USER3770</t>
  </si>
  <si>
    <t>USER4825</t>
  </si>
  <si>
    <t>USER8828</t>
  </si>
  <si>
    <t>USER3123</t>
  </si>
  <si>
    <t>USER6685</t>
  </si>
  <si>
    <t>USER9758</t>
  </si>
  <si>
    <t>USER5488</t>
  </si>
  <si>
    <t>USER9087</t>
  </si>
  <si>
    <t>USER7168</t>
  </si>
  <si>
    <t>USER1262</t>
  </si>
  <si>
    <t>USER4529</t>
  </si>
  <si>
    <t>USER3145</t>
  </si>
  <si>
    <t>USER7972</t>
  </si>
  <si>
    <t>USER2391</t>
  </si>
  <si>
    <t>USER6111</t>
  </si>
  <si>
    <t>USER4962</t>
  </si>
  <si>
    <t>USER7510</t>
  </si>
  <si>
    <t>USER4920</t>
  </si>
  <si>
    <t>USER8167</t>
  </si>
  <si>
    <t>USER6248</t>
  </si>
  <si>
    <t>USER3427</t>
  </si>
  <si>
    <t>USER1964</t>
  </si>
  <si>
    <t>USER2154</t>
  </si>
  <si>
    <t>USER5730</t>
  </si>
  <si>
    <t>USER5500</t>
  </si>
  <si>
    <t>USER1333</t>
  </si>
  <si>
    <t>USER6492</t>
  </si>
  <si>
    <t>USER7721</t>
  </si>
  <si>
    <t>USER7853</t>
  </si>
  <si>
    <t>USER1566</t>
  </si>
  <si>
    <t>USER9306</t>
  </si>
  <si>
    <t>USER3084</t>
  </si>
  <si>
    <t>USER3775</t>
  </si>
  <si>
    <t>USER1574</t>
  </si>
  <si>
    <t>USER7585</t>
  </si>
  <si>
    <t>USER2215</t>
  </si>
  <si>
    <t>USER6105</t>
  </si>
  <si>
    <t>USER6267</t>
  </si>
  <si>
    <t>USER8324</t>
  </si>
  <si>
    <t>USER6698</t>
  </si>
  <si>
    <t>USER7301</t>
  </si>
  <si>
    <t>USER4582</t>
  </si>
  <si>
    <t>USER4774</t>
  </si>
  <si>
    <t>USER5794</t>
  </si>
  <si>
    <t>USER2152</t>
  </si>
  <si>
    <t>USER6683</t>
  </si>
  <si>
    <t>USER2822</t>
  </si>
  <si>
    <t>USER9169</t>
  </si>
  <si>
    <t>USER6130</t>
  </si>
  <si>
    <t>USER2246</t>
  </si>
  <si>
    <t>USER6219</t>
  </si>
  <si>
    <t>USER4955</t>
  </si>
  <si>
    <t>USER4209</t>
  </si>
  <si>
    <t>USER6334</t>
  </si>
  <si>
    <t>USER1708</t>
  </si>
  <si>
    <t>USER9067</t>
  </si>
  <si>
    <t>USER1486</t>
  </si>
  <si>
    <t>USER2681</t>
  </si>
  <si>
    <t>USER3912</t>
  </si>
  <si>
    <t>USER7929</t>
  </si>
  <si>
    <t>USER7406</t>
  </si>
  <si>
    <t>USER9914</t>
  </si>
  <si>
    <t>USER7930</t>
  </si>
  <si>
    <t>USER1934</t>
  </si>
  <si>
    <t>USER8086</t>
  </si>
  <si>
    <t>USER6818</t>
  </si>
  <si>
    <t>USER8169</t>
  </si>
  <si>
    <t>USER9825</t>
  </si>
  <si>
    <t>USER5655</t>
  </si>
  <si>
    <t>USER8159</t>
  </si>
  <si>
    <t>USER1636</t>
  </si>
  <si>
    <t>USER6636</t>
  </si>
  <si>
    <t>USER4183</t>
  </si>
  <si>
    <t>USER9763</t>
  </si>
  <si>
    <t>USER4536</t>
  </si>
  <si>
    <t>USER5700</t>
  </si>
  <si>
    <t>USER6235</t>
  </si>
  <si>
    <t>USER5065</t>
  </si>
  <si>
    <t>USER4922</t>
  </si>
  <si>
    <t>USER5515</t>
  </si>
  <si>
    <t>USER4433</t>
  </si>
  <si>
    <t>USER4941</t>
  </si>
  <si>
    <t>USER9974</t>
  </si>
  <si>
    <t>USER5569</t>
  </si>
  <si>
    <t>USER5905</t>
  </si>
  <si>
    <t>USER4763</t>
  </si>
  <si>
    <t>USER8660</t>
  </si>
  <si>
    <t>USER2418</t>
  </si>
  <si>
    <t>USER9679</t>
  </si>
  <si>
    <t>USER3740</t>
  </si>
  <si>
    <t>USER7822</t>
  </si>
  <si>
    <t>USER3144</t>
  </si>
  <si>
    <t>USER4065</t>
  </si>
  <si>
    <t>USER9606</t>
  </si>
  <si>
    <t>USER2955</t>
  </si>
  <si>
    <t>USER2320</t>
  </si>
  <si>
    <t>USER1654</t>
  </si>
  <si>
    <t>USER7141</t>
  </si>
  <si>
    <t>USER2412</t>
  </si>
  <si>
    <t>USER8125</t>
  </si>
  <si>
    <t>USER1559</t>
  </si>
  <si>
    <t>USER3982</t>
  </si>
  <si>
    <t>USER4621</t>
  </si>
  <si>
    <t>USER9302</t>
  </si>
  <si>
    <t>USER1281</t>
  </si>
  <si>
    <t>USER9868</t>
  </si>
  <si>
    <t>USER8085</t>
  </si>
  <si>
    <t>USER5240</t>
  </si>
  <si>
    <t>USER5919</t>
  </si>
  <si>
    <t>USER8151</t>
  </si>
  <si>
    <t>USER8629</t>
  </si>
  <si>
    <t>USER6215</t>
  </si>
  <si>
    <t>USER7610</t>
  </si>
  <si>
    <t>USER5366</t>
  </si>
  <si>
    <t>USER2087</t>
  </si>
  <si>
    <t>USER9274</t>
  </si>
  <si>
    <t>USER1303</t>
  </si>
  <si>
    <t>USER7618</t>
  </si>
  <si>
    <t>USER4082</t>
  </si>
  <si>
    <t>USER4515</t>
  </si>
  <si>
    <t>USER7877</t>
  </si>
  <si>
    <t>USER5677</t>
  </si>
  <si>
    <t>USER5719</t>
  </si>
  <si>
    <t>USER5430</t>
  </si>
  <si>
    <t>USER5216</t>
  </si>
  <si>
    <t>USER3610</t>
  </si>
  <si>
    <t>USER8164</t>
  </si>
  <si>
    <t>USER5272</t>
  </si>
  <si>
    <t>USER8336</t>
  </si>
  <si>
    <t>USER4878</t>
  </si>
  <si>
    <t>USER7508</t>
  </si>
  <si>
    <t>USER2512</t>
  </si>
  <si>
    <t>USER1096</t>
  </si>
  <si>
    <t>USER3409</t>
  </si>
  <si>
    <t>USER6982</t>
  </si>
  <si>
    <t>USER7014</t>
  </si>
  <si>
    <t>USER8525</t>
  </si>
  <si>
    <t>USER3366</t>
  </si>
  <si>
    <t>USER5002</t>
  </si>
  <si>
    <t>USER5708</t>
  </si>
  <si>
    <t>USER4497</t>
  </si>
  <si>
    <t>USER4596</t>
  </si>
  <si>
    <t>USER8109</t>
  </si>
  <si>
    <t>USER4696</t>
  </si>
  <si>
    <t>USER6924</t>
  </si>
  <si>
    <t>USER3447</t>
  </si>
  <si>
    <t>USER6705</t>
  </si>
  <si>
    <t>USER2368</t>
  </si>
  <si>
    <t>USER1577</t>
  </si>
  <si>
    <t>USER5658</t>
  </si>
  <si>
    <t>USER2373</t>
  </si>
  <si>
    <t>USER5623</t>
  </si>
  <si>
    <t>USER7092</t>
  </si>
  <si>
    <t>USER1851</t>
  </si>
  <si>
    <t>USER9635</t>
  </si>
  <si>
    <t>USER8577</t>
  </si>
  <si>
    <t>USER4198</t>
  </si>
  <si>
    <t>USER4218</t>
  </si>
  <si>
    <t>USER4452</t>
  </si>
  <si>
    <t>USER1157</t>
  </si>
  <si>
    <t>USER7780</t>
  </si>
  <si>
    <t>USER9085</t>
  </si>
  <si>
    <t>USER9783</t>
  </si>
  <si>
    <t>USER3327</t>
  </si>
  <si>
    <t>USER8862</t>
  </si>
  <si>
    <t>USER2365</t>
  </si>
  <si>
    <t>USER9858</t>
  </si>
  <si>
    <t>USER2626</t>
  </si>
  <si>
    <t>USER2068</t>
  </si>
  <si>
    <t>USER5724</t>
  </si>
  <si>
    <t>USER3432</t>
  </si>
  <si>
    <t>USER1474</t>
  </si>
  <si>
    <t>USER8714</t>
  </si>
  <si>
    <t>USER8547</t>
  </si>
  <si>
    <t>USER5196</t>
  </si>
  <si>
    <t>USER4830</t>
  </si>
  <si>
    <t>USER2491</t>
  </si>
  <si>
    <t>USER5315</t>
  </si>
  <si>
    <t>USER3960</t>
  </si>
  <si>
    <t>USER9994</t>
  </si>
  <si>
    <t>USER4055</t>
  </si>
  <si>
    <t>USER5095</t>
  </si>
  <si>
    <t>USER2607</t>
  </si>
  <si>
    <t>USER8102</t>
  </si>
  <si>
    <t>USER9076</t>
  </si>
  <si>
    <t>USER1316</t>
  </si>
  <si>
    <t>USER2120</t>
  </si>
  <si>
    <t>USER3057</t>
  </si>
  <si>
    <t>USER6307</t>
  </si>
  <si>
    <t>USER6379</t>
  </si>
  <si>
    <t>USER1750</t>
  </si>
  <si>
    <t>USER6529</t>
  </si>
  <si>
    <t>USER4577</t>
  </si>
  <si>
    <t>USER8748</t>
  </si>
  <si>
    <t>USER3376</t>
  </si>
  <si>
    <t>USER6556</t>
  </si>
  <si>
    <t>USER3928</t>
  </si>
  <si>
    <t>USER5603</t>
  </si>
  <si>
    <t>USER5564</t>
  </si>
  <si>
    <t>USER8038</t>
  </si>
  <si>
    <t>USER5690</t>
  </si>
  <si>
    <t>USER5666</t>
  </si>
  <si>
    <t>USER3798</t>
  </si>
  <si>
    <t>USER7798</t>
  </si>
  <si>
    <t>USER2643</t>
  </si>
  <si>
    <t>USER2207</t>
  </si>
  <si>
    <t>USER7039</t>
  </si>
  <si>
    <t>USER1493</t>
  </si>
  <si>
    <t>USER8456</t>
  </si>
  <si>
    <t>USER3368</t>
  </si>
  <si>
    <t>USER3513</t>
  </si>
  <si>
    <t>USER5684</t>
  </si>
  <si>
    <t>USER2863</t>
  </si>
  <si>
    <t>USER6318</t>
  </si>
  <si>
    <t>USER5991</t>
  </si>
  <si>
    <t>USER2477</t>
  </si>
  <si>
    <t>USER4236</t>
  </si>
  <si>
    <t>USER8889</t>
  </si>
  <si>
    <t>USER8873</t>
  </si>
  <si>
    <t>USER7139</t>
  </si>
  <si>
    <t>USER2908</t>
  </si>
  <si>
    <t>USER7440</t>
  </si>
  <si>
    <t>USER2712</t>
  </si>
  <si>
    <t>USER7198</t>
  </si>
  <si>
    <t>USER3258</t>
  </si>
  <si>
    <t>USER2237</t>
  </si>
  <si>
    <t>USER2344</t>
  </si>
  <si>
    <t>USER6339</t>
  </si>
  <si>
    <t>USER3377</t>
  </si>
  <si>
    <t>USER8652</t>
  </si>
  <si>
    <t>USER4797</t>
  </si>
  <si>
    <t>USER2617</t>
  </si>
  <si>
    <t>USER6878</t>
  </si>
  <si>
    <t>USER9722</t>
  </si>
  <si>
    <t>USER7346</t>
  </si>
  <si>
    <t>USER5332</t>
  </si>
  <si>
    <t>USER6714</t>
  </si>
  <si>
    <t>USER7367</t>
  </si>
  <si>
    <t>USER5678</t>
  </si>
  <si>
    <t>USER1761</t>
  </si>
  <si>
    <t>USER3557</t>
  </si>
  <si>
    <t>USER5572</t>
  </si>
  <si>
    <t>USER9329</t>
  </si>
  <si>
    <t>USER2830</t>
  </si>
  <si>
    <t>USER8395</t>
  </si>
  <si>
    <t>USER7075</t>
  </si>
  <si>
    <t>USER7321</t>
  </si>
  <si>
    <t>USER5238</t>
  </si>
  <si>
    <t>USER8913</t>
  </si>
  <si>
    <t>USER1794</t>
  </si>
  <si>
    <t>USER2755</t>
  </si>
  <si>
    <t>USER9593</t>
  </si>
  <si>
    <t>USER9598</t>
  </si>
  <si>
    <t>USER8129</t>
  </si>
  <si>
    <t>USER8877</t>
  </si>
  <si>
    <t>USER7130</t>
  </si>
  <si>
    <t>USER6376</t>
  </si>
  <si>
    <t>USER8095</t>
  </si>
  <si>
    <t>USER5771</t>
  </si>
  <si>
    <t>USER5336</t>
  </si>
  <si>
    <t>USER5138</t>
  </si>
  <si>
    <t>USER2519</t>
  </si>
  <si>
    <t>USER9419</t>
  </si>
  <si>
    <t>USER3163</t>
  </si>
  <si>
    <t>USER6670</t>
  </si>
  <si>
    <t>USER1271</t>
  </si>
  <si>
    <t>USER6513</t>
  </si>
  <si>
    <t>USER8351</t>
  </si>
  <si>
    <t>USER7934</t>
  </si>
  <si>
    <t>USER8994</t>
  </si>
  <si>
    <t>USER5264</t>
  </si>
  <si>
    <t>USER9839</t>
  </si>
  <si>
    <t>USER1407</t>
  </si>
  <si>
    <t>USER5729</t>
  </si>
  <si>
    <t>USER5510</t>
  </si>
  <si>
    <t>USER5028</t>
  </si>
  <si>
    <t>USER7639</t>
  </si>
  <si>
    <t>USER1175</t>
  </si>
  <si>
    <t>USER6458</t>
  </si>
  <si>
    <t>USER2766</t>
  </si>
  <si>
    <t>USER5947</t>
  </si>
  <si>
    <t>USER4595</t>
  </si>
  <si>
    <t>USER9715</t>
  </si>
  <si>
    <t>USER5465</t>
  </si>
  <si>
    <t>USER1597</t>
  </si>
  <si>
    <t>USER2988</t>
  </si>
  <si>
    <t>USER4919</t>
  </si>
  <si>
    <t>USER1338</t>
  </si>
  <si>
    <t>USER6607</t>
  </si>
  <si>
    <t>USER6808</t>
  </si>
  <si>
    <t>USER3908</t>
  </si>
  <si>
    <t>USER1250</t>
  </si>
  <si>
    <t>USER3486</t>
  </si>
  <si>
    <t>USER7150</t>
  </si>
  <si>
    <t>USER5920</t>
  </si>
  <si>
    <t>USER2823</t>
  </si>
  <si>
    <t>USER5163</t>
  </si>
  <si>
    <t>USER5000</t>
  </si>
  <si>
    <t>USER8281</t>
  </si>
  <si>
    <t>USER3496</t>
  </si>
  <si>
    <t>USER3761</t>
  </si>
  <si>
    <t>USER3086</t>
  </si>
  <si>
    <t>USER4948</t>
  </si>
  <si>
    <t>USER8073</t>
  </si>
  <si>
    <t>USER6500</t>
  </si>
  <si>
    <t>USER4638</t>
  </si>
  <si>
    <t>USER6174</t>
  </si>
  <si>
    <t>USER5420</t>
  </si>
  <si>
    <t>USER1903</t>
  </si>
  <si>
    <t>USER3943</t>
  </si>
  <si>
    <t>USER3190</t>
  </si>
  <si>
    <t>USER7298</t>
  </si>
  <si>
    <t>USER3500</t>
  </si>
  <si>
    <t>USER4277</t>
  </si>
  <si>
    <t>USER6472</t>
  </si>
  <si>
    <t>USER1965</t>
  </si>
  <si>
    <t>USER4520</t>
  </si>
  <si>
    <t>USER5805</t>
  </si>
  <si>
    <t>USER3780</t>
  </si>
  <si>
    <t>USER5755</t>
  </si>
  <si>
    <t>USER2289</t>
  </si>
  <si>
    <t>USER7239</t>
  </si>
  <si>
    <t>USER2033</t>
  </si>
  <si>
    <t>USER7519</t>
  </si>
  <si>
    <t>USER5530</t>
  </si>
  <si>
    <t>USER9894</t>
  </si>
  <si>
    <t>USER1710</t>
  </si>
  <si>
    <t>USER6426</t>
  </si>
  <si>
    <t>USER1491</t>
  </si>
  <si>
    <t>USER2798</t>
  </si>
  <si>
    <t>USER4263</t>
  </si>
  <si>
    <t>USER4778</t>
  </si>
  <si>
    <t>USER4336</t>
  </si>
  <si>
    <t>USER1735</t>
  </si>
  <si>
    <t>USER2686</t>
  </si>
  <si>
    <t>USER6677</t>
  </si>
  <si>
    <t>USER1165</t>
  </si>
  <si>
    <t>USER4301</t>
  </si>
  <si>
    <t>USER6750</t>
  </si>
  <si>
    <t>USER3661</t>
  </si>
  <si>
    <t>USER6169</t>
  </si>
  <si>
    <t>USER2970</t>
  </si>
  <si>
    <t>USER9254</t>
  </si>
  <si>
    <t>USER1173</t>
  </si>
  <si>
    <t>USER9940</t>
  </si>
  <si>
    <t>USER3837</t>
  </si>
  <si>
    <t>USER4689</t>
  </si>
  <si>
    <t>USER4298</t>
  </si>
  <si>
    <t>USER6577</t>
  </si>
  <si>
    <t>USER6161</t>
  </si>
  <si>
    <t>USER7715</t>
  </si>
  <si>
    <t>USER4613</t>
  </si>
  <si>
    <t>USER5443</t>
  </si>
  <si>
    <t>USER5841</t>
  </si>
  <si>
    <t>USER7578</t>
  </si>
  <si>
    <t>USER2649</t>
  </si>
  <si>
    <t>USER5269</t>
  </si>
  <si>
    <t>USER2397</t>
  </si>
  <si>
    <t>USER6996</t>
  </si>
  <si>
    <t>USER6540</t>
  </si>
  <si>
    <t>USER8840</t>
  </si>
  <si>
    <t>USER1714</t>
  </si>
  <si>
    <t>USER9013</t>
  </si>
  <si>
    <t>USER6394</t>
  </si>
  <si>
    <t>USER2283</t>
  </si>
  <si>
    <t>USER6672</t>
  </si>
  <si>
    <t>USER7474</t>
  </si>
  <si>
    <t>USER4094</t>
  </si>
  <si>
    <t>USER3832</t>
  </si>
  <si>
    <t>USER3170</t>
  </si>
  <si>
    <t>USER3469</t>
  </si>
  <si>
    <t>USER5078</t>
  </si>
  <si>
    <t>USER4285</t>
  </si>
  <si>
    <t>USER8560</t>
  </si>
  <si>
    <t>USER1950</t>
  </si>
  <si>
    <t>USER4528</t>
  </si>
  <si>
    <t>USER7099</t>
  </si>
  <si>
    <t>USER5333</t>
  </si>
  <si>
    <t>USER5543</t>
  </si>
  <si>
    <t>USER4792</t>
  </si>
  <si>
    <t>USER6985</t>
  </si>
  <si>
    <t>USER8294</t>
  </si>
  <si>
    <t>USER1043</t>
  </si>
  <si>
    <t>USER6291</t>
  </si>
  <si>
    <t>USER9779</t>
  </si>
  <si>
    <t>USER6198</t>
  </si>
  <si>
    <t>USER3028</t>
  </si>
  <si>
    <t>USER4259</t>
  </si>
  <si>
    <t>USER7805</t>
  </si>
  <si>
    <t>USER8136</t>
  </si>
  <si>
    <t>USER7304</t>
  </si>
  <si>
    <t>USER1009</t>
  </si>
  <si>
    <t>USER7775</t>
  </si>
  <si>
    <t>USER4854</t>
  </si>
  <si>
    <t>USER1701</t>
  </si>
  <si>
    <t>USER2349</t>
  </si>
  <si>
    <t>USER9358</t>
  </si>
  <si>
    <t>USER4412</t>
  </si>
  <si>
    <t>USER7192</t>
  </si>
  <si>
    <t>USER6704</t>
  </si>
  <si>
    <t>USER8509</t>
  </si>
  <si>
    <t>USER3411</t>
  </si>
  <si>
    <t>USER7044</t>
  </si>
  <si>
    <t>USER8584</t>
  </si>
  <si>
    <t>USER8194</t>
  </si>
  <si>
    <t>USER9630</t>
  </si>
  <si>
    <t>USER6599</t>
  </si>
  <si>
    <t>USER3043</t>
  </si>
  <si>
    <t>USER6921</t>
  </si>
  <si>
    <t>USER8729</t>
  </si>
  <si>
    <t>USER7700</t>
  </si>
  <si>
    <t>USER3426</t>
  </si>
  <si>
    <t>USER5092</t>
  </si>
  <si>
    <t>USER4803</t>
  </si>
  <si>
    <t>USER3386</t>
  </si>
  <si>
    <t>USER3517</t>
  </si>
  <si>
    <t>USER6193</t>
  </si>
  <si>
    <t>USER7990</t>
  </si>
  <si>
    <t>USER3851</t>
  </si>
  <si>
    <t>USER2178</t>
  </si>
  <si>
    <t>USER5915</t>
  </si>
  <si>
    <t>USER2080</t>
  </si>
  <si>
    <t>USER8611</t>
  </si>
  <si>
    <t>USER3755</t>
  </si>
  <si>
    <t>USER6026</t>
  </si>
  <si>
    <t>USER6262</t>
  </si>
  <si>
    <t>USER2268</t>
  </si>
  <si>
    <t>USER6909</t>
  </si>
  <si>
    <t>USER6368</t>
  </si>
  <si>
    <t>USER4500</t>
  </si>
  <si>
    <t>USER4839</t>
  </si>
  <si>
    <t>USER7376</t>
  </si>
  <si>
    <t>USER6905</t>
  </si>
  <si>
    <t>USER7244</t>
  </si>
  <si>
    <t>USER1793</t>
  </si>
  <si>
    <t>USER1485</t>
  </si>
  <si>
    <t>USER5410</t>
  </si>
  <si>
    <t>USER5707</t>
  </si>
  <si>
    <t>USER9537</t>
  </si>
  <si>
    <t>USER3877</t>
  </si>
  <si>
    <t>USER2331</t>
  </si>
  <si>
    <t>USER9290</t>
  </si>
  <si>
    <t>USER2081</t>
  </si>
  <si>
    <t>USER2484</t>
  </si>
  <si>
    <t>USER1912</t>
  </si>
  <si>
    <t>USER2185</t>
  </si>
  <si>
    <t>USER3540</t>
  </si>
  <si>
    <t>USER8489</t>
  </si>
  <si>
    <t>USER3108</t>
  </si>
  <si>
    <t>USER2402</t>
  </si>
  <si>
    <t>USER7701</t>
  </si>
  <si>
    <t>USER2029</t>
  </si>
  <si>
    <t>USER4125</t>
  </si>
  <si>
    <t>USER1765</t>
  </si>
  <si>
    <t>USER1409</t>
  </si>
  <si>
    <t>USER3545</t>
  </si>
  <si>
    <t>USER6800</t>
  </si>
  <si>
    <t>USER2217</t>
  </si>
  <si>
    <t>USER5854</t>
  </si>
  <si>
    <t>USER5255</t>
  </si>
  <si>
    <t>USER9716</t>
  </si>
  <si>
    <t>USER3897</t>
  </si>
  <si>
    <t>USER3453</t>
  </si>
  <si>
    <t>USER2881</t>
  </si>
  <si>
    <t>USER2696</t>
  </si>
  <si>
    <t>USER2559</t>
  </si>
  <si>
    <t>USER1667</t>
  </si>
  <si>
    <t>USER4996</t>
  </si>
  <si>
    <t>USER3360</t>
  </si>
  <si>
    <t>USER5691</t>
  </si>
  <si>
    <t>USER1100</t>
  </si>
  <si>
    <t>USER9691</t>
  </si>
  <si>
    <t>USER6172</t>
  </si>
  <si>
    <t>USER7343</t>
  </si>
  <si>
    <t>USER2092</t>
  </si>
  <si>
    <t>USER4205</t>
  </si>
  <si>
    <t>USER2322</t>
  </si>
  <si>
    <t>USER2616</t>
  </si>
  <si>
    <t>USER1737</t>
  </si>
  <si>
    <t>USER2622</t>
  </si>
  <si>
    <t>USER4855</t>
  </si>
  <si>
    <t>USER5426</t>
  </si>
  <si>
    <t>USER3745</t>
  </si>
  <si>
    <t>USER8444</t>
  </si>
  <si>
    <t>USER7564</t>
  </si>
  <si>
    <t>USER1202</t>
  </si>
  <si>
    <t>USER2582</t>
  </si>
  <si>
    <t>USER6241</t>
  </si>
  <si>
    <t>USER6442</t>
  </si>
  <si>
    <t>USER4844</t>
  </si>
  <si>
    <t>USER9211</t>
  </si>
  <si>
    <t>USER6869</t>
  </si>
  <si>
    <t>USER6466</t>
  </si>
  <si>
    <t>USER2085</t>
  </si>
  <si>
    <t>USER3958</t>
  </si>
  <si>
    <t>USER9377</t>
  </si>
  <si>
    <t>USER8393</t>
  </si>
  <si>
    <t>USER5800</t>
  </si>
  <si>
    <t>USER8229</t>
  </si>
  <si>
    <t>USER6721</t>
  </si>
  <si>
    <t>USER7082</t>
  </si>
  <si>
    <t>USER2180</t>
  </si>
  <si>
    <t>USER1361</t>
  </si>
  <si>
    <t>USER6478</t>
  </si>
  <si>
    <t>USER4391</t>
  </si>
  <si>
    <t>USER9035</t>
  </si>
  <si>
    <t>USER5977</t>
  </si>
  <si>
    <t>USER2428</t>
  </si>
  <si>
    <t>USER3265</t>
  </si>
  <si>
    <t>USER3319</t>
  </si>
  <si>
    <t>USER8947</t>
  </si>
  <si>
    <t>USER1583</t>
  </si>
  <si>
    <t>USER9336</t>
  </si>
  <si>
    <t>USER7249</t>
  </si>
  <si>
    <t>USER8328</t>
  </si>
  <si>
    <t>USER4787</t>
  </si>
  <si>
    <t>USER6902</t>
  </si>
  <si>
    <t>USER7217</t>
  </si>
  <si>
    <t>USER4120</t>
  </si>
  <si>
    <t>USER6991</t>
  </si>
  <si>
    <t>USER4573</t>
  </si>
  <si>
    <t>USER5471</t>
  </si>
  <si>
    <t>USER1051</t>
  </si>
  <si>
    <t>USER3223</t>
  </si>
  <si>
    <t>USER2137</t>
  </si>
  <si>
    <t>USER2876</t>
  </si>
  <si>
    <t>USER4607</t>
  </si>
  <si>
    <t>USER3492</t>
  </si>
  <si>
    <t>USER1842</t>
  </si>
  <si>
    <t>USER6501</t>
  </si>
  <si>
    <t>USER1892</t>
  </si>
  <si>
    <t>USER6162</t>
  </si>
  <si>
    <t>USER1288</t>
  </si>
  <si>
    <t>USER4594</t>
  </si>
  <si>
    <t>USER1683</t>
  </si>
  <si>
    <t>USER8820</t>
  </si>
  <si>
    <t>USER8014</t>
  </si>
  <si>
    <t>USER2809</t>
  </si>
  <si>
    <t>USER7471</t>
  </si>
  <si>
    <t>USER5270</t>
  </si>
  <si>
    <t>USER8060</t>
  </si>
  <si>
    <t>USER4359</t>
  </si>
  <si>
    <t>USER7352</t>
  </si>
  <si>
    <t>USER1459</t>
  </si>
  <si>
    <t>USER7164</t>
  </si>
  <si>
    <t>USER6380</t>
  </si>
  <si>
    <t>USER5791</t>
  </si>
  <si>
    <t>USER4610</t>
  </si>
  <si>
    <t>USER7750</t>
  </si>
  <si>
    <t>USER5660</t>
  </si>
  <si>
    <t>USER3671</t>
  </si>
  <si>
    <t>USER6001</t>
  </si>
  <si>
    <t>USER8845</t>
  </si>
  <si>
    <t>USER5123</t>
  </si>
  <si>
    <t>USER2580</t>
  </si>
  <si>
    <t>USER1022</t>
  </si>
  <si>
    <t>USER4468</t>
  </si>
  <si>
    <t>USER1428</t>
  </si>
  <si>
    <t>USER9311</t>
  </si>
  <si>
    <t>USER3668</t>
  </si>
  <si>
    <t>USER4233</t>
  </si>
  <si>
    <t>USER8758</t>
  </si>
  <si>
    <t>USER1027</t>
  </si>
  <si>
    <t>USER3655</t>
  </si>
  <si>
    <t>USER3720</t>
  </si>
  <si>
    <t>USER1857</t>
  </si>
  <si>
    <t>USER2198</t>
  </si>
  <si>
    <t>USER4247</t>
  </si>
  <si>
    <t>USER3636</t>
  </si>
  <si>
    <t>USER3253</t>
  </si>
  <si>
    <t>USER5461</t>
  </si>
  <si>
    <t>USER9493</t>
  </si>
  <si>
    <t>USER5383</t>
  </si>
  <si>
    <t>USER3856</t>
  </si>
  <si>
    <t>USER5714</t>
  </si>
  <si>
    <t>USER6746</t>
  </si>
  <si>
    <t>USER6936</t>
  </si>
  <si>
    <t>USER9663</t>
  </si>
  <si>
    <t>USER1832</t>
  </si>
  <si>
    <t>USER3037</t>
  </si>
  <si>
    <t>USER5369</t>
  </si>
  <si>
    <t>USER3951</t>
  </si>
  <si>
    <t>USER5641</t>
  </si>
  <si>
    <t>USER5512</t>
  </si>
  <si>
    <t>USER2938</t>
  </si>
  <si>
    <t>USER3624</t>
  </si>
  <si>
    <t>USER8591</t>
  </si>
  <si>
    <t>USER1585</t>
  </si>
  <si>
    <t>USER5994</t>
  </si>
  <si>
    <t>USER3592</t>
  </si>
  <si>
    <t>USER8695</t>
  </si>
  <si>
    <t>USER4360</t>
  </si>
  <si>
    <t>USER3109</t>
  </si>
  <si>
    <t>USER8993</t>
  </si>
  <si>
    <t>USER7269</t>
  </si>
  <si>
    <t>USER3873</t>
  </si>
  <si>
    <t>USER5575</t>
  </si>
  <si>
    <t>USER1090</t>
  </si>
  <si>
    <t>USER4771</t>
  </si>
  <si>
    <t>USER9567</t>
  </si>
  <si>
    <t>USER3116</t>
  </si>
  <si>
    <t>USER2254</t>
  </si>
  <si>
    <t>USER6828</t>
  </si>
  <si>
    <t>USER8853</t>
  </si>
  <si>
    <t>USER2429</t>
  </si>
  <si>
    <t>USER9944</t>
  </si>
  <si>
    <t>USER6461</t>
  </si>
  <si>
    <t>USER9761</t>
  </si>
  <si>
    <t>USER1626</t>
  </si>
  <si>
    <t>USER7251</t>
  </si>
  <si>
    <t>USER7101</t>
  </si>
  <si>
    <t>USER4861</t>
  </si>
  <si>
    <t>USER8871</t>
  </si>
  <si>
    <t>USER3871</t>
  </si>
  <si>
    <t>USER5031</t>
  </si>
  <si>
    <t>USER7707</t>
  </si>
  <si>
    <t>USER1897</t>
  </si>
  <si>
    <t>USER9338</t>
  </si>
  <si>
    <t>USER1732</t>
  </si>
  <si>
    <t>USER4791</t>
  </si>
  <si>
    <t>USER3634</t>
  </si>
  <si>
    <t>USER3335</t>
  </si>
  <si>
    <t>USER8430</t>
  </si>
  <si>
    <t>USER8843</t>
  </si>
  <si>
    <t>USER1684</t>
  </si>
  <si>
    <t>USER8484</t>
  </si>
  <si>
    <t>USER7140</t>
  </si>
  <si>
    <t>USER1016</t>
  </si>
  <si>
    <t>USER8156</t>
  </si>
  <si>
    <t>USER4276</t>
  </si>
  <si>
    <t>USER2847</t>
  </si>
  <si>
    <t>USER3102</t>
  </si>
  <si>
    <t>USER8034</t>
  </si>
  <si>
    <t>USER6044</t>
  </si>
  <si>
    <t>USER1193</t>
  </si>
  <si>
    <t>USER2510</t>
  </si>
  <si>
    <t>USER9027</t>
  </si>
  <si>
    <t>USER8450</t>
  </si>
  <si>
    <t>USER5373</t>
  </si>
  <si>
    <t>USER6564</t>
  </si>
  <si>
    <t>USER2281</t>
  </si>
  <si>
    <t>USER8790</t>
  </si>
  <si>
    <t>USER6299</t>
  </si>
  <si>
    <t>USER7331</t>
  </si>
  <si>
    <t>USER7648</t>
  </si>
  <si>
    <t>USER7273</t>
  </si>
  <si>
    <t>USER7016</t>
  </si>
  <si>
    <t>USER1507</t>
  </si>
  <si>
    <t>USER9835</t>
  </si>
  <si>
    <t>USER5387</t>
  </si>
  <si>
    <t>USER7534</t>
  </si>
  <si>
    <t>USER7067</t>
  </si>
  <si>
    <t>USER5896</t>
  </si>
  <si>
    <t>USER5153</t>
  </si>
  <si>
    <t>USER8443</t>
  </si>
  <si>
    <t>USER1669</t>
  </si>
  <si>
    <t>USER7521</t>
  </si>
  <si>
    <t>USER2926</t>
  </si>
  <si>
    <t>USER2145</t>
  </si>
  <si>
    <t>USER1208</t>
  </si>
  <si>
    <t>USER3574</t>
  </si>
  <si>
    <t>USER3802</t>
  </si>
  <si>
    <t>USER8461</t>
  </si>
  <si>
    <t>USER5212</t>
  </si>
  <si>
    <t>USER9620</t>
  </si>
  <si>
    <t>USER9707</t>
  </si>
  <si>
    <t>USER3051</t>
  </si>
  <si>
    <t>USER4018</t>
  </si>
  <si>
    <t>USER9003</t>
  </si>
  <si>
    <t>USER1148</t>
  </si>
  <si>
    <t>USER7518</t>
  </si>
  <si>
    <t>USER4139</t>
  </si>
  <si>
    <t>USER9757</t>
  </si>
  <si>
    <t>USER8459</t>
  </si>
  <si>
    <t>USER5587</t>
  </si>
  <si>
    <t>USER6178</t>
  </si>
  <si>
    <t>USER9678</t>
  </si>
  <si>
    <t>USER8212</t>
  </si>
  <si>
    <t>USER1959</t>
  </si>
  <si>
    <t>USER1496</t>
  </si>
  <si>
    <t>USER7723</t>
  </si>
  <si>
    <t>USER3439</t>
  </si>
  <si>
    <t>USER2019</t>
  </si>
  <si>
    <t>USER4230</t>
  </si>
  <si>
    <t>USER3022</t>
  </si>
  <si>
    <t>USER1162</t>
  </si>
  <si>
    <t>USER9605</t>
  </si>
  <si>
    <t>USER6107</t>
  </si>
  <si>
    <t>USER3457</t>
  </si>
  <si>
    <t>USER5865</t>
  </si>
  <si>
    <t>USER5612</t>
  </si>
  <si>
    <t>USER7224</t>
  </si>
  <si>
    <t>USER7846</t>
  </si>
  <si>
    <t>USER9137</t>
  </si>
  <si>
    <t>USER8948</t>
  </si>
  <si>
    <t>USER2769</t>
  </si>
  <si>
    <t>USER5074</t>
  </si>
  <si>
    <t>USER4882</t>
  </si>
  <si>
    <t>USER8124</t>
  </si>
  <si>
    <t>USER8076</t>
  </si>
  <si>
    <t>USER9827</t>
  </si>
  <si>
    <t>USER1199</t>
  </si>
  <si>
    <t>USER2224</t>
  </si>
  <si>
    <t>USER6338</t>
  </si>
  <si>
    <t>USER6927</t>
  </si>
  <si>
    <t>USER5593</t>
  </si>
  <si>
    <t>USER9008</t>
  </si>
  <si>
    <t>USER5393</t>
  </si>
  <si>
    <t>USER8172</t>
  </si>
  <si>
    <t>USER1768</t>
  </si>
  <si>
    <t>USER1017</t>
  </si>
  <si>
    <t>USER9882</t>
  </si>
  <si>
    <t>USER8366</t>
  </si>
  <si>
    <t>USER8603</t>
  </si>
  <si>
    <t>USER2998</t>
  </si>
  <si>
    <t>USER4485</t>
  </si>
  <si>
    <t>USER9596</t>
  </si>
  <si>
    <t>USER9389</t>
  </si>
  <si>
    <t>USER3041</t>
  </si>
  <si>
    <t>USER8604</t>
  </si>
  <si>
    <t>USER4149</t>
  </si>
  <si>
    <t>USER5982</t>
  </si>
  <si>
    <t>USER5639</t>
  </si>
  <si>
    <t>USER9984</t>
  </si>
  <si>
    <t>USER3637</t>
  </si>
  <si>
    <t>USER4153</t>
  </si>
  <si>
    <t>USER4162</t>
  </si>
  <si>
    <t>USER3528</t>
  </si>
  <si>
    <t>USER4282</t>
  </si>
  <si>
    <t>USER1484</t>
  </si>
  <si>
    <t>USER6489</t>
  </si>
  <si>
    <t>USER2346</t>
  </si>
  <si>
    <t>USER3008</t>
  </si>
  <si>
    <t>USER6183</t>
  </si>
  <si>
    <t>USER8127</t>
  </si>
  <si>
    <t>USER5376</t>
  </si>
  <si>
    <t>USER5292</t>
  </si>
  <si>
    <t>USER8435</t>
  </si>
  <si>
    <t>USER8288</t>
  </si>
  <si>
    <t>USER5650</t>
  </si>
  <si>
    <t>USER8833</t>
  </si>
  <si>
    <t>USER5560</t>
  </si>
  <si>
    <t>USER9054</t>
  </si>
  <si>
    <t>USER4819</t>
  </si>
  <si>
    <t>USER4036</t>
  </si>
  <si>
    <t>USER8244</t>
  </si>
  <si>
    <t>USER6293</t>
  </si>
  <si>
    <t>USER6422</t>
  </si>
  <si>
    <t>USER3344</t>
  </si>
  <si>
    <t>USER1236</t>
  </si>
  <si>
    <t>USER2162</t>
  </si>
  <si>
    <t>USER4925</t>
  </si>
  <si>
    <t>USER9120</t>
  </si>
  <si>
    <t>USER2949</t>
  </si>
  <si>
    <t>USER8941</t>
  </si>
  <si>
    <t>USER4979</t>
  </si>
  <si>
    <t>USER4330</t>
  </si>
  <si>
    <t>USER2587</t>
  </si>
  <si>
    <t>USER4128</t>
  </si>
  <si>
    <t>USER5144</t>
  </si>
  <si>
    <t>USER2613</t>
  </si>
  <si>
    <t>USER5651</t>
  </si>
  <si>
    <t>USER8969</t>
  </si>
  <si>
    <t>USER9390</t>
  </si>
  <si>
    <t>USER5602</t>
  </si>
  <si>
    <t>USER2972</t>
  </si>
  <si>
    <t>USER4129</t>
  </si>
  <si>
    <t>USER6950</t>
  </si>
  <si>
    <t>USER9769</t>
  </si>
  <si>
    <t>USER2153</t>
  </si>
  <si>
    <t>USER1074</t>
  </si>
  <si>
    <t>USER7041</t>
  </si>
  <si>
    <t>USER8895</t>
  </si>
  <si>
    <t>USER4220</t>
  </si>
  <si>
    <t>USER6062</t>
  </si>
  <si>
    <t>USER4651</t>
  </si>
  <si>
    <t>USER7109</t>
  </si>
  <si>
    <t>USER3504</t>
  </si>
  <si>
    <t>USER4909</t>
  </si>
  <si>
    <t>USER6658</t>
  </si>
  <si>
    <t>USER8222</t>
  </si>
  <si>
    <t>USER3779</t>
  </si>
  <si>
    <t>USER9394</t>
  </si>
  <si>
    <t>USER5344</t>
  </si>
  <si>
    <t>USER5169</t>
  </si>
  <si>
    <t>USER2685</t>
  </si>
  <si>
    <t>USER9698</t>
  </si>
  <si>
    <t>USER3073</t>
  </si>
  <si>
    <t>USER3286</t>
  </si>
  <si>
    <t>USER6128</t>
  </si>
  <si>
    <t>USER5904</t>
  </si>
  <si>
    <t>USER9152</t>
  </si>
  <si>
    <t>USER7589</t>
  </si>
  <si>
    <t>USER9043</t>
  </si>
  <si>
    <t>USER9920</t>
  </si>
  <si>
    <t>USER6431</t>
  </si>
  <si>
    <t>USER5864</t>
  </si>
  <si>
    <t>USER5970</t>
  </si>
  <si>
    <t>USER6548</t>
  </si>
  <si>
    <t>USER3090</t>
  </si>
  <si>
    <t>USER6925</t>
  </si>
  <si>
    <t>USER5232</t>
  </si>
  <si>
    <t>USER8088</t>
  </si>
  <si>
    <t>USER7042</t>
  </si>
  <si>
    <t>USER4237</t>
  </si>
  <si>
    <t>USER1619</t>
  </si>
  <si>
    <t>USER3881</t>
  </si>
  <si>
    <t>USER4587</t>
  </si>
  <si>
    <t>USER9852</t>
  </si>
  <si>
    <t>USER1775</t>
  </si>
  <si>
    <t>USER3487</t>
  </si>
  <si>
    <t>USER6439</t>
  </si>
  <si>
    <t>USER9314</t>
  </si>
  <si>
    <t>USER2435</t>
  </si>
  <si>
    <t>USER6663</t>
  </si>
  <si>
    <t>USER7356</t>
  </si>
  <si>
    <t>USER1041</t>
  </si>
  <si>
    <t>USER5969</t>
  </si>
  <si>
    <t>USER2637</t>
  </si>
  <si>
    <t>USER3247</t>
  </si>
  <si>
    <t>USER5476</t>
  </si>
  <si>
    <t>USER9077</t>
  </si>
  <si>
    <t>USER6539</t>
  </si>
  <si>
    <t>USER9148</t>
  </si>
  <si>
    <t>USER3444</t>
  </si>
  <si>
    <t>USER3657</t>
  </si>
  <si>
    <t>USER3821</t>
  </si>
  <si>
    <t>USER4088</t>
  </si>
  <si>
    <t>USER9704</t>
  </si>
  <si>
    <t>USER7863</t>
  </si>
  <si>
    <t>USER5339</t>
  </si>
  <si>
    <t>USER2381</t>
  </si>
  <si>
    <t>USER3245</t>
  </si>
  <si>
    <t>USER9855</t>
  </si>
  <si>
    <t>USER5770</t>
  </si>
  <si>
    <t>USER4691</t>
  </si>
  <si>
    <t>USER1402</t>
  </si>
  <si>
    <t>USER5551</t>
  </si>
  <si>
    <t>USER3091</t>
  </si>
  <si>
    <t>USER4135</t>
  </si>
  <si>
    <t>USER4374</t>
  </si>
  <si>
    <t>USER2624</t>
  </si>
  <si>
    <t>USER8292</t>
  </si>
  <si>
    <t>USER7026</t>
  </si>
  <si>
    <t>USER1056</t>
  </si>
  <si>
    <t>USER6916</t>
  </si>
  <si>
    <t>USER7102</t>
  </si>
  <si>
    <t>USER5450</t>
  </si>
  <si>
    <t>USER4305</t>
  </si>
  <si>
    <t>USER6343</t>
  </si>
  <si>
    <t>USER8175</t>
  </si>
  <si>
    <t>USER4720</t>
  </si>
  <si>
    <t>USER6580</t>
  </si>
  <si>
    <t>USER5058</t>
  </si>
  <si>
    <t>USER8967</t>
  </si>
  <si>
    <t>USER8788</t>
  </si>
  <si>
    <t>USER1518</t>
  </si>
  <si>
    <t>USER9234</t>
  </si>
  <si>
    <t>USER8756</t>
  </si>
  <si>
    <t>USER1471</t>
  </si>
  <si>
    <t>USER7714</t>
  </si>
  <si>
    <t>USER2263</t>
  </si>
  <si>
    <t>USER8883</t>
  </si>
  <si>
    <t>USER7711</t>
  </si>
  <si>
    <t>USER5579</t>
  </si>
  <si>
    <t>USER4926</t>
  </si>
  <si>
    <t>USER6483</t>
  </si>
  <si>
    <t>USER7848</t>
  </si>
  <si>
    <t>USER1790</t>
  </si>
  <si>
    <t>USER4050</t>
  </si>
  <si>
    <t>USER9404</t>
  </si>
  <si>
    <t>USER4327</t>
  </si>
  <si>
    <t>USER9196</t>
  </si>
  <si>
    <t>USER5151</t>
  </si>
  <si>
    <t>USER8753</t>
  </si>
  <si>
    <t>USER3616</t>
  </si>
  <si>
    <t>USER2975</t>
  </si>
  <si>
    <t>USER5462</t>
  </si>
  <si>
    <t>USER4103</t>
  </si>
  <si>
    <t>USER3584</t>
  </si>
  <si>
    <t>USER2245</t>
  </si>
  <si>
    <t>USER5562</t>
  </si>
  <si>
    <t>USER9754</t>
  </si>
  <si>
    <t>USER6585</t>
  </si>
  <si>
    <t>USER3012</t>
  </si>
  <si>
    <t>USER4608</t>
  </si>
  <si>
    <t>USER5080</t>
  </si>
  <si>
    <t>USER8670</t>
  </si>
  <si>
    <t>USER2805</t>
  </si>
  <si>
    <t>USER2389</t>
  </si>
  <si>
    <t>USER4481</t>
  </si>
  <si>
    <t>USER3038</t>
  </si>
  <si>
    <t>USER9084</t>
  </si>
  <si>
    <t>USER4873</t>
  </si>
  <si>
    <t>USER1066</t>
  </si>
  <si>
    <t>USER8856</t>
  </si>
  <si>
    <t>USER8730</t>
  </si>
  <si>
    <t>USER7981</t>
  </si>
  <si>
    <t>USER7866</t>
  </si>
  <si>
    <t>USER9490</t>
  </si>
  <si>
    <t>USER5588</t>
  </si>
  <si>
    <t>USER8739</t>
  </si>
  <si>
    <t>USER6579</t>
  </si>
  <si>
    <t>USER8399</t>
  </si>
  <si>
    <t>USER5611</t>
  </si>
  <si>
    <t>USER3642</t>
  </si>
  <si>
    <t>USER7214</t>
  </si>
  <si>
    <t>USER7686</t>
  </si>
  <si>
    <t>USER2537</t>
  </si>
  <si>
    <t>USER7894</t>
  </si>
  <si>
    <t>USER2844</t>
  </si>
  <si>
    <t>USER3614</t>
  </si>
  <si>
    <t>USER1366</t>
  </si>
  <si>
    <t>USER3112</t>
  </si>
  <si>
    <t>USER7637</t>
  </si>
  <si>
    <t>USER4695</t>
  </si>
  <si>
    <t>USER8759</t>
  </si>
  <si>
    <t>USER3277</t>
  </si>
  <si>
    <t>USER8275</t>
  </si>
  <si>
    <t>USER9124</t>
  </si>
  <si>
    <t>USER3318</t>
  </si>
  <si>
    <t>USER1042</t>
  </si>
  <si>
    <t>USER8084</t>
  </si>
  <si>
    <t>USER2379</t>
  </si>
  <si>
    <t>USER6323</t>
  </si>
  <si>
    <t>USER1617</t>
  </si>
  <si>
    <t>USER2888</t>
  </si>
  <si>
    <t>USER7496</t>
  </si>
  <si>
    <t>USER9752</t>
  </si>
  <si>
    <t>USER9584</t>
  </si>
  <si>
    <t>USER6899</t>
  </si>
  <si>
    <t>USER1251</t>
  </si>
  <si>
    <t>USER9703</t>
  </si>
  <si>
    <t>USER6990</t>
  </si>
  <si>
    <t>USER1442</t>
  </si>
  <si>
    <t>USER3134</t>
  </si>
  <si>
    <t>USER6154</t>
  </si>
  <si>
    <t>USER4853</t>
  </si>
  <si>
    <t>USER9749</t>
  </si>
  <si>
    <t>USER3942</t>
  </si>
  <si>
    <t>USER5609</t>
  </si>
  <si>
    <t>USER9847</t>
  </si>
  <si>
    <t>USER8997</t>
  </si>
  <si>
    <t>USER9485</t>
  </si>
  <si>
    <t>USER5570</t>
  </si>
  <si>
    <t>USER4952</t>
  </si>
  <si>
    <t>USER3285</t>
  </si>
  <si>
    <t>USER7561</t>
  </si>
  <si>
    <t>USER7322</t>
  </si>
  <si>
    <t>USER7124</t>
  </si>
  <si>
    <t>USER7238</t>
  </si>
  <si>
    <t>USER3558</t>
  </si>
  <si>
    <t>USER7983</t>
  </si>
  <si>
    <t>USER2619</t>
  </si>
  <si>
    <t>USER3750</t>
  </si>
  <si>
    <t>USER5030</t>
  </si>
  <si>
    <t>USER1970</t>
  </si>
  <si>
    <t>USER4345</t>
  </si>
  <si>
    <t>USER4999</t>
  </si>
  <si>
    <t>USER5351</t>
  </si>
  <si>
    <t>USER4315</t>
  </si>
  <si>
    <t>USER1952</t>
  </si>
  <si>
    <t>USER2501</t>
  </si>
  <si>
    <t>USER4666</t>
  </si>
  <si>
    <t>USER4243</t>
  </si>
  <si>
    <t>USER5934</t>
  </si>
  <si>
    <t>USER6805</t>
  </si>
  <si>
    <t>USER5045</t>
  </si>
  <si>
    <t>USER8812</t>
  </si>
  <si>
    <t>USER5140</t>
  </si>
  <si>
    <t>USER6956</t>
  </si>
  <si>
    <t>USER8876</t>
  </si>
  <si>
    <t>USER6614</t>
  </si>
  <si>
    <t>USER6510</t>
  </si>
  <si>
    <t>USER8082</t>
  </si>
  <si>
    <t>USER3633</t>
  </si>
  <si>
    <t>USER7942</t>
  </si>
  <si>
    <t>USER9471</t>
  </si>
  <si>
    <t>USER5013</t>
  </si>
  <si>
    <t>USER8712</t>
  </si>
  <si>
    <t>USER5738</t>
  </si>
  <si>
    <t>USER8276</t>
  </si>
  <si>
    <t>USER5428</t>
  </si>
  <si>
    <t>USER2017</t>
  </si>
  <si>
    <t>USER3155</t>
  </si>
  <si>
    <t>USER7234</t>
  </si>
  <si>
    <t>USER4788</t>
  </si>
  <si>
    <t>USER9767</t>
  </si>
  <si>
    <t>USER5056</t>
  </si>
  <si>
    <t>USER6554</t>
  </si>
  <si>
    <t>USER2232</t>
  </si>
  <si>
    <t>USER1560</t>
  </si>
  <si>
    <t>USER4828</t>
  </si>
  <si>
    <t>USER5746</t>
  </si>
  <si>
    <t>USER4366</t>
  </si>
  <si>
    <t>USER8772</t>
  </si>
  <si>
    <t>USER6628</t>
  </si>
  <si>
    <t>USER4227</t>
  </si>
  <si>
    <t>USER1907</t>
  </si>
  <si>
    <t>USER5328</t>
  </si>
  <si>
    <t>USER7678</t>
  </si>
  <si>
    <t>USER2952</t>
  </si>
  <si>
    <t>USER7020</t>
  </si>
  <si>
    <t>USER9449</t>
  </si>
  <si>
    <t>USER8001</t>
  </si>
  <si>
    <t>USER9405</t>
  </si>
  <si>
    <t>USER7274</t>
  </si>
  <si>
    <t>USER6087</t>
  </si>
  <si>
    <t>USER7335</t>
  </si>
  <si>
    <t>USER1466</t>
  </si>
  <si>
    <t>USER9361</t>
  </si>
  <si>
    <t>USER1061</t>
  </si>
  <si>
    <t>USER4080</t>
  </si>
  <si>
    <t>USER4639</t>
  </si>
  <si>
    <t>USER6551</t>
  </si>
  <si>
    <t>USER2234</t>
  </si>
  <si>
    <t>USER7491</t>
  </si>
  <si>
    <t>USER2539</t>
  </si>
  <si>
    <t>USER6543</t>
  </si>
  <si>
    <t>USER9225</t>
  </si>
  <si>
    <t>USER7602</t>
  </si>
  <si>
    <t>USER6637</t>
  </si>
  <si>
    <t>USER5782</t>
  </si>
  <si>
    <t>USER4978</t>
  </si>
  <si>
    <t>USER3166</t>
  </si>
  <si>
    <t>USER6099</t>
  </si>
  <si>
    <t>USER7594</t>
  </si>
  <si>
    <t>USER6037</t>
  </si>
  <si>
    <t>USER1638</t>
  </si>
  <si>
    <t>USER7404</t>
  </si>
  <si>
    <t>S1001</t>
  </si>
  <si>
    <t>S1991</t>
  </si>
  <si>
    <t>S1661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</si>
  <si>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</si>
  <si>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</si>
  <si>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</si>
  <si>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</si>
  <si>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</si>
  <si>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</si>
  <si>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</si>
  <si>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</si>
  <si>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</si>
  <si>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</si>
  <si>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</si>
  <si>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</si>
  <si>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</si>
  <si>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</si>
  <si>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</si>
  <si>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</si>
  <si>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</si>
  <si>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</si>
  <si>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</si>
  <si>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</si>
  <si>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</si>
  <si>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</si>
  <si>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</si>
  <si>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</si>
  <si>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</si>
  <si>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</si>
  <si>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</si>
  <si>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</si>
  <si>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</si>
  <si>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</si>
  <si>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</si>
  <si>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</si>
  <si>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</si>
  <si>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</si>
  <si>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</si>
  <si>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</si>
  <si>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</si>
  <si>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</si>
  <si>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</si>
  <si>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</si>
  <si>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</si>
  <si>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</si>
  <si>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</si>
  <si>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</si>
  <si>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</si>
  <si>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</si>
  <si>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</si>
  <si>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</si>
  <si>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</si>
  <si>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</si>
  <si>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</si>
  <si>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</si>
  <si>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</si>
  <si>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</si>
  <si>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</si>
  <si>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</si>
  <si>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</si>
  <si>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</si>
  <si>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</si>
  <si>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</si>
  <si>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</si>
  <si>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</si>
  <si>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</si>
  <si>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</si>
  <si>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</si>
  <si>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</si>
  <si>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</si>
  <si>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</si>
  <si>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</si>
  <si>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</si>
  <si>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</si>
  <si>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</si>
  <si>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</si>
  <si>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</si>
  <si>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</si>
  <si>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</si>
  <si>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</si>
  <si>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</si>
  <si>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</si>
  <si>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</si>
  <si>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</si>
  <si>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</si>
  <si>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</si>
  <si>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</si>
  <si>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</si>
  <si>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</si>
  <si>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</si>
  <si>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</si>
  <si>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</si>
  <si>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</si>
  <si>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</si>
  <si>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</si>
  <si>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</si>
  <si>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</si>
  <si>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</si>
  <si>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</si>
  <si>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</si>
  <si>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</si>
  <si>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</si>
  <si>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</si>
  <si>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</si>
  <si>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</si>
  <si>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</si>
  <si>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</si>
  <si>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</si>
  <si>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</si>
  <si>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</si>
  <si>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</si>
  <si>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</si>
  <si>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</si>
  <si>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</si>
  <si>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</si>
  <si>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</si>
  <si>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</si>
  <si>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</si>
  <si>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</si>
  <si>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</si>
  <si>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</si>
  <si>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</si>
  <si>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</si>
  <si>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</si>
  <si>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</si>
  <si>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</si>
  <si>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</si>
  <si>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</si>
  <si>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</si>
  <si>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</si>
  <si>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</si>
  <si>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</si>
  <si>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</si>
  <si>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</si>
  <si>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</si>
  <si>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</si>
  <si>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</si>
  <si>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</si>
  <si>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</si>
  <si>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</si>
  <si>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</si>
  <si>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</si>
  <si>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</si>
  <si>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</si>
  <si>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</si>
  <si>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</si>
  <si>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</si>
  <si>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</si>
  <si>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</si>
  <si>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</si>
  <si>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</si>
  <si>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</si>
  <si>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</si>
  <si>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</si>
  <si>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</si>
  <si>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</si>
  <si>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</si>
  <si>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</si>
  <si>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</si>
  <si>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</si>
  <si>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</si>
  <si>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</si>
  <si>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</si>
  <si>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</si>
  <si>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</si>
  <si>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</si>
  <si>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</si>
  <si>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</si>
  <si>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</si>
  <si>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</si>
  <si>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</si>
  <si>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</si>
  <si>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</si>
  <si>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</si>
  <si>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</si>
  <si>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</si>
  <si>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</si>
  <si>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</si>
  <si>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</si>
  <si>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</si>
  <si>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</si>
  <si>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</si>
  <si>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</si>
  <si>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</si>
  <si>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</si>
  <si>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</si>
  <si>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</si>
  <si>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</si>
  <si>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</si>
  <si>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</si>
  <si>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</si>
  <si>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</si>
  <si>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</si>
  <si>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</si>
  <si>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</si>
  <si>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</si>
  <si>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</si>
  <si>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</si>
  <si>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</si>
  <si>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</si>
  <si>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</si>
  <si>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</si>
  <si>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</si>
  <si>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</si>
  <si>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</si>
  <si>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</si>
  <si>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</si>
  <si>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</si>
  <si>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</si>
  <si>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</si>
  <si>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</si>
  <si>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</si>
  <si>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</si>
  <si>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</si>
  <si>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</si>
  <si>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</si>
  <si>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</si>
  <si>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</si>
  <si>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</si>
  <si>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</si>
  <si>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</si>
  <si>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</si>
  <si>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</si>
  <si>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</si>
  <si>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</si>
  <si>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</si>
  <si>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</si>
  <si>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</si>
  <si>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</si>
  <si>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</si>
  <si>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</si>
  <si>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</si>
  <si>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</si>
  <si>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</si>
  <si>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</si>
  <si>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</si>
  <si>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</si>
  <si>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</si>
  <si>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</si>
  <si>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</si>
  <si>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</si>
  <si>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</si>
  <si>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</si>
  <si>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</si>
  <si>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</si>
  <si>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</si>
  <si>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</si>
  <si>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</si>
  <si>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</si>
  <si>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</si>
  <si>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</si>
  <si>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</si>
  <si>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</si>
  <si>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</si>
  <si>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</si>
  <si>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</si>
  <si>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</si>
  <si>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</si>
  <si>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</si>
  <si>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</si>
  <si>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</si>
  <si>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</si>
  <si>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</si>
  <si>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</si>
  <si>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</si>
  <si>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</si>
  <si>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</si>
  <si>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</si>
  <si>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</si>
  <si>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</si>
  <si>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</si>
  <si>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</si>
  <si>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</si>
  <si>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</si>
  <si>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</si>
  <si>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</si>
  <si>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</si>
  <si>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</si>
  <si>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</si>
  <si>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</si>
  <si>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</si>
  <si>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</si>
  <si>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</si>
  <si>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</si>
  <si>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</si>
  <si>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</si>
  <si>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</si>
  <si>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</si>
  <si>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</si>
  <si>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</si>
  <si>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</si>
  <si>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</si>
  <si>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</si>
  <si>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</si>
  <si>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</si>
  <si>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</si>
  <si>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</si>
  <si>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</si>
  <si>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</si>
  <si>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</si>
  <si>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</si>
  <si>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</si>
  <si>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</si>
  <si>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</si>
  <si>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</si>
  <si>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</si>
  <si>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</si>
  <si>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</si>
  <si>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</si>
  <si>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</si>
  <si>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</si>
  <si>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</si>
  <si>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</si>
  <si>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</si>
  <si>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</si>
  <si>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</si>
  <si>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</si>
  <si>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</si>
  <si>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</si>
  <si>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</si>
  <si>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</si>
  <si>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</si>
  <si>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</si>
  <si>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</si>
  <si>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</si>
  <si>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</si>
  <si>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</si>
  <si>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</si>
  <si>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</si>
  <si>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</si>
  <si>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</si>
  <si>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</si>
  <si>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</si>
  <si>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</si>
  <si>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</si>
  <si>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</si>
  <si>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</si>
  <si>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</si>
  <si>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</si>
  <si>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</si>
  <si>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</si>
  <si>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</si>
  <si>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</si>
  <si>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</si>
  <si>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</si>
  <si>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</si>
  <si>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</si>
  <si>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</si>
  <si>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</si>
  <si>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</si>
  <si>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</si>
  <si>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</si>
  <si>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</si>
  <si>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</si>
  <si>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</si>
  <si>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</si>
  <si>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</si>
  <si>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</si>
  <si>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</si>
  <si>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</si>
  <si>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</si>
  <si>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</si>
  <si>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</si>
  <si>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</si>
  <si>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</si>
  <si>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</si>
  <si>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</si>
  <si>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</si>
  <si>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</si>
  <si>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</si>
  <si>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</si>
  <si>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</si>
  <si>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</si>
  <si>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</si>
  <si>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</si>
  <si>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</si>
  <si>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</si>
  <si>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</si>
  <si>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</si>
  <si>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</si>
  <si>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</si>
  <si>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</si>
  <si>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</si>
  <si>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</si>
  <si>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</si>
  <si>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</si>
  <si>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</si>
  <si>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</si>
  <si>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</si>
  <si>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</si>
  <si>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</si>
  <si>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</si>
  <si>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</si>
  <si>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</si>
  <si>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</si>
  <si>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</si>
  <si>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</si>
  <si>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</si>
  <si>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</si>
  <si>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</si>
  <si>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</si>
  <si>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</si>
  <si>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</si>
  <si>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</si>
  <si>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</si>
  <si>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</si>
  <si>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</si>
  <si>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</si>
  <si>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</si>
  <si>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</si>
  <si>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</si>
  <si>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</si>
  <si>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</si>
  <si>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</si>
  <si>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</si>
  <si>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</si>
  <si>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</si>
  <si>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</si>
  <si>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</si>
  <si>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</si>
  <si>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</si>
  <si>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</si>
  <si>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</si>
  <si>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</si>
  <si>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</si>
  <si>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</si>
  <si>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</si>
  <si>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</si>
  <si>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</si>
  <si>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</si>
  <si>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</si>
  <si>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</si>
  <si>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</si>
  <si>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</si>
  <si>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</si>
  <si>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</si>
  <si>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</si>
  <si>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</si>
  <si>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</si>
  <si>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</si>
  <si>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</si>
  <si>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</si>
  <si>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</si>
  <si>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</si>
  <si>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</si>
  <si>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</si>
  <si>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</si>
  <si>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</si>
  <si>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</si>
  <si>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</si>
  <si>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</si>
  <si>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</si>
  <si>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</si>
  <si>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</si>
  <si>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</si>
  <si>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</si>
  <si>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</si>
  <si>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</si>
  <si>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</si>
  <si>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</si>
  <si>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</si>
  <si>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</si>
  <si>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</si>
  <si>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</si>
  <si>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</si>
  <si>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</si>
  <si>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</si>
  <si>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</si>
  <si>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</si>
  <si>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</si>
  <si>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</si>
  <si>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</si>
  <si>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</si>
  <si>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</si>
  <si>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</si>
  <si>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</si>
  <si>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</si>
  <si>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</si>
  <si>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</si>
  <si>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</si>
  <si>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</si>
  <si>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</si>
  <si>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</si>
  <si>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</si>
  <si>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</si>
  <si>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</si>
  <si>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</si>
  <si>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</si>
  <si>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</si>
  <si>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</si>
  <si>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</si>
  <si>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</si>
  <si>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</si>
  <si>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</si>
  <si>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</si>
  <si>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</si>
  <si>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</si>
  <si>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</si>
  <si>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</si>
  <si>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</si>
  <si>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</si>
  <si>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</si>
  <si>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</si>
  <si>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</si>
  <si>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</si>
  <si>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</si>
  <si>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</si>
  <si>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</si>
  <si>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</si>
  <si>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</si>
  <si>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</si>
  <si>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</si>
  <si>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</si>
  <si>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</si>
  <si>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</si>
  <si>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</si>
  <si>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</si>
  <si>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</si>
  <si>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</si>
  <si>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</si>
  <si>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</si>
  <si>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</si>
  <si>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</si>
  <si>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</si>
  <si>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</si>
  <si>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</si>
  <si>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</si>
  <si>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</si>
  <si>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</si>
  <si>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</si>
  <si>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</si>
  <si>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</si>
  <si>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</si>
  <si>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</si>
  <si>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</si>
  <si>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</si>
  <si>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</si>
  <si>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</si>
  <si>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</si>
  <si>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</si>
  <si>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</si>
  <si>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</si>
  <si>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</si>
  <si>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</si>
  <si>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</si>
  <si>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</si>
  <si>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</si>
  <si>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</si>
  <si>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</si>
  <si>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</si>
  <si>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</si>
  <si>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</si>
  <si>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</si>
  <si>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</si>
  <si>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</si>
  <si>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</si>
  <si>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</si>
  <si>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</si>
  <si>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</si>
  <si>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</si>
  <si>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</si>
  <si>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</si>
  <si>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</si>
  <si>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</si>
  <si>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</si>
  <si>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</si>
  <si>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</si>
  <si>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</si>
  <si>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</si>
  <si>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</si>
  <si>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</si>
  <si>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</si>
  <si>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</si>
  <si>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</si>
  <si>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</si>
  <si>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</si>
  <si>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</si>
  <si>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</si>
  <si>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</si>
  <si>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</si>
  <si>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</si>
  <si>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</si>
  <si>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</si>
  <si>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</si>
  <si>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</si>
  <si>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</si>
  <si>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</si>
  <si>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</si>
  <si>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</si>
  <si>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</si>
  <si>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</si>
  <si>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</si>
  <si>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</si>
  <si>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</si>
  <si>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</si>
  <si>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</si>
  <si>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</si>
  <si>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</si>
  <si>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</si>
  <si>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</si>
  <si>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</si>
  <si>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</si>
  <si>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</si>
  <si>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</si>
  <si>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</si>
  <si>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</si>
  <si>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</si>
  <si>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</si>
  <si>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</si>
  <si>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</si>
  <si>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</si>
  <si>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</si>
  <si>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</si>
  <si>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</si>
  <si>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</si>
  <si>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</si>
  <si>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</si>
  <si>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</si>
  <si>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</si>
  <si>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</si>
  <si>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</si>
  <si>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</si>
  <si>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</si>
  <si>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</si>
  <si>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</si>
  <si>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</si>
  <si>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</si>
  <si>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</si>
  <si>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</si>
  <si>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</si>
  <si>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</si>
  <si>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</si>
  <si>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</si>
  <si>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</si>
  <si>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</si>
  <si>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</si>
  <si>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</si>
  <si>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</si>
  <si>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</si>
  <si>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</si>
  <si>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</si>
  <si>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</si>
  <si>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</si>
  <si>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</si>
  <si>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</si>
  <si>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</si>
  <si>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</si>
  <si>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</si>
  <si>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</si>
  <si>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</si>
  <si>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</si>
  <si>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</si>
  <si>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</si>
  <si>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</si>
  <si>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</si>
  <si>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</si>
  <si>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</si>
  <si>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</si>
  <si>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</si>
  <si>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</si>
  <si>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</si>
  <si>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</si>
  <si>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</si>
  <si>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</si>
  <si>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</si>
  <si>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</si>
  <si>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</si>
  <si>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</si>
  <si>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</si>
  <si>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</si>
  <si>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</si>
  <si>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</si>
  <si>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</si>
  <si>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</si>
  <si>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</si>
  <si>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</si>
  <si>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</si>
  <si>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</si>
  <si>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</si>
  <si>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</si>
  <si>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</si>
  <si>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</si>
  <si>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</si>
  <si>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</si>
  <si>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</si>
  <si>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</si>
  <si>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</si>
  <si>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</si>
  <si>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</si>
  <si>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</si>
  <si>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</si>
  <si>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</si>
  <si>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</si>
  <si>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</si>
  <si>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</si>
  <si>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</si>
  <si>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</si>
  <si>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</si>
  <si>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</si>
  <si>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</si>
  <si>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</si>
  <si>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</si>
  <si>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</si>
  <si>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</si>
  <si>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</si>
  <si>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</si>
  <si>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</si>
  <si>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</si>
  <si>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</si>
  <si>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</si>
  <si>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</si>
  <si>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</si>
  <si>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</si>
  <si>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</si>
  <si>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</si>
  <si>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</si>
  <si>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</si>
  <si>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</si>
  <si>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</si>
  <si>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</si>
  <si>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</si>
  <si>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</si>
  <si>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</si>
  <si>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</si>
  <si>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</si>
  <si>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</si>
  <si>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</si>
  <si>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</si>
  <si>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</si>
  <si>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</si>
  <si>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</si>
  <si>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</si>
  <si>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</si>
  <si>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</si>
  <si>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</si>
  <si>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</si>
  <si>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</si>
  <si>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</si>
  <si>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</si>
  <si>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</si>
  <si>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</si>
  <si>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</si>
  <si>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</si>
  <si>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</si>
  <si>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</si>
  <si>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</si>
  <si>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</si>
  <si>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</si>
  <si>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</si>
  <si>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</si>
  <si>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</si>
  <si>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</si>
  <si>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</si>
  <si>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</si>
  <si>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</si>
  <si>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</si>
  <si>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</si>
  <si>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</si>
  <si>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</si>
  <si>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</si>
  <si>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</si>
  <si>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</si>
  <si>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</si>
  <si>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</si>
  <si>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</si>
  <si>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</si>
  <si>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</si>
  <si>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</si>
  <si>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</si>
  <si>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</si>
  <si>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</si>
  <si>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</si>
  <si>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</si>
  <si>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</si>
  <si>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</si>
  <si>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</si>
  <si>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</si>
  <si>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</si>
  <si>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</si>
  <si>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</si>
  <si>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</si>
  <si>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</si>
  <si>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</si>
  <si>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</si>
  <si>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</si>
  <si>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</si>
  <si>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</si>
  <si>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</si>
  <si>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</si>
  <si>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</si>
  <si>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</si>
  <si>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</si>
  <si>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</si>
  <si>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</si>
  <si>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</si>
  <si>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</si>
  <si>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</si>
  <si>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</si>
  <si>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</si>
  <si>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</si>
  <si>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</si>
  <si>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</si>
  <si>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</si>
  <si>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</si>
  <si>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</si>
  <si>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</si>
  <si>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</si>
  <si>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</si>
  <si>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</si>
  <si>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</si>
  <si>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</si>
  <si>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</si>
  <si>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</si>
  <si>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</si>
  <si>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</si>
  <si>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</si>
  <si>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</si>
  <si>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</si>
  <si>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</si>
  <si>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</si>
  <si>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</si>
  <si>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</si>
  <si>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</si>
  <si>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</si>
  <si>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</si>
  <si>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</si>
  <si>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</si>
  <si>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</si>
  <si>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</si>
  <si>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</si>
  <si>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</si>
  <si>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</si>
  <si>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</si>
  <si>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</si>
  <si>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</si>
  <si>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</si>
  <si>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</si>
  <si>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</si>
  <si>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</si>
  <si>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</si>
  <si>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</si>
  <si>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</si>
  <si>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</si>
  <si>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</si>
  <si>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</si>
  <si>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</si>
  <si>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</si>
  <si>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</si>
  <si>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</si>
  <si>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</si>
  <si>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</si>
  <si>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</si>
  <si>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</si>
  <si>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</si>
  <si>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</si>
  <si>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</si>
  <si>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</si>
  <si>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</si>
  <si>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</si>
  <si>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</si>
  <si>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</si>
  <si>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</si>
  <si>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</si>
  <si>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</si>
  <si>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</si>
  <si>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</si>
  <si>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</si>
  <si>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</si>
  <si>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</si>
  <si>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</si>
  <si>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</si>
  <si>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</si>
  <si>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</si>
  <si>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</si>
  <si>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</si>
  <si>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</si>
  <si>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</si>
  <si>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</si>
  <si>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</si>
  <si>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</si>
  <si>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</si>
  <si>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</si>
  <si>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</si>
  <si>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</si>
  <si>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</si>
  <si>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</si>
  <si>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</si>
  <si>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</si>
  <si>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</si>
  <si>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</si>
  <si>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</si>
  <si>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</si>
  <si>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</si>
  <si>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</si>
  <si>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</si>
  <si>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</si>
  <si>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</si>
  <si>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</si>
  <si>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</si>
  <si>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</si>
  <si>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</si>
  <si>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</si>
  <si>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</si>
  <si>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</si>
  <si>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</si>
  <si>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</si>
  <si>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</si>
  <si>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</si>
  <si>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</si>
  <si>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</si>
  <si>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</si>
  <si>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</si>
  <si>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</si>
  <si>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</si>
  <si>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</si>
  <si>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</si>
  <si>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</si>
  <si>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</si>
  <si>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</si>
  <si>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</si>
  <si>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</si>
  <si>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</si>
  <si>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</si>
  <si>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</si>
  <si>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</si>
  <si>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</si>
  <si>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</si>
  <si>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</si>
  <si>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</si>
  <si>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</si>
  <si>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</si>
  <si>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</si>
  <si>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</si>
  <si>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</si>
  <si>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</si>
  <si>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</si>
  <si>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</si>
  <si>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</si>
  <si>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</si>
  <si>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</si>
  <si>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</si>
  <si>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</si>
  <si>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</si>
  <si>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</si>
  <si>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</si>
  <si>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</si>
  <si>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</si>
  <si>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</si>
  <si>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</si>
  <si>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</si>
  <si>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</si>
  <si>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</si>
  <si>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</si>
  <si>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</si>
  <si>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</si>
  <si>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</si>
  <si>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</si>
  <si>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</si>
  <si>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</si>
  <si>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</si>
  <si>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</si>
  <si>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</si>
  <si>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</si>
  <si>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</si>
  <si>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</si>
  <si>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</si>
  <si>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</si>
  <si>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</si>
  <si>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</si>
  <si>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</si>
  <si>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</si>
  <si>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</si>
  <si>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</si>
  <si>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</si>
  <si>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</si>
  <si>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</si>
  <si>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</si>
  <si>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</si>
  <si>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</si>
  <si>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</si>
  <si>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</si>
  <si>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</si>
  <si>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</si>
  <si>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</si>
  <si>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</si>
  <si>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</si>
  <si>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</si>
  <si>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</si>
  <si>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</si>
  <si>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</si>
  <si>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</si>
  <si>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</si>
  <si>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</si>
  <si>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</si>
  <si>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</si>
  <si>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</si>
  <si>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</si>
  <si>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</si>
  <si>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</si>
  <si>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</si>
  <si>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</si>
  <si>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</si>
  <si>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</si>
  <si>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</si>
  <si>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</si>
  <si>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</si>
  <si>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</si>
  <si>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</si>
  <si>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</si>
  <si>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</si>
  <si>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</si>
  <si>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</si>
  <si>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</si>
  <si>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</si>
  <si>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</si>
  <si>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</si>
  <si>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</si>
  <si>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</si>
  <si>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</si>
  <si>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</si>
  <si>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</si>
  <si>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</si>
  <si>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</si>
  <si>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</si>
  <si>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</si>
  <si>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</si>
  <si>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</si>
  <si>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</si>
  <si>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</si>
  <si>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</si>
  <si>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</si>
  <si>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</si>
  <si>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</si>
  <si>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</si>
  <si>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</si>
  <si>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</si>
  <si>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</si>
  <si>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</si>
  <si>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</si>
  <si>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</si>
  <si>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</si>
  <si>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</si>
  <si>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</si>
  <si>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</si>
  <si>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</si>
  <si>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</si>
  <si>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</si>
  <si>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</si>
  <si>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</si>
  <si>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</si>
  <si>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</si>
  <si>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</si>
  <si>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</si>
  <si>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</si>
  <si>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</si>
  <si>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</si>
  <si>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</si>
  <si>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</si>
  <si>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</si>
  <si>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</si>
  <si>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</si>
  <si>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</si>
  <si>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</si>
  <si>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</si>
  <si>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</si>
  <si>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</si>
  <si>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</si>
  <si>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</si>
  <si>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</si>
  <si>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</si>
  <si>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</si>
  <si>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</si>
  <si>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</si>
  <si>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</si>
  <si>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</si>
  <si>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</si>
  <si>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</si>
  <si>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</si>
  <si>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</si>
  <si>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</si>
  <si>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</si>
  <si>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</si>
  <si>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</si>
  <si>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</si>
  <si>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</si>
  <si>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</si>
  <si>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</si>
  <si>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</si>
  <si>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</si>
  <si>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</si>
  <si>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</si>
  <si>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</si>
  <si>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</si>
  <si>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</si>
  <si>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</si>
  <si>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</si>
  <si>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</si>
  <si>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</si>
  <si>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</si>
  <si>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</si>
  <si>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</si>
  <si>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</si>
  <si>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</si>
  <si>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</si>
  <si>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</si>
  <si>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</si>
  <si>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</si>
  <si>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</si>
  <si>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</si>
  <si>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</si>
  <si>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</si>
  <si>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</si>
  <si>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</si>
  <si>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</si>
  <si>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</si>
  <si>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</si>
  <si>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</si>
  <si>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</si>
  <si>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</si>
  <si>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</si>
  <si>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</si>
  <si>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</si>
  <si>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</si>
  <si>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</si>
  <si>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</si>
  <si>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</si>
  <si>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</si>
  <si>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</si>
  <si>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</si>
  <si>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</si>
  <si>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</si>
  <si>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</si>
  <si>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</si>
  <si>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</si>
  <si>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</si>
  <si>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</si>
  <si>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</si>
  <si>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</si>
  <si>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</si>
  <si>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</si>
  <si>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</si>
  <si>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</si>
  <si>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</si>
  <si>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</si>
  <si>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</si>
  <si>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</si>
  <si>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</si>
  <si>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</si>
  <si>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</si>
  <si>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</si>
  <si>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</si>
  <si>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</si>
  <si>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</si>
  <si>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</si>
  <si>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</si>
  <si>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</si>
  <si>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</si>
  <si>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</si>
  <si>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</si>
  <si>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</si>
  <si>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</si>
  <si>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</si>
  <si>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</si>
  <si>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</si>
  <si>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</si>
  <si>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</si>
  <si>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</si>
  <si>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</si>
  <si>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</si>
  <si>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</si>
  <si>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</si>
  <si>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</si>
  <si>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</si>
  <si>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</si>
  <si>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</si>
  <si>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</si>
  <si>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</si>
  <si>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</si>
  <si>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</si>
  <si>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</si>
  <si>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</si>
  <si>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</si>
  <si>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</si>
  <si>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</si>
  <si>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</si>
  <si>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</si>
  <si>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</si>
  <si>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</si>
  <si>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</si>
  <si>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</si>
  <si>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</si>
  <si>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</si>
  <si>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</si>
  <si>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</si>
  <si>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</si>
  <si>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</si>
  <si>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</si>
  <si>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</si>
  <si>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</si>
  <si>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</si>
  <si>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</si>
  <si>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</si>
  <si>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</si>
  <si>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</si>
  <si>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</si>
  <si>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</si>
  <si>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</si>
  <si>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</si>
  <si>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</si>
  <si>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</si>
  <si>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</si>
  <si>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</si>
  <si>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</si>
  <si>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</si>
  <si>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</si>
  <si>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</si>
  <si>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</si>
  <si>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</si>
  <si>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</si>
  <si>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</si>
  <si>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</si>
  <si>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</si>
  <si>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</si>
  <si>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</si>
  <si>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</si>
  <si>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</si>
  <si>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</si>
  <si>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</si>
  <si>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</si>
  <si>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</si>
  <si>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</si>
  <si>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</si>
  <si>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</si>
  <si>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</si>
  <si>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</si>
  <si>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</si>
  <si>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</si>
  <si>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</si>
  <si>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</si>
  <si>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</si>
  <si>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</si>
  <si>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</si>
  <si>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</si>
  <si>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</si>
  <si>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</si>
  <si>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</si>
  <si>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</si>
  <si>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</si>
  <si>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</si>
  <si>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</si>
  <si>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</si>
  <si>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</si>
  <si>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</si>
  <si>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</si>
  <si>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</si>
  <si>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</si>
  <si>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</si>
  <si>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</si>
  <si>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</si>
  <si>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</si>
  <si>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</si>
  <si>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</si>
  <si>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</si>
  <si>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</si>
  <si>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</si>
  <si>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</si>
  <si>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</si>
  <si>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</si>
  <si>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</si>
  <si>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</si>
  <si>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</si>
  <si>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</si>
  <si>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</si>
  <si>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</si>
  <si>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</si>
  <si>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</si>
  <si>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</si>
  <si>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</si>
  <si>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</si>
  <si>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</si>
  <si>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</si>
  <si>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</si>
  <si>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</si>
  <si>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</si>
  <si>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</si>
  <si>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</si>
  <si>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</si>
  <si>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</si>
  <si>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</si>
  <si>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</si>
  <si>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</si>
  <si>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</si>
  <si>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</si>
  <si>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</si>
  <si>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</si>
  <si>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</si>
  <si>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</si>
  <si>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</si>
  <si>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</si>
  <si>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</si>
  <si>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</si>
  <si>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</si>
  <si>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</si>
  <si>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</si>
  <si>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</si>
  <si>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</si>
  <si>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</si>
  <si>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</si>
  <si>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</si>
  <si>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</si>
  <si>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</si>
  <si>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</si>
  <si>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</si>
  <si>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</si>
  <si>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</si>
  <si>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</si>
  <si>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</si>
  <si>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</si>
  <si>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</si>
  <si>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</si>
  <si>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</si>
  <si>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</si>
  <si>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</si>
  <si>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</si>
  <si>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</si>
  <si>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</si>
  <si>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</si>
  <si>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</si>
  <si>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</si>
  <si>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</si>
  <si>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</si>
  <si>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</si>
  <si>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</si>
  <si>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</si>
  <si>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</si>
  <si>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</si>
  <si>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</si>
  <si>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</si>
  <si>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</si>
  <si>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</si>
  <si>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</si>
  <si>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</si>
  <si>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</si>
  <si>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</si>
  <si>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</si>
  <si>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</si>
  <si>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</si>
  <si>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</si>
  <si>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</si>
  <si>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</si>
  <si>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</si>
  <si>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</si>
  <si>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</si>
  <si>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</si>
  <si>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</si>
  <si>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</si>
  <si>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</si>
  <si>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</si>
  <si>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</si>
  <si>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</si>
  <si>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</si>
  <si>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</si>
  <si>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</si>
  <si>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</si>
  <si>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</si>
  <si>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</si>
  <si>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</si>
  <si>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</si>
  <si>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</si>
  <si>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</si>
  <si>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</si>
  <si>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</si>
  <si>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</si>
  <si>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</si>
  <si>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</si>
  <si>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</si>
  <si>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</si>
  <si>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</si>
  <si>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</si>
  <si>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</si>
  <si>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</si>
  <si>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</si>
  <si>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</si>
  <si>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</si>
  <si>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</si>
  <si>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</si>
  <si>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</si>
  <si>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</si>
  <si>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</si>
  <si>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</si>
  <si>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</si>
  <si>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</si>
  <si>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</si>
  <si>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</si>
  <si>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</si>
  <si>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</si>
  <si>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</si>
  <si>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</si>
  <si>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</si>
  <si>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</si>
  <si>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</si>
  <si>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</si>
  <si>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</si>
  <si>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</si>
  <si>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</si>
  <si>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</si>
  <si>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</si>
  <si>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</si>
  <si>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</si>
  <si>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</si>
  <si>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</si>
  <si>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</si>
  <si>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</si>
  <si>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</si>
  <si>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</si>
  <si>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</si>
  <si>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</si>
  <si>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</si>
  <si>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</si>
  <si>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</si>
  <si>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</si>
  <si>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</si>
  <si>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</si>
  <si>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</si>
  <si>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</si>
  <si>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</si>
  <si>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</si>
  <si>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</si>
  <si>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</si>
  <si>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</si>
  <si>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</si>
  <si>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</si>
  <si>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</si>
  <si>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</si>
  <si>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</si>
  <si>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</si>
  <si>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</si>
  <si>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</si>
  <si>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</si>
  <si>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</si>
  <si>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</si>
  <si>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</si>
  <si>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</si>
  <si>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</si>
  <si>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</si>
  <si>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</si>
  <si>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</si>
  <si>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</si>
  <si>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</si>
  <si>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</si>
  <si>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</si>
  <si>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</si>
  <si>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</si>
  <si>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</si>
  <si>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</si>
  <si>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</si>
  <si>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</si>
  <si>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</si>
  <si>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</si>
  <si>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</si>
  <si>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</si>
  <si>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</si>
  <si>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</si>
  <si>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</si>
  <si>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</si>
  <si>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</si>
  <si>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</si>
  <si>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</si>
  <si>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</si>
  <si>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</si>
  <si>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</si>
  <si>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</si>
  <si>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</si>
  <si>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</si>
  <si>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</si>
  <si>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</si>
  <si>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</si>
  <si>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</si>
  <si>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</si>
  <si>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</si>
  <si>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</si>
  <si>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</si>
  <si>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</si>
  <si>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</si>
  <si>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</si>
  <si>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</si>
  <si>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</si>
  <si>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</si>
  <si>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</si>
  <si>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</si>
  <si>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</si>
  <si>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</si>
  <si>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</si>
  <si>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</si>
  <si>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</si>
  <si>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</si>
  <si>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</si>
  <si>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</si>
  <si>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</si>
  <si>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</si>
  <si>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</si>
  <si>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</si>
  <si>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</si>
  <si>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</si>
  <si>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</si>
  <si>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</si>
  <si>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</si>
  <si>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</si>
  <si>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</si>
  <si>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</si>
  <si>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</si>
  <si>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</si>
  <si>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</si>
  <si>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</si>
  <si>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</si>
  <si>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</si>
  <si>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</si>
  <si>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</si>
  <si>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</si>
  <si>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</si>
  <si>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</si>
  <si>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</si>
  <si>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</si>
  <si>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</si>
  <si>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</si>
  <si>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</si>
  <si>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</si>
  <si>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</si>
  <si>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</si>
  <si>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</si>
  <si>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</si>
  <si>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</si>
  <si>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</si>
  <si>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</si>
  <si>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</si>
  <si>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</si>
  <si>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</si>
  <si>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</si>
  <si>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</si>
  <si>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</si>
  <si>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</si>
  <si>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</si>
  <si>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</si>
  <si>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</si>
  <si>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</si>
  <si>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</si>
  <si>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</si>
  <si>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</si>
  <si>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</si>
  <si>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</si>
  <si>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</si>
  <si>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</si>
  <si>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</si>
  <si>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</si>
  <si>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</si>
  <si>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</si>
  <si>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</si>
  <si>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</si>
  <si>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</si>
  <si>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</si>
  <si>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</si>
  <si>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</si>
  <si>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</si>
  <si>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</si>
  <si>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</si>
  <si>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</si>
  <si>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</si>
  <si>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</si>
  <si>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</si>
  <si>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</si>
  <si>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</si>
  <si>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</si>
  <si>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</si>
  <si>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</si>
  <si>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</si>
  <si>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</si>
  <si>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</si>
  <si>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</si>
  <si>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</si>
  <si>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</si>
  <si>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</si>
  <si>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</si>
  <si>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</si>
  <si>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</si>
  <si>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</si>
  <si>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</si>
  <si>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</si>
  <si>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</si>
  <si>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</si>
  <si>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</si>
  <si>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</si>
  <si>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</si>
  <si>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</si>
  <si>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</si>
  <si>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</si>
  <si>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</si>
  <si>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</si>
  <si>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</si>
  <si>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</si>
  <si>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</si>
  <si>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</si>
  <si>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</si>
  <si>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</si>
  <si>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</si>
  <si>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</si>
  <si>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</si>
  <si>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</si>
  <si>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</si>
  <si>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</si>
  <si>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</si>
  <si>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</si>
  <si>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</si>
  <si>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</si>
  <si>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</si>
  <si>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</si>
  <si>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</si>
  <si>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</si>
  <si>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</si>
  <si>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</si>
  <si>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</si>
  <si>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</si>
  <si>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</si>
  <si>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</si>
  <si>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</si>
  <si>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</si>
  <si>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</si>
  <si>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</si>
  <si>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</si>
  <si>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</si>
  <si>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</si>
  <si>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</si>
  <si>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</si>
  <si>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</si>
  <si>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</si>
  <si>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</si>
  <si>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</si>
  <si>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</si>
  <si>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</si>
  <si>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</si>
  <si>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</si>
  <si>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</si>
  <si>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</si>
  <si>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</si>
  <si>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</si>
  <si>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</si>
  <si>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</si>
  <si>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</si>
  <si>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</si>
  <si>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</si>
  <si>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</si>
  <si>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</si>
  <si>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</si>
  <si>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</si>
  <si>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</si>
  <si>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</si>
  <si>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</si>
  <si>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</si>
  <si>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</si>
  <si>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</si>
  <si>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</si>
  <si>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</si>
  <si>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</si>
  <si>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</si>
  <si>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</si>
  <si>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</si>
  <si>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</si>
  <si>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</si>
  <si>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</si>
  <si>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</si>
  <si>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</si>
  <si>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</si>
  <si>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</si>
  <si>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</si>
  <si>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</si>
  <si>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</si>
  <si>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</si>
  <si>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</si>
  <si>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</si>
  <si>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</si>
  <si>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</si>
  <si>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</si>
  <si>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</si>
  <si>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</si>
  <si>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</si>
  <si>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</si>
  <si>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</si>
  <si>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</si>
  <si>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</si>
  <si>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</si>
  <si>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</si>
  <si>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</si>
  <si>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</si>
  <si>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</si>
  <si>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</si>
  <si>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</si>
  <si>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</si>
  <si>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</si>
  <si>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</si>
  <si>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</si>
  <si>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</si>
  <si>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</si>
  <si>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</si>
  <si>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</si>
  <si>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</si>
  <si>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</si>
  <si>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</si>
  <si>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</si>
  <si>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</si>
  <si>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</si>
  <si>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</si>
  <si>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</si>
  <si>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</si>
  <si>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</si>
  <si>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</si>
  <si>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</si>
  <si>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</si>
  <si>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</si>
  <si>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</si>
  <si>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</si>
  <si>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</si>
  <si>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</si>
  <si>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</si>
  <si>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</si>
  <si>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</si>
  <si>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</si>
  <si>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</si>
  <si>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</si>
  <si>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</si>
  <si>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</si>
  <si>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</si>
  <si>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</si>
  <si>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</si>
  <si>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</si>
  <si>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</si>
  <si>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</si>
  <si>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</si>
  <si>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</si>
  <si>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</si>
  <si>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</si>
  <si>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</si>
  <si>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</si>
  <si>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</si>
  <si>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</si>
  <si>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</si>
  <si>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</si>
  <si>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</si>
  <si>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</si>
  <si>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</si>
  <si>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</si>
  <si>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</si>
  <si>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</si>
  <si>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</si>
  <si>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</si>
  <si>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</si>
  <si>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</si>
  <si>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</si>
  <si>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</si>
  <si>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</si>
  <si>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</si>
  <si>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</si>
  <si>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</si>
  <si>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</si>
  <si>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</si>
  <si>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</si>
  <si>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</si>
  <si>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</si>
  <si>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</si>
  <si>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</si>
  <si>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</si>
  <si>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</si>
  <si>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</si>
  <si>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</si>
  <si>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</si>
  <si>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</si>
  <si>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</si>
  <si>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</si>
  <si>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</si>
  <si>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</si>
  <si>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</si>
  <si>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</si>
  <si>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</si>
  <si>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</si>
  <si>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</si>
  <si>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</si>
  <si>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</si>
  <si>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</si>
  <si>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</si>
  <si>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</si>
  <si>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</si>
  <si>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</si>
  <si>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</si>
  <si>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</si>
  <si>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</si>
  <si>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</si>
  <si>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</si>
  <si>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</si>
  <si>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</si>
  <si>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</si>
  <si>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</si>
  <si>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</si>
  <si>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</si>
  <si>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</si>
  <si>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</si>
  <si>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</si>
  <si>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</si>
  <si>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</si>
  <si>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</si>
  <si>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</si>
  <si>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</si>
  <si>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</si>
  <si>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</si>
  <si>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</si>
  <si>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</si>
  <si>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</si>
  <si>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</si>
  <si>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</si>
  <si>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</si>
  <si>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</si>
  <si>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</si>
  <si>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</si>
  <si>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</si>
  <si>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</si>
  <si>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</si>
  <si>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</si>
  <si>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</si>
  <si>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</si>
  <si>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</si>
  <si>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</si>
  <si>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</si>
  <si>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</si>
  <si>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</si>
  <si>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</si>
  <si>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</si>
  <si>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</si>
  <si>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</si>
  <si>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</si>
  <si>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</si>
  <si>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</si>
  <si>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</si>
  <si>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</si>
  <si>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</si>
  <si>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</si>
  <si>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</si>
  <si>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</si>
  <si>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</si>
  <si>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</si>
  <si>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</si>
  <si>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</si>
  <si>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</si>
  <si>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</si>
  <si>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</si>
  <si>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</si>
  <si>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</si>
  <si>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</si>
  <si>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</si>
  <si>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</si>
  <si>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</si>
  <si>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</si>
  <si>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</si>
  <si>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</si>
  <si>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</si>
  <si>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</si>
  <si>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</si>
  <si>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</si>
  <si>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</si>
  <si>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</si>
  <si>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</si>
  <si>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</si>
  <si>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</si>
  <si>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</si>
  <si>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</si>
  <si>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</si>
  <si>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</si>
  <si>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</si>
  <si>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</si>
  <si>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</si>
  <si>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</si>
  <si>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</si>
  <si>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</si>
  <si>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</si>
  <si>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</si>
  <si>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</si>
  <si>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</si>
  <si>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</si>
  <si>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</si>
  <si>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</si>
  <si>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</si>
  <si>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</si>
  <si>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</si>
  <si>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</si>
  <si>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</si>
  <si>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</si>
  <si>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</si>
  <si>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</si>
  <si>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</si>
  <si>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</si>
  <si>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</si>
  <si>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</si>
  <si>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</si>
  <si>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</si>
  <si>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</si>
  <si>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</si>
  <si>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</si>
  <si>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</si>
  <si>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</si>
  <si>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</si>
  <si>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</si>
  <si>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</si>
  <si>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</si>
  <si>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</si>
  <si>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</si>
  <si>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</si>
  <si>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</si>
  <si>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</si>
  <si>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</si>
  <si>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</si>
  <si>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</si>
  <si>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</si>
  <si>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</si>
  <si>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</si>
  <si>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</si>
  <si>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</si>
  <si>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</si>
  <si>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</si>
  <si>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</si>
  <si>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</si>
  <si>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</si>
  <si>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</si>
  <si>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</si>
  <si>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</si>
  <si>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</si>
  <si>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</si>
  <si>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</si>
  <si>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</si>
  <si>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</si>
  <si>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</si>
  <si>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</si>
  <si>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</si>
  <si>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</si>
  <si>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</si>
  <si>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</si>
  <si>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</si>
  <si>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</si>
  <si>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</si>
  <si>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</si>
  <si>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</si>
  <si>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</si>
  <si>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</si>
  <si>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</si>
  <si>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</si>
  <si>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</si>
  <si>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</si>
  <si>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</si>
  <si>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</si>
  <si>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</si>
  <si>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</si>
  <si>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</si>
  <si>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</si>
  <si>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</si>
  <si>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</si>
  <si>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</si>
  <si>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</si>
  <si>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</si>
  <si>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</si>
  <si>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</si>
  <si>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</si>
  <si>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</si>
  <si>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</si>
  <si>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</si>
  <si>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</si>
  <si>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</si>
  <si>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</si>
  <si>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</si>
  <si>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</si>
  <si>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</si>
  <si>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</si>
  <si>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</si>
  <si>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</si>
  <si>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</si>
  <si>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</si>
  <si>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</si>
  <si>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</si>
  <si>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</si>
  <si>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</si>
  <si>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</si>
  <si>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</si>
  <si>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</si>
  <si>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</si>
  <si>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</si>
  <si>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</si>
  <si>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</si>
  <si>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</si>
  <si>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</si>
  <si>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</si>
  <si>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</si>
  <si>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</si>
  <si>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</si>
  <si>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</si>
  <si>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</si>
  <si>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</si>
  <si>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Charging Hour</t>
  </si>
  <si>
    <t>Charging Period</t>
  </si>
  <si>
    <t>Energy Category</t>
  </si>
  <si>
    <t>Charging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</si>
</sst>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26" formatCode="hh:mm:ss"/>
    </dxf>
    <dxf>
      <numFmt numFmtId="26" formatCode="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D770C-3EA0-4142-B67A-21EE446EC282}" name="EV_Data" displayName="EV_Data" ref="A1:X2001" totalsRowShown="0">
  <autoFilter ref="A1:X2001" xr:uid="{DF8D770C-3EA0-4142-B67A-21EE446EC282}"/>
  <tableColumns count="24">
    <tableColumn id="1" xr3:uid="{5CB0C79E-AB19-43DD-8675-7D716C1C8C46}" name="Session ID"/>
    <tableColumn id="2" xr3:uid="{90D27510-C567-4708-89AA-72C881B78A5A}" name="Station ID"/>
    <tableColumn id="3" xr3:uid="{4DC81BA0-00D9-4357-88C0-F01BAF814B39}" name="Station Location"/>
    <tableColumn id="22" xr3:uid="{6F262304-EDD1-4BFA-ACA0-2B7949D0405B}" name="Charging Period" dataDxfId="5">
      <calculatedColumnFormula>IF(E2&lt;12,"Morning",IF(E2&lt;17,"Afternoon","Evening"))</calculatedColumnFormula>
    </tableColumn>
    <tableColumn id="21" xr3:uid="{49D40698-AD0E-4C8A-94B3-6FA0D1D93B62}" name="Charging Hour" dataDxfId="4">
      <calculatedColumnFormula>HOUR(EV_Data[[#This Row],[Charging Start Time]])</calculatedColumnFormula>
    </tableColumn>
    <tableColumn id="4" xr3:uid="{4116B772-2217-4E4B-A3C4-EE0C555A2B06}" name="Charging Start Time" dataDxfId="3"/>
    <tableColumn id="5" xr3:uid="{8DFAF200-D056-4E76-B2BF-0C337C140231}" name="Charging End Time" dataDxfId="2"/>
    <tableColumn id="6" xr3:uid="{E47C66FC-CC9F-453C-8D1E-F8E323B3B867}" name="Charging Duration (mins)"/>
    <tableColumn id="7" xr3:uid="{CBD09BDD-96B9-435D-97A3-D7C438804EBD}" name="Energy Consumed (kWh)"/>
    <tableColumn id="25" xr3:uid="{D60EB98D-4266-42BE-950A-52A0833A504F}" name="Energy Category" dataDxfId="1">
      <calculatedColumnFormula>IF(I2&lt;20,"Low",IF(I2&lt;50,"Medium","High"))</calculatedColumnFormula>
    </tableColumn>
    <tableColumn id="8" xr3:uid="{AAFB919C-4CF9-417E-939D-01CDAC9432FF}" name="Vehicle Type"/>
    <tableColumn id="9" xr3:uid="{BD14DE34-D7B4-4FDE-A673-BAEC8F3FB695}" name="Battery Level Start (%)"/>
    <tableColumn id="10" xr3:uid="{28C27F30-696D-4D45-A640-8F134EB49F0E}" name="Battery Level End (%)"/>
    <tableColumn id="27" xr3:uid="{71967087-8311-4905-A49D-DE59B32F5599}" name="Charging category" dataDxfId="0">
      <calculatedColumnFormula>IF(O2&lt;8,"Low Cost",IF(O2&lt;17,"Medium Cost","High Cost"))</calculatedColumnFormula>
    </tableColumn>
    <tableColumn id="11" xr3:uid="{90DCACD8-9E38-4237-8B0D-9F1E7D7F2579}" name="Cost of Charging (â‚¹/$)"/>
    <tableColumn id="12" xr3:uid="{15F3DCDC-347C-4340-AC7C-46DB90DE0AB8}" name="Payment Method"/>
    <tableColumn id="13" xr3:uid="{2D4D459C-404F-478A-A034-0C41D77358B6}" name="Station Type"/>
    <tableColumn id="14" xr3:uid="{B1C92AA5-593E-4AB4-BE25-85D8C000536E}" name="Connector Type"/>
    <tableColumn id="15" xr3:uid="{987F19CE-D0CC-422C-AFD5-E375DDA18B62}" name="User ID"/>
    <tableColumn id="16" xr3:uid="{FC75A5AC-5B7E-404C-A0CE-5439D6BEBF1D}" name="Subscription Plan"/>
    <tableColumn id="17" xr3:uid="{EDBCC713-AD05-40FA-87B6-A729680CDDFC}" name="Renewable Energy Source Used (%)"/>
    <tableColumn id="18" xr3:uid="{F135DB4B-D69E-45A1-A7DC-E6BC0AF99970}" name="Charging Station Rating"/>
    <tableColumn id="19" xr3:uid="{B9317463-9DD7-4A16-82F7-1B686CB4AD5C}" name="Charging Status"/>
    <tableColumn id="20" xr3:uid="{2580858E-538F-451A-B96C-784C1AF52DAB}" name="Comments/Issues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0BE0-7922-457D-8740-76CD683176E3}">
  <dimension ref="A1:X2001"/>
  <sheetViews>
    <sheetView tabSelected="1" topLeftCell="S1" workbookViewId="0">
      <selection activeCell="F8" sqref="A1:XFD1048576"/>
    </sheetView>
  </sheetViews>
  <sheetFormatPr defaultRowHeight="14.4" x14ac:dyDescent="0.3"/>
  <cols>
    <col min="1" max="1" width="11.6640625" bestFit="1" customWidth="1"/>
    <col min="2" max="2" width="11.44140625" bestFit="1" customWidth="1"/>
    <col min="3" max="3" width="17" bestFit="1" customWidth="1"/>
    <col min="4" max="4" width="16.6640625" style="2" bestFit="1" customWidth="1"/>
    <col min="5" max="5" width="15.33203125" bestFit="1" customWidth="1"/>
    <col min="6" max="6" width="19.88671875" bestFit="1" customWidth="1"/>
    <col min="7" max="7" width="19" bestFit="1" customWidth="1"/>
    <col min="8" max="8" width="24.5546875" bestFit="1" customWidth="1"/>
    <col min="9" max="9" width="24.44140625" bestFit="1" customWidth="1"/>
    <col min="10" max="10" width="17.109375" bestFit="1" customWidth="1"/>
    <col min="11" max="11" width="13.88671875" bestFit="1" customWidth="1"/>
    <col min="12" max="12" width="22" bestFit="1" customWidth="1"/>
    <col min="13" max="13" width="21.21875" bestFit="1" customWidth="1"/>
    <col min="14" max="14" width="18.5546875" bestFit="1" customWidth="1"/>
    <col min="15" max="15" width="23" bestFit="1" customWidth="1"/>
    <col min="16" max="16" width="18.109375" bestFit="1" customWidth="1"/>
    <col min="17" max="17" width="14" bestFit="1" customWidth="1"/>
    <col min="18" max="18" width="16.6640625" bestFit="1" customWidth="1"/>
    <col min="19" max="19" width="9.33203125" bestFit="1" customWidth="1"/>
    <col min="20" max="20" width="17.88671875" bestFit="1" customWidth="1"/>
    <col min="21" max="21" width="33.33203125" bestFit="1" customWidth="1"/>
    <col min="22" max="22" width="23.109375" bestFit="1" customWidth="1"/>
    <col min="23" max="23" width="16.44140625" bestFit="1" customWidth="1"/>
    <col min="24" max="24" width="18.33203125" bestFit="1" customWidth="1"/>
  </cols>
  <sheetData>
    <row r="1" spans="1:24" x14ac:dyDescent="0.3">
      <c r="A1" t="s">
        <v>0</v>
      </c>
      <c r="B1" t="s">
        <v>1</v>
      </c>
      <c r="C1" t="s">
        <v>2</v>
      </c>
      <c r="D1" s="2" t="s">
        <v>3279</v>
      </c>
      <c r="E1" t="s">
        <v>3278</v>
      </c>
      <c r="F1" t="s">
        <v>3</v>
      </c>
      <c r="G1" t="s">
        <v>4</v>
      </c>
      <c r="H1" t="s">
        <v>5</v>
      </c>
      <c r="I1" t="s">
        <v>6</v>
      </c>
      <c r="J1" t="s">
        <v>3280</v>
      </c>
      <c r="K1" t="s">
        <v>7</v>
      </c>
      <c r="L1" t="s">
        <v>8</v>
      </c>
      <c r="M1" t="s">
        <v>9</v>
      </c>
      <c r="N1" t="s">
        <v>3281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</row>
    <row r="2" spans="1:24" x14ac:dyDescent="0.3">
      <c r="A2" t="s">
        <v>1278</v>
      </c>
      <c r="B2" t="s">
        <v>20</v>
      </c>
      <c r="C2" t="s">
        <v>21</v>
      </c>
      <c r="D2" t="str">
        <f t="shared" ref="D2:D65" si="0">IF(E2&lt;12,"Morning",IF(E2&lt;17,"Afternoon","Evening"))</f>
        <v>Morning</v>
      </c>
      <c r="E2">
        <f>HOUR(EV_Data[[#This Row],[Charging Start Time]])</f>
        <v>0</v>
      </c>
      <c r="F2" s="1">
        <v>44927</v>
      </c>
      <c r="G2" s="1">
        <v>44927.04583333333</v>
      </c>
      <c r="H2">
        <v>66</v>
      </c>
      <c r="I2">
        <v>33.5</v>
      </c>
      <c r="J2" t="str">
        <f t="shared" ref="J2:J65" si="1">IF(I2&lt;20,"Low",IF(I2&lt;50,"Medium","High"))</f>
        <v>Medium</v>
      </c>
      <c r="K2" t="s">
        <v>22</v>
      </c>
      <c r="L2">
        <v>42</v>
      </c>
      <c r="M2">
        <v>54</v>
      </c>
      <c r="N2" t="str">
        <f t="shared" ref="N2:N65" si="2">IF(O2&lt;8,"Low Cost",IF(O2&lt;17,"Medium Cost","High Cost"))</f>
        <v>Medium Cost</v>
      </c>
      <c r="O2">
        <v>8.74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>
        <v>0</v>
      </c>
      <c r="V2">
        <v>1.1000000000000001</v>
      </c>
      <c r="W2" t="s">
        <v>28</v>
      </c>
      <c r="X2" t="s">
        <v>68</v>
      </c>
    </row>
    <row r="3" spans="1:24" x14ac:dyDescent="0.3">
      <c r="A3" t="s">
        <v>1281</v>
      </c>
      <c r="B3" t="s">
        <v>126</v>
      </c>
      <c r="C3" t="s">
        <v>31</v>
      </c>
      <c r="D3" t="str">
        <f t="shared" si="0"/>
        <v>Morning</v>
      </c>
      <c r="E3">
        <f>HOUR(EV_Data[[#This Row],[Charging Start Time]])</f>
        <v>1</v>
      </c>
      <c r="F3" s="1">
        <v>44927.041666666664</v>
      </c>
      <c r="G3" s="1">
        <v>44927.091666666667</v>
      </c>
      <c r="H3">
        <v>72</v>
      </c>
      <c r="I3">
        <v>7.54</v>
      </c>
      <c r="J3" t="str">
        <f t="shared" si="1"/>
        <v>Low</v>
      </c>
      <c r="K3" t="s">
        <v>32</v>
      </c>
      <c r="L3">
        <v>73</v>
      </c>
      <c r="M3">
        <v>100</v>
      </c>
      <c r="N3" t="str">
        <f t="shared" si="2"/>
        <v>Low Cost</v>
      </c>
      <c r="O3">
        <v>3.3</v>
      </c>
      <c r="P3" t="s">
        <v>33</v>
      </c>
      <c r="Q3" t="s">
        <v>34</v>
      </c>
      <c r="R3" t="s">
        <v>35</v>
      </c>
      <c r="S3" t="s">
        <v>36</v>
      </c>
      <c r="T3" t="s">
        <v>37</v>
      </c>
      <c r="U3">
        <v>100</v>
      </c>
      <c r="V3">
        <v>4.9000000000000004</v>
      </c>
      <c r="W3" t="s">
        <v>38</v>
      </c>
      <c r="X3" t="s">
        <v>39</v>
      </c>
    </row>
    <row r="4" spans="1:24" x14ac:dyDescent="0.3">
      <c r="A4" t="s">
        <v>1282</v>
      </c>
      <c r="B4" t="s">
        <v>40</v>
      </c>
      <c r="C4" t="s">
        <v>41</v>
      </c>
      <c r="D4" t="str">
        <f t="shared" si="0"/>
        <v>Morning</v>
      </c>
      <c r="E4">
        <f>HOUR(EV_Data[[#This Row],[Charging Start Time]])</f>
        <v>2</v>
      </c>
      <c r="F4" s="1">
        <v>44927.083333333336</v>
      </c>
      <c r="G4" s="1">
        <v>44927.106249999997</v>
      </c>
      <c r="H4">
        <v>33</v>
      </c>
      <c r="I4">
        <v>33.6</v>
      </c>
      <c r="J4" t="str">
        <f t="shared" si="1"/>
        <v>Medium</v>
      </c>
      <c r="K4" t="s">
        <v>42</v>
      </c>
      <c r="L4">
        <v>10</v>
      </c>
      <c r="M4">
        <v>28</v>
      </c>
      <c r="N4" t="str">
        <f t="shared" si="2"/>
        <v>Medium Cost</v>
      </c>
      <c r="O4">
        <v>16.04</v>
      </c>
      <c r="P4" t="s">
        <v>43</v>
      </c>
      <c r="Q4" t="s">
        <v>34</v>
      </c>
      <c r="R4" t="s">
        <v>44</v>
      </c>
      <c r="S4" t="s">
        <v>45</v>
      </c>
      <c r="T4" t="s">
        <v>46</v>
      </c>
      <c r="U4">
        <v>13</v>
      </c>
      <c r="V4">
        <v>3.2</v>
      </c>
      <c r="W4" t="s">
        <v>47</v>
      </c>
      <c r="X4" t="s">
        <v>29</v>
      </c>
    </row>
    <row r="5" spans="1:24" x14ac:dyDescent="0.3">
      <c r="A5" t="s">
        <v>1283</v>
      </c>
      <c r="B5" t="s">
        <v>20</v>
      </c>
      <c r="C5" t="s">
        <v>21</v>
      </c>
      <c r="D5" t="str">
        <f t="shared" si="0"/>
        <v>Morning</v>
      </c>
      <c r="E5">
        <f>HOUR(EV_Data[[#This Row],[Charging Start Time]])</f>
        <v>3</v>
      </c>
      <c r="F5" s="1">
        <v>44927.125</v>
      </c>
      <c r="G5" s="1">
        <v>44927.150694444441</v>
      </c>
      <c r="H5">
        <v>37</v>
      </c>
      <c r="I5">
        <v>21.04</v>
      </c>
      <c r="J5" t="str">
        <f t="shared" si="1"/>
        <v>Medium</v>
      </c>
      <c r="K5" t="s">
        <v>22</v>
      </c>
      <c r="L5">
        <v>24</v>
      </c>
      <c r="M5">
        <v>40</v>
      </c>
      <c r="N5" t="str">
        <f t="shared" si="2"/>
        <v>Medium Cost</v>
      </c>
      <c r="O5">
        <v>8.86</v>
      </c>
      <c r="P5" t="s">
        <v>33</v>
      </c>
      <c r="Q5" t="s">
        <v>48</v>
      </c>
      <c r="R5" t="s">
        <v>44</v>
      </c>
      <c r="S5" t="s">
        <v>49</v>
      </c>
      <c r="T5" t="s">
        <v>37</v>
      </c>
      <c r="U5">
        <v>36</v>
      </c>
      <c r="V5">
        <v>1.9</v>
      </c>
      <c r="W5" t="s">
        <v>47</v>
      </c>
      <c r="X5" t="s">
        <v>29</v>
      </c>
    </row>
    <row r="6" spans="1:24" x14ac:dyDescent="0.3">
      <c r="A6" t="s">
        <v>1284</v>
      </c>
      <c r="B6" t="s">
        <v>20</v>
      </c>
      <c r="C6" t="s">
        <v>21</v>
      </c>
      <c r="D6" t="str">
        <f t="shared" si="0"/>
        <v>Morning</v>
      </c>
      <c r="E6">
        <f>HOUR(EV_Data[[#This Row],[Charging Start Time]])</f>
        <v>4</v>
      </c>
      <c r="F6" s="1">
        <v>44927.166666666664</v>
      </c>
      <c r="G6" s="1">
        <v>44927.200694444437</v>
      </c>
      <c r="H6">
        <v>49</v>
      </c>
      <c r="I6">
        <v>26.46</v>
      </c>
      <c r="J6" t="str">
        <f t="shared" si="1"/>
        <v>Medium</v>
      </c>
      <c r="K6" t="s">
        <v>50</v>
      </c>
      <c r="L6">
        <v>20</v>
      </c>
      <c r="M6">
        <v>51</v>
      </c>
      <c r="N6" t="str">
        <f t="shared" si="2"/>
        <v>Medium Cost</v>
      </c>
      <c r="O6">
        <v>10.88</v>
      </c>
      <c r="P6" t="s">
        <v>51</v>
      </c>
      <c r="Q6" t="s">
        <v>24</v>
      </c>
      <c r="R6" t="s">
        <v>25</v>
      </c>
      <c r="S6" t="s">
        <v>52</v>
      </c>
      <c r="T6" t="s">
        <v>37</v>
      </c>
      <c r="U6">
        <v>67</v>
      </c>
      <c r="V6">
        <v>1.3</v>
      </c>
      <c r="W6" t="s">
        <v>47</v>
      </c>
      <c r="X6" t="s">
        <v>29</v>
      </c>
    </row>
    <row r="7" spans="1:24" x14ac:dyDescent="0.3">
      <c r="A7" t="s">
        <v>1285</v>
      </c>
      <c r="B7" t="s">
        <v>53</v>
      </c>
      <c r="C7" t="s">
        <v>54</v>
      </c>
      <c r="D7" t="str">
        <f t="shared" si="0"/>
        <v>Morning</v>
      </c>
      <c r="E7">
        <f>HOUR(EV_Data[[#This Row],[Charging Start Time]])</f>
        <v>5</v>
      </c>
      <c r="F7" s="1">
        <v>44927.208333333336</v>
      </c>
      <c r="G7" s="1">
        <v>44927.234722222223</v>
      </c>
      <c r="H7">
        <v>38</v>
      </c>
      <c r="I7">
        <v>17.63</v>
      </c>
      <c r="J7" t="str">
        <f t="shared" si="1"/>
        <v>Low</v>
      </c>
      <c r="K7" t="s">
        <v>55</v>
      </c>
      <c r="L7">
        <v>10</v>
      </c>
      <c r="M7">
        <v>44</v>
      </c>
      <c r="N7" t="str">
        <f t="shared" si="2"/>
        <v>Low Cost</v>
      </c>
      <c r="O7">
        <v>7.38</v>
      </c>
      <c r="P7" t="s">
        <v>23</v>
      </c>
      <c r="Q7" t="s">
        <v>24</v>
      </c>
      <c r="R7" t="s">
        <v>56</v>
      </c>
      <c r="S7" t="s">
        <v>57</v>
      </c>
      <c r="T7" t="s">
        <v>46</v>
      </c>
      <c r="U7">
        <v>49</v>
      </c>
      <c r="V7">
        <v>1.7</v>
      </c>
      <c r="W7" t="s">
        <v>28</v>
      </c>
      <c r="X7" t="s">
        <v>68</v>
      </c>
    </row>
    <row r="8" spans="1:24" x14ac:dyDescent="0.3">
      <c r="A8" t="s">
        <v>1286</v>
      </c>
      <c r="B8" t="s">
        <v>40</v>
      </c>
      <c r="C8" t="s">
        <v>41</v>
      </c>
      <c r="D8" t="str">
        <f t="shared" si="0"/>
        <v>Morning</v>
      </c>
      <c r="E8">
        <f>HOUR(EV_Data[[#This Row],[Charging Start Time]])</f>
        <v>6</v>
      </c>
      <c r="F8" s="1">
        <v>44927.25</v>
      </c>
      <c r="G8" s="1">
        <v>44927.293055555558</v>
      </c>
      <c r="H8">
        <v>62</v>
      </c>
      <c r="I8">
        <v>37.340000000000003</v>
      </c>
      <c r="J8" t="str">
        <f t="shared" si="1"/>
        <v>Medium</v>
      </c>
      <c r="K8" t="s">
        <v>50</v>
      </c>
      <c r="L8">
        <v>39</v>
      </c>
      <c r="M8">
        <v>52</v>
      </c>
      <c r="N8" t="str">
        <f t="shared" si="2"/>
        <v>Medium Cost</v>
      </c>
      <c r="O8">
        <v>16.670000000000002</v>
      </c>
      <c r="P8" t="s">
        <v>33</v>
      </c>
      <c r="Q8" t="s">
        <v>58</v>
      </c>
      <c r="R8" t="s">
        <v>44</v>
      </c>
      <c r="S8" t="s">
        <v>59</v>
      </c>
      <c r="T8" t="s">
        <v>60</v>
      </c>
      <c r="U8">
        <v>18</v>
      </c>
      <c r="V8">
        <v>2.9</v>
      </c>
      <c r="W8" t="s">
        <v>47</v>
      </c>
      <c r="X8" t="s">
        <v>29</v>
      </c>
    </row>
    <row r="9" spans="1:24" x14ac:dyDescent="0.3">
      <c r="A9" t="s">
        <v>1287</v>
      </c>
      <c r="B9" t="s">
        <v>40</v>
      </c>
      <c r="C9" t="s">
        <v>41</v>
      </c>
      <c r="D9" t="str">
        <f t="shared" si="0"/>
        <v>Morning</v>
      </c>
      <c r="E9">
        <f>HOUR(EV_Data[[#This Row],[Charging Start Time]])</f>
        <v>7</v>
      </c>
      <c r="F9" s="1">
        <v>44927.291666666664</v>
      </c>
      <c r="G9" s="1">
        <v>44927.32916666667</v>
      </c>
      <c r="H9">
        <v>54</v>
      </c>
      <c r="I9">
        <v>49.13</v>
      </c>
      <c r="J9" t="str">
        <f t="shared" si="1"/>
        <v>Medium</v>
      </c>
      <c r="K9" t="s">
        <v>50</v>
      </c>
      <c r="L9">
        <v>49</v>
      </c>
      <c r="M9">
        <v>73</v>
      </c>
      <c r="N9" t="str">
        <f t="shared" si="2"/>
        <v>Medium Cost</v>
      </c>
      <c r="O9">
        <v>11.68</v>
      </c>
      <c r="P9" t="s">
        <v>51</v>
      </c>
      <c r="Q9" t="s">
        <v>58</v>
      </c>
      <c r="R9" t="s">
        <v>44</v>
      </c>
      <c r="S9" t="s">
        <v>61</v>
      </c>
      <c r="T9" t="s">
        <v>37</v>
      </c>
      <c r="U9">
        <v>9</v>
      </c>
      <c r="V9">
        <v>1.4</v>
      </c>
      <c r="W9" t="s">
        <v>38</v>
      </c>
      <c r="X9" t="s">
        <v>62</v>
      </c>
    </row>
    <row r="10" spans="1:24" x14ac:dyDescent="0.3">
      <c r="A10" t="s">
        <v>1288</v>
      </c>
      <c r="B10" t="s">
        <v>126</v>
      </c>
      <c r="C10" t="s">
        <v>31</v>
      </c>
      <c r="D10" t="str">
        <f t="shared" si="0"/>
        <v>Morning</v>
      </c>
      <c r="E10">
        <f>HOUR(EV_Data[[#This Row],[Charging Start Time]])</f>
        <v>8</v>
      </c>
      <c r="F10" s="1">
        <v>44927.333333333336</v>
      </c>
      <c r="G10" s="1">
        <v>44927.368750000001</v>
      </c>
      <c r="H10">
        <v>51</v>
      </c>
      <c r="I10">
        <v>48.26</v>
      </c>
      <c r="J10" t="str">
        <f t="shared" si="1"/>
        <v>Medium</v>
      </c>
      <c r="K10" t="s">
        <v>22</v>
      </c>
      <c r="L10">
        <v>34</v>
      </c>
      <c r="M10">
        <v>58</v>
      </c>
      <c r="N10" t="str">
        <f t="shared" si="2"/>
        <v>High Cost</v>
      </c>
      <c r="O10">
        <v>19.71</v>
      </c>
      <c r="P10" t="s">
        <v>23</v>
      </c>
      <c r="Q10" t="s">
        <v>24</v>
      </c>
      <c r="R10" t="s">
        <v>35</v>
      </c>
      <c r="S10" t="s">
        <v>63</v>
      </c>
      <c r="T10" t="s">
        <v>46</v>
      </c>
      <c r="U10">
        <v>32</v>
      </c>
      <c r="V10">
        <v>5</v>
      </c>
      <c r="W10" t="s">
        <v>28</v>
      </c>
      <c r="X10" t="s">
        <v>68</v>
      </c>
    </row>
    <row r="11" spans="1:24" x14ac:dyDescent="0.3">
      <c r="A11" t="s">
        <v>1289</v>
      </c>
      <c r="B11" t="s">
        <v>126</v>
      </c>
      <c r="C11" t="s">
        <v>31</v>
      </c>
      <c r="D11" t="str">
        <f t="shared" si="0"/>
        <v>Morning</v>
      </c>
      <c r="E11">
        <f>HOUR(EV_Data[[#This Row],[Charging Start Time]])</f>
        <v>9</v>
      </c>
      <c r="F11" s="1">
        <v>44927.375</v>
      </c>
      <c r="G11" s="1">
        <v>44927.398611111108</v>
      </c>
      <c r="H11">
        <v>34</v>
      </c>
      <c r="I11">
        <v>34.770000000000003</v>
      </c>
      <c r="J11" t="str">
        <f t="shared" si="1"/>
        <v>Medium</v>
      </c>
      <c r="K11" t="s">
        <v>42</v>
      </c>
      <c r="L11">
        <v>9</v>
      </c>
      <c r="M11">
        <v>48</v>
      </c>
      <c r="N11" t="str">
        <f t="shared" si="2"/>
        <v>Medium Cost</v>
      </c>
      <c r="O11">
        <v>13.24</v>
      </c>
      <c r="P11" t="s">
        <v>64</v>
      </c>
      <c r="Q11" t="s">
        <v>24</v>
      </c>
      <c r="R11" t="s">
        <v>44</v>
      </c>
      <c r="S11" t="s">
        <v>65</v>
      </c>
      <c r="T11" t="s">
        <v>37</v>
      </c>
      <c r="U11">
        <v>83</v>
      </c>
      <c r="V11">
        <v>4.2</v>
      </c>
      <c r="W11" t="s">
        <v>28</v>
      </c>
      <c r="X11" t="s">
        <v>68</v>
      </c>
    </row>
    <row r="12" spans="1:24" x14ac:dyDescent="0.3">
      <c r="A12" t="s">
        <v>1290</v>
      </c>
      <c r="B12" t="s">
        <v>53</v>
      </c>
      <c r="C12" t="s">
        <v>54</v>
      </c>
      <c r="D12" t="str">
        <f t="shared" si="0"/>
        <v>Morning</v>
      </c>
      <c r="E12">
        <f>HOUR(EV_Data[[#This Row],[Charging Start Time]])</f>
        <v>10</v>
      </c>
      <c r="F12" s="1">
        <v>44927.416666666664</v>
      </c>
      <c r="G12" s="1">
        <v>44927.444444444453</v>
      </c>
      <c r="H12">
        <v>40</v>
      </c>
      <c r="I12">
        <v>46.88</v>
      </c>
      <c r="J12" t="str">
        <f t="shared" si="1"/>
        <v>Medium</v>
      </c>
      <c r="K12" t="s">
        <v>42</v>
      </c>
      <c r="L12">
        <v>37</v>
      </c>
      <c r="M12">
        <v>55</v>
      </c>
      <c r="N12" t="str">
        <f t="shared" si="2"/>
        <v>High Cost</v>
      </c>
      <c r="O12">
        <v>22.33</v>
      </c>
      <c r="P12" t="s">
        <v>51</v>
      </c>
      <c r="Q12" t="s">
        <v>48</v>
      </c>
      <c r="R12" t="s">
        <v>35</v>
      </c>
      <c r="S12" t="s">
        <v>66</v>
      </c>
      <c r="T12" t="s">
        <v>60</v>
      </c>
      <c r="U12">
        <v>99</v>
      </c>
      <c r="V12">
        <v>3.7</v>
      </c>
      <c r="W12" t="s">
        <v>28</v>
      </c>
      <c r="X12" t="s">
        <v>68</v>
      </c>
    </row>
    <row r="13" spans="1:24" x14ac:dyDescent="0.3">
      <c r="A13" t="s">
        <v>1291</v>
      </c>
      <c r="B13" t="s">
        <v>40</v>
      </c>
      <c r="C13" t="s">
        <v>41</v>
      </c>
      <c r="D13" t="str">
        <f t="shared" si="0"/>
        <v>Morning</v>
      </c>
      <c r="E13">
        <f>HOUR(EV_Data[[#This Row],[Charging Start Time]])</f>
        <v>11</v>
      </c>
      <c r="F13" s="1">
        <v>44927.458333333336</v>
      </c>
      <c r="G13" s="1">
        <v>44927.501388888893</v>
      </c>
      <c r="H13">
        <v>62</v>
      </c>
      <c r="I13">
        <v>13.92</v>
      </c>
      <c r="J13" t="str">
        <f t="shared" si="1"/>
        <v>Low</v>
      </c>
      <c r="K13" t="s">
        <v>22</v>
      </c>
      <c r="L13">
        <v>54</v>
      </c>
      <c r="M13">
        <v>89</v>
      </c>
      <c r="N13" t="str">
        <f t="shared" si="2"/>
        <v>Low Cost</v>
      </c>
      <c r="O13">
        <v>3.76</v>
      </c>
      <c r="P13" t="s">
        <v>51</v>
      </c>
      <c r="Q13" t="s">
        <v>58</v>
      </c>
      <c r="R13" t="s">
        <v>56</v>
      </c>
      <c r="S13" t="s">
        <v>67</v>
      </c>
      <c r="T13" t="s">
        <v>27</v>
      </c>
      <c r="U13">
        <v>63</v>
      </c>
      <c r="V13">
        <v>4</v>
      </c>
      <c r="W13" t="s">
        <v>28</v>
      </c>
      <c r="X13" t="s">
        <v>68</v>
      </c>
    </row>
    <row r="14" spans="1:24" x14ac:dyDescent="0.3">
      <c r="A14" t="s">
        <v>1292</v>
      </c>
      <c r="B14" t="s">
        <v>53</v>
      </c>
      <c r="C14" t="s">
        <v>54</v>
      </c>
      <c r="D14" t="str">
        <f t="shared" si="0"/>
        <v>Afternoon</v>
      </c>
      <c r="E14">
        <f>HOUR(EV_Data[[#This Row],[Charging Start Time]])</f>
        <v>12</v>
      </c>
      <c r="F14" s="1">
        <v>44927.5</v>
      </c>
      <c r="G14" s="1">
        <v>44927.582638888889</v>
      </c>
      <c r="H14">
        <v>119</v>
      </c>
      <c r="I14">
        <v>49.2</v>
      </c>
      <c r="J14" t="str">
        <f t="shared" si="1"/>
        <v>Medium</v>
      </c>
      <c r="K14" t="s">
        <v>69</v>
      </c>
      <c r="L14">
        <v>50</v>
      </c>
      <c r="M14">
        <v>71</v>
      </c>
      <c r="N14" t="str">
        <f t="shared" si="2"/>
        <v>High Cost</v>
      </c>
      <c r="O14">
        <v>17.18</v>
      </c>
      <c r="P14" t="s">
        <v>23</v>
      </c>
      <c r="Q14" t="s">
        <v>24</v>
      </c>
      <c r="R14" t="s">
        <v>44</v>
      </c>
      <c r="S14" t="s">
        <v>70</v>
      </c>
      <c r="T14" t="s">
        <v>60</v>
      </c>
      <c r="U14">
        <v>36</v>
      </c>
      <c r="V14">
        <v>2.5</v>
      </c>
      <c r="W14" t="s">
        <v>28</v>
      </c>
      <c r="X14" t="s">
        <v>68</v>
      </c>
    </row>
    <row r="15" spans="1:24" x14ac:dyDescent="0.3">
      <c r="A15" t="s">
        <v>1293</v>
      </c>
      <c r="B15" t="s">
        <v>71</v>
      </c>
      <c r="C15" t="s">
        <v>72</v>
      </c>
      <c r="D15" t="str">
        <f t="shared" si="0"/>
        <v>Afternoon</v>
      </c>
      <c r="E15">
        <f>HOUR(EV_Data[[#This Row],[Charging Start Time]])</f>
        <v>13</v>
      </c>
      <c r="F15" s="1">
        <v>44927.541666666664</v>
      </c>
      <c r="G15" s="1">
        <v>44927.592361111107</v>
      </c>
      <c r="H15">
        <v>73</v>
      </c>
      <c r="I15">
        <v>46.48</v>
      </c>
      <c r="J15" t="str">
        <f t="shared" si="1"/>
        <v>Medium</v>
      </c>
      <c r="K15" t="s">
        <v>42</v>
      </c>
      <c r="L15">
        <v>16</v>
      </c>
      <c r="M15">
        <v>54</v>
      </c>
      <c r="N15" t="str">
        <f t="shared" si="2"/>
        <v>Medium Cost</v>
      </c>
      <c r="O15">
        <v>9.56</v>
      </c>
      <c r="P15" t="s">
        <v>33</v>
      </c>
      <c r="Q15" t="s">
        <v>34</v>
      </c>
      <c r="R15" t="s">
        <v>25</v>
      </c>
      <c r="S15" t="s">
        <v>73</v>
      </c>
      <c r="T15" t="s">
        <v>37</v>
      </c>
      <c r="U15">
        <v>92</v>
      </c>
      <c r="V15">
        <v>1.9</v>
      </c>
      <c r="W15" t="s">
        <v>28</v>
      </c>
      <c r="X15" t="s">
        <v>68</v>
      </c>
    </row>
    <row r="16" spans="1:24" x14ac:dyDescent="0.3">
      <c r="A16" t="s">
        <v>1294</v>
      </c>
      <c r="B16" t="s">
        <v>126</v>
      </c>
      <c r="C16" t="s">
        <v>31</v>
      </c>
      <c r="D16" t="str">
        <f t="shared" si="0"/>
        <v>Afternoon</v>
      </c>
      <c r="E16">
        <f>HOUR(EV_Data[[#This Row],[Charging Start Time]])</f>
        <v>14</v>
      </c>
      <c r="F16" s="1">
        <v>44927.583333333336</v>
      </c>
      <c r="G16" s="1">
        <v>44927.634722222218</v>
      </c>
      <c r="H16">
        <v>74</v>
      </c>
      <c r="I16">
        <v>28.19</v>
      </c>
      <c r="J16" t="str">
        <f t="shared" si="1"/>
        <v>Medium</v>
      </c>
      <c r="K16" t="s">
        <v>32</v>
      </c>
      <c r="L16">
        <v>20</v>
      </c>
      <c r="M16">
        <v>56</v>
      </c>
      <c r="N16" t="str">
        <f t="shared" si="2"/>
        <v>Medium Cost</v>
      </c>
      <c r="O16">
        <v>8.17</v>
      </c>
      <c r="P16" t="s">
        <v>33</v>
      </c>
      <c r="Q16" t="s">
        <v>34</v>
      </c>
      <c r="R16" t="s">
        <v>56</v>
      </c>
      <c r="S16" t="s">
        <v>74</v>
      </c>
      <c r="T16" t="s">
        <v>37</v>
      </c>
      <c r="U16">
        <v>0</v>
      </c>
      <c r="V16">
        <v>3.3</v>
      </c>
      <c r="W16" t="s">
        <v>47</v>
      </c>
      <c r="X16" t="s">
        <v>29</v>
      </c>
    </row>
    <row r="17" spans="1:24" x14ac:dyDescent="0.3">
      <c r="A17" t="s">
        <v>1295</v>
      </c>
      <c r="B17" t="s">
        <v>40</v>
      </c>
      <c r="C17" t="s">
        <v>41</v>
      </c>
      <c r="D17" t="str">
        <f t="shared" si="0"/>
        <v>Afternoon</v>
      </c>
      <c r="E17">
        <f>HOUR(EV_Data[[#This Row],[Charging Start Time]])</f>
        <v>15</v>
      </c>
      <c r="F17" s="1">
        <v>44927.625</v>
      </c>
      <c r="G17" s="1">
        <v>44927.655555555553</v>
      </c>
      <c r="H17">
        <v>44</v>
      </c>
      <c r="I17">
        <v>49.27</v>
      </c>
      <c r="J17" t="str">
        <f t="shared" si="1"/>
        <v>Medium</v>
      </c>
      <c r="K17" t="s">
        <v>50</v>
      </c>
      <c r="L17">
        <v>25</v>
      </c>
      <c r="M17">
        <v>51</v>
      </c>
      <c r="N17" t="str">
        <f t="shared" si="2"/>
        <v>High Cost</v>
      </c>
      <c r="O17">
        <v>21.29</v>
      </c>
      <c r="P17" t="s">
        <v>43</v>
      </c>
      <c r="Q17" t="s">
        <v>24</v>
      </c>
      <c r="R17" t="s">
        <v>25</v>
      </c>
      <c r="S17" t="s">
        <v>75</v>
      </c>
      <c r="T17" t="s">
        <v>37</v>
      </c>
      <c r="U17">
        <v>74</v>
      </c>
      <c r="V17">
        <v>2.2999999999999998</v>
      </c>
      <c r="W17" t="s">
        <v>28</v>
      </c>
      <c r="X17" t="s">
        <v>68</v>
      </c>
    </row>
    <row r="18" spans="1:24" x14ac:dyDescent="0.3">
      <c r="A18" t="s">
        <v>1296</v>
      </c>
      <c r="B18" t="s">
        <v>53</v>
      </c>
      <c r="C18" t="s">
        <v>54</v>
      </c>
      <c r="D18" t="str">
        <f t="shared" si="0"/>
        <v>Afternoon</v>
      </c>
      <c r="E18">
        <f>HOUR(EV_Data[[#This Row],[Charging Start Time]])</f>
        <v>16</v>
      </c>
      <c r="F18" s="1">
        <v>44927.666666666664</v>
      </c>
      <c r="G18" s="1">
        <v>44927.697222222218</v>
      </c>
      <c r="H18">
        <v>44</v>
      </c>
      <c r="I18">
        <v>32.770000000000003</v>
      </c>
      <c r="J18" t="str">
        <f t="shared" si="1"/>
        <v>Medium</v>
      </c>
      <c r="K18" t="s">
        <v>42</v>
      </c>
      <c r="L18">
        <v>40</v>
      </c>
      <c r="M18">
        <v>71</v>
      </c>
      <c r="N18" t="str">
        <f t="shared" si="2"/>
        <v>Medium Cost</v>
      </c>
      <c r="O18">
        <v>8.35</v>
      </c>
      <c r="P18" t="s">
        <v>43</v>
      </c>
      <c r="Q18" t="s">
        <v>24</v>
      </c>
      <c r="R18" t="s">
        <v>44</v>
      </c>
      <c r="S18" t="s">
        <v>76</v>
      </c>
      <c r="T18" t="s">
        <v>37</v>
      </c>
      <c r="U18">
        <v>12</v>
      </c>
      <c r="V18">
        <v>3.4</v>
      </c>
      <c r="W18" t="s">
        <v>47</v>
      </c>
      <c r="X18" t="s">
        <v>29</v>
      </c>
    </row>
    <row r="19" spans="1:24" x14ac:dyDescent="0.3">
      <c r="A19" t="s">
        <v>1297</v>
      </c>
      <c r="B19" t="s">
        <v>77</v>
      </c>
      <c r="C19" t="s">
        <v>78</v>
      </c>
      <c r="D19" t="str">
        <f t="shared" si="0"/>
        <v>Evening</v>
      </c>
      <c r="E19">
        <f>HOUR(EV_Data[[#This Row],[Charging Start Time]])</f>
        <v>17</v>
      </c>
      <c r="F19" s="1">
        <v>44927.708333333336</v>
      </c>
      <c r="G19" s="1">
        <v>44927.776388888888</v>
      </c>
      <c r="H19">
        <v>98</v>
      </c>
      <c r="I19">
        <v>35.49</v>
      </c>
      <c r="J19" t="str">
        <f t="shared" si="1"/>
        <v>Medium</v>
      </c>
      <c r="K19" t="s">
        <v>55</v>
      </c>
      <c r="L19">
        <v>78</v>
      </c>
      <c r="M19">
        <v>100</v>
      </c>
      <c r="N19" t="str">
        <f t="shared" si="2"/>
        <v>Medium Cost</v>
      </c>
      <c r="O19">
        <v>16.25</v>
      </c>
      <c r="P19" t="s">
        <v>33</v>
      </c>
      <c r="Q19" t="s">
        <v>24</v>
      </c>
      <c r="R19" t="s">
        <v>56</v>
      </c>
      <c r="S19" t="s">
        <v>79</v>
      </c>
      <c r="T19" t="s">
        <v>37</v>
      </c>
      <c r="U19">
        <v>6</v>
      </c>
      <c r="V19">
        <v>2.1</v>
      </c>
      <c r="W19" t="s">
        <v>28</v>
      </c>
      <c r="X19" t="s">
        <v>68</v>
      </c>
    </row>
    <row r="20" spans="1:24" x14ac:dyDescent="0.3">
      <c r="A20" t="s">
        <v>1298</v>
      </c>
      <c r="B20" t="s">
        <v>126</v>
      </c>
      <c r="C20" t="s">
        <v>31</v>
      </c>
      <c r="D20" t="str">
        <f t="shared" si="0"/>
        <v>Evening</v>
      </c>
      <c r="E20">
        <f>HOUR(EV_Data[[#This Row],[Charging Start Time]])</f>
        <v>18</v>
      </c>
      <c r="F20" s="1">
        <v>44927.75</v>
      </c>
      <c r="G20" s="1">
        <v>44927.832638888889</v>
      </c>
      <c r="H20">
        <v>119</v>
      </c>
      <c r="I20">
        <v>23.46</v>
      </c>
      <c r="J20" t="str">
        <f t="shared" si="1"/>
        <v>Medium</v>
      </c>
      <c r="K20" t="s">
        <v>42</v>
      </c>
      <c r="L20">
        <v>18</v>
      </c>
      <c r="M20">
        <v>43</v>
      </c>
      <c r="N20" t="str">
        <f t="shared" si="2"/>
        <v>Low Cost</v>
      </c>
      <c r="O20">
        <v>7.11</v>
      </c>
      <c r="P20" t="s">
        <v>33</v>
      </c>
      <c r="Q20" t="s">
        <v>34</v>
      </c>
      <c r="R20" t="s">
        <v>25</v>
      </c>
      <c r="S20" t="s">
        <v>80</v>
      </c>
      <c r="T20" t="s">
        <v>60</v>
      </c>
      <c r="U20">
        <v>31</v>
      </c>
      <c r="V20">
        <v>2.7</v>
      </c>
      <c r="W20" t="s">
        <v>47</v>
      </c>
      <c r="X20" t="s">
        <v>29</v>
      </c>
    </row>
    <row r="21" spans="1:24" x14ac:dyDescent="0.3">
      <c r="A21" t="s">
        <v>1299</v>
      </c>
      <c r="B21" t="s">
        <v>40</v>
      </c>
      <c r="C21" t="s">
        <v>41</v>
      </c>
      <c r="D21" t="str">
        <f t="shared" si="0"/>
        <v>Evening</v>
      </c>
      <c r="E21">
        <f>HOUR(EV_Data[[#This Row],[Charging Start Time]])</f>
        <v>19</v>
      </c>
      <c r="F21" s="1">
        <v>44927.791666666664</v>
      </c>
      <c r="G21" s="1">
        <v>44927.80972222222</v>
      </c>
      <c r="H21">
        <v>26</v>
      </c>
      <c r="I21">
        <v>41.59</v>
      </c>
      <c r="J21" t="str">
        <f t="shared" si="1"/>
        <v>Medium</v>
      </c>
      <c r="K21" t="s">
        <v>69</v>
      </c>
      <c r="L21">
        <v>47</v>
      </c>
      <c r="M21">
        <v>59</v>
      </c>
      <c r="N21" t="str">
        <f t="shared" si="2"/>
        <v>High Cost</v>
      </c>
      <c r="O21">
        <v>20.62</v>
      </c>
      <c r="P21" t="s">
        <v>43</v>
      </c>
      <c r="Q21" t="s">
        <v>24</v>
      </c>
      <c r="R21" t="s">
        <v>44</v>
      </c>
      <c r="S21" t="s">
        <v>81</v>
      </c>
      <c r="T21" t="s">
        <v>60</v>
      </c>
      <c r="U21">
        <v>78</v>
      </c>
      <c r="V21">
        <v>4.0999999999999996</v>
      </c>
      <c r="W21" t="s">
        <v>47</v>
      </c>
      <c r="X21" t="s">
        <v>29</v>
      </c>
    </row>
    <row r="22" spans="1:24" x14ac:dyDescent="0.3">
      <c r="A22" t="s">
        <v>1300</v>
      </c>
      <c r="B22" t="s">
        <v>77</v>
      </c>
      <c r="C22" t="s">
        <v>78</v>
      </c>
      <c r="D22" t="str">
        <f t="shared" si="0"/>
        <v>Evening</v>
      </c>
      <c r="E22">
        <f>HOUR(EV_Data[[#This Row],[Charging Start Time]])</f>
        <v>20</v>
      </c>
      <c r="F22" s="1">
        <v>44927.833333333336</v>
      </c>
      <c r="G22" s="1">
        <v>44927.849305555559</v>
      </c>
      <c r="H22">
        <v>23</v>
      </c>
      <c r="I22">
        <v>39.36</v>
      </c>
      <c r="J22" t="str">
        <f t="shared" si="1"/>
        <v>Medium</v>
      </c>
      <c r="K22" t="s">
        <v>42</v>
      </c>
      <c r="L22">
        <v>50</v>
      </c>
      <c r="M22">
        <v>65</v>
      </c>
      <c r="N22" t="str">
        <f t="shared" si="2"/>
        <v>Medium Cost</v>
      </c>
      <c r="O22">
        <v>10.56</v>
      </c>
      <c r="P22" t="s">
        <v>33</v>
      </c>
      <c r="Q22" t="s">
        <v>34</v>
      </c>
      <c r="R22" t="s">
        <v>56</v>
      </c>
      <c r="S22" t="s">
        <v>82</v>
      </c>
      <c r="T22" t="s">
        <v>37</v>
      </c>
      <c r="U22">
        <v>45</v>
      </c>
      <c r="V22">
        <v>3.8</v>
      </c>
      <c r="W22" t="s">
        <v>38</v>
      </c>
      <c r="X22" t="s">
        <v>83</v>
      </c>
    </row>
    <row r="23" spans="1:24" x14ac:dyDescent="0.3">
      <c r="A23" t="s">
        <v>1301</v>
      </c>
      <c r="B23" t="s">
        <v>40</v>
      </c>
      <c r="C23" t="s">
        <v>41</v>
      </c>
      <c r="D23" t="str">
        <f t="shared" si="0"/>
        <v>Evening</v>
      </c>
      <c r="E23">
        <f>HOUR(EV_Data[[#This Row],[Charging Start Time]])</f>
        <v>21</v>
      </c>
      <c r="F23" s="1">
        <v>44927.875</v>
      </c>
      <c r="G23" s="1">
        <v>44927.927777777782</v>
      </c>
      <c r="H23">
        <v>76</v>
      </c>
      <c r="I23">
        <v>5.23</v>
      </c>
      <c r="J23" t="str">
        <f t="shared" si="1"/>
        <v>Low</v>
      </c>
      <c r="K23" t="s">
        <v>22</v>
      </c>
      <c r="L23">
        <v>73</v>
      </c>
      <c r="M23">
        <v>90</v>
      </c>
      <c r="N23" t="str">
        <f t="shared" si="2"/>
        <v>Low Cost</v>
      </c>
      <c r="O23">
        <v>2.16</v>
      </c>
      <c r="P23" t="s">
        <v>51</v>
      </c>
      <c r="Q23" t="s">
        <v>58</v>
      </c>
      <c r="R23" t="s">
        <v>56</v>
      </c>
      <c r="S23" t="s">
        <v>84</v>
      </c>
      <c r="T23" t="s">
        <v>46</v>
      </c>
      <c r="U23">
        <v>13</v>
      </c>
      <c r="V23">
        <v>3.1</v>
      </c>
      <c r="W23" t="s">
        <v>38</v>
      </c>
      <c r="X23" t="s">
        <v>85</v>
      </c>
    </row>
    <row r="24" spans="1:24" x14ac:dyDescent="0.3">
      <c r="A24" t="s">
        <v>1302</v>
      </c>
      <c r="B24" t="s">
        <v>20</v>
      </c>
      <c r="C24" t="s">
        <v>21</v>
      </c>
      <c r="D24" t="str">
        <f t="shared" si="0"/>
        <v>Evening</v>
      </c>
      <c r="E24">
        <f>HOUR(EV_Data[[#This Row],[Charging Start Time]])</f>
        <v>22</v>
      </c>
      <c r="F24" s="1">
        <v>44927.916666666664</v>
      </c>
      <c r="G24" s="1">
        <v>44927.945138888892</v>
      </c>
      <c r="H24">
        <v>41</v>
      </c>
      <c r="I24">
        <v>17.53</v>
      </c>
      <c r="J24" t="str">
        <f t="shared" si="1"/>
        <v>Low</v>
      </c>
      <c r="K24" t="s">
        <v>69</v>
      </c>
      <c r="L24">
        <v>28</v>
      </c>
      <c r="M24">
        <v>62</v>
      </c>
      <c r="N24" t="str">
        <f t="shared" si="2"/>
        <v>Low Cost</v>
      </c>
      <c r="O24">
        <v>6.86</v>
      </c>
      <c r="P24" t="s">
        <v>33</v>
      </c>
      <c r="Q24" t="s">
        <v>58</v>
      </c>
      <c r="R24" t="s">
        <v>56</v>
      </c>
      <c r="S24" t="s">
        <v>86</v>
      </c>
      <c r="T24" t="s">
        <v>37</v>
      </c>
      <c r="U24">
        <v>43</v>
      </c>
      <c r="V24">
        <v>3</v>
      </c>
      <c r="W24" t="s">
        <v>38</v>
      </c>
      <c r="X24" t="s">
        <v>85</v>
      </c>
    </row>
    <row r="25" spans="1:24" x14ac:dyDescent="0.3">
      <c r="A25" t="s">
        <v>1303</v>
      </c>
      <c r="B25" t="s">
        <v>40</v>
      </c>
      <c r="C25" t="s">
        <v>41</v>
      </c>
      <c r="D25" t="str">
        <f t="shared" si="0"/>
        <v>Evening</v>
      </c>
      <c r="E25">
        <f>HOUR(EV_Data[[#This Row],[Charging Start Time]])</f>
        <v>23</v>
      </c>
      <c r="F25" s="1">
        <v>44927.958333333336</v>
      </c>
      <c r="G25" s="1">
        <v>44928.008333333331</v>
      </c>
      <c r="H25">
        <v>72</v>
      </c>
      <c r="I25">
        <v>45.22</v>
      </c>
      <c r="J25" t="str">
        <f t="shared" si="1"/>
        <v>Medium</v>
      </c>
      <c r="K25" t="s">
        <v>69</v>
      </c>
      <c r="L25">
        <v>68</v>
      </c>
      <c r="M25">
        <v>100</v>
      </c>
      <c r="N25" t="str">
        <f t="shared" si="2"/>
        <v>High Cost</v>
      </c>
      <c r="O25">
        <v>18.59</v>
      </c>
      <c r="P25" t="s">
        <v>43</v>
      </c>
      <c r="Q25" t="s">
        <v>24</v>
      </c>
      <c r="R25" t="s">
        <v>56</v>
      </c>
      <c r="S25" t="s">
        <v>87</v>
      </c>
      <c r="T25" t="s">
        <v>60</v>
      </c>
      <c r="U25">
        <v>69</v>
      </c>
      <c r="V25">
        <v>1.1000000000000001</v>
      </c>
      <c r="W25" t="s">
        <v>28</v>
      </c>
      <c r="X25" t="s">
        <v>68</v>
      </c>
    </row>
    <row r="26" spans="1:24" x14ac:dyDescent="0.3">
      <c r="A26" t="s">
        <v>1304</v>
      </c>
      <c r="B26" t="s">
        <v>71</v>
      </c>
      <c r="C26" t="s">
        <v>72</v>
      </c>
      <c r="D26" t="str">
        <f t="shared" si="0"/>
        <v>Morning</v>
      </c>
      <c r="E26">
        <f>HOUR(EV_Data[[#This Row],[Charging Start Time]])</f>
        <v>0</v>
      </c>
      <c r="F26" s="1">
        <v>44928</v>
      </c>
      <c r="G26" s="1">
        <v>44928.038194444453</v>
      </c>
      <c r="H26">
        <v>55</v>
      </c>
      <c r="I26">
        <v>30.08</v>
      </c>
      <c r="J26" t="str">
        <f t="shared" si="1"/>
        <v>Medium</v>
      </c>
      <c r="K26" t="s">
        <v>42</v>
      </c>
      <c r="L26">
        <v>38</v>
      </c>
      <c r="M26">
        <v>54</v>
      </c>
      <c r="N26" t="str">
        <f t="shared" si="2"/>
        <v>Low Cost</v>
      </c>
      <c r="O26">
        <v>6.57</v>
      </c>
      <c r="P26" t="s">
        <v>51</v>
      </c>
      <c r="Q26" t="s">
        <v>24</v>
      </c>
      <c r="R26" t="s">
        <v>56</v>
      </c>
      <c r="S26" t="s">
        <v>88</v>
      </c>
      <c r="T26" t="s">
        <v>46</v>
      </c>
      <c r="U26">
        <v>42</v>
      </c>
      <c r="V26">
        <v>2</v>
      </c>
      <c r="W26" t="s">
        <v>38</v>
      </c>
      <c r="X26" t="s">
        <v>62</v>
      </c>
    </row>
    <row r="27" spans="1:24" x14ac:dyDescent="0.3">
      <c r="A27" t="s">
        <v>1305</v>
      </c>
      <c r="B27" t="s">
        <v>71</v>
      </c>
      <c r="C27" t="s">
        <v>72</v>
      </c>
      <c r="D27" t="str">
        <f t="shared" si="0"/>
        <v>Morning</v>
      </c>
      <c r="E27">
        <f>HOUR(EV_Data[[#This Row],[Charging Start Time]])</f>
        <v>1</v>
      </c>
      <c r="F27" s="1">
        <v>44928.041666666664</v>
      </c>
      <c r="G27" s="1">
        <v>44928.101388888892</v>
      </c>
      <c r="H27">
        <v>86</v>
      </c>
      <c r="I27">
        <v>26.82</v>
      </c>
      <c r="J27" t="str">
        <f t="shared" si="1"/>
        <v>Medium</v>
      </c>
      <c r="K27" t="s">
        <v>55</v>
      </c>
      <c r="L27">
        <v>55</v>
      </c>
      <c r="M27">
        <v>92</v>
      </c>
      <c r="N27" t="str">
        <f t="shared" si="2"/>
        <v>Medium Cost</v>
      </c>
      <c r="O27">
        <v>9.36</v>
      </c>
      <c r="P27" t="s">
        <v>64</v>
      </c>
      <c r="Q27" t="s">
        <v>58</v>
      </c>
      <c r="R27" t="s">
        <v>25</v>
      </c>
      <c r="S27" t="s">
        <v>89</v>
      </c>
      <c r="T27" t="s">
        <v>27</v>
      </c>
      <c r="U27">
        <v>100</v>
      </c>
      <c r="V27">
        <v>1.7</v>
      </c>
      <c r="W27" t="s">
        <v>38</v>
      </c>
    </row>
    <row r="28" spans="1:24" x14ac:dyDescent="0.3">
      <c r="A28" t="s">
        <v>1306</v>
      </c>
      <c r="B28" t="s">
        <v>71</v>
      </c>
      <c r="C28" t="s">
        <v>72</v>
      </c>
      <c r="D28" t="str">
        <f t="shared" si="0"/>
        <v>Morning</v>
      </c>
      <c r="E28">
        <f>HOUR(EV_Data[[#This Row],[Charging Start Time]])</f>
        <v>2</v>
      </c>
      <c r="F28" s="1">
        <v>44928.083333333336</v>
      </c>
      <c r="G28" s="1">
        <v>44928.102777777778</v>
      </c>
      <c r="H28">
        <v>28</v>
      </c>
      <c r="I28">
        <v>34.479999999999997</v>
      </c>
      <c r="J28" t="str">
        <f t="shared" si="1"/>
        <v>Medium</v>
      </c>
      <c r="K28" t="s">
        <v>42</v>
      </c>
      <c r="L28">
        <v>50</v>
      </c>
      <c r="M28">
        <v>81</v>
      </c>
      <c r="N28" t="str">
        <f t="shared" si="2"/>
        <v>Medium Cost</v>
      </c>
      <c r="O28">
        <v>14.83</v>
      </c>
      <c r="P28" t="s">
        <v>51</v>
      </c>
      <c r="Q28" t="s">
        <v>34</v>
      </c>
      <c r="R28" t="s">
        <v>25</v>
      </c>
      <c r="S28" t="s">
        <v>90</v>
      </c>
      <c r="T28" t="s">
        <v>37</v>
      </c>
      <c r="U28">
        <v>59</v>
      </c>
      <c r="V28">
        <v>2.4</v>
      </c>
      <c r="W28" t="s">
        <v>28</v>
      </c>
      <c r="X28" t="s">
        <v>68</v>
      </c>
    </row>
    <row r="29" spans="1:24" x14ac:dyDescent="0.3">
      <c r="A29" t="s">
        <v>1307</v>
      </c>
      <c r="B29" t="s">
        <v>126</v>
      </c>
      <c r="C29" t="s">
        <v>31</v>
      </c>
      <c r="D29" t="str">
        <f t="shared" si="0"/>
        <v>Morning</v>
      </c>
      <c r="E29">
        <f>HOUR(EV_Data[[#This Row],[Charging Start Time]])</f>
        <v>3</v>
      </c>
      <c r="F29" s="1">
        <v>44928.125</v>
      </c>
      <c r="G29" s="1">
        <v>44928.151388888888</v>
      </c>
      <c r="H29">
        <v>38</v>
      </c>
      <c r="I29">
        <v>5.45</v>
      </c>
      <c r="J29" t="str">
        <f t="shared" si="1"/>
        <v>Low</v>
      </c>
      <c r="K29" t="s">
        <v>32</v>
      </c>
      <c r="L29">
        <v>21</v>
      </c>
      <c r="M29">
        <v>57</v>
      </c>
      <c r="N29" t="str">
        <f t="shared" si="2"/>
        <v>Low Cost</v>
      </c>
      <c r="O29">
        <v>2.2999999999999998</v>
      </c>
      <c r="P29" t="s">
        <v>43</v>
      </c>
      <c r="Q29" t="s">
        <v>24</v>
      </c>
      <c r="R29" t="s">
        <v>25</v>
      </c>
      <c r="S29" t="s">
        <v>91</v>
      </c>
      <c r="T29" t="s">
        <v>60</v>
      </c>
      <c r="U29">
        <v>19</v>
      </c>
      <c r="V29">
        <v>2</v>
      </c>
      <c r="W29" t="s">
        <v>47</v>
      </c>
      <c r="X29" t="s">
        <v>29</v>
      </c>
    </row>
    <row r="30" spans="1:24" x14ac:dyDescent="0.3">
      <c r="A30" t="s">
        <v>1308</v>
      </c>
      <c r="B30" t="s">
        <v>92</v>
      </c>
      <c r="C30" t="s">
        <v>93</v>
      </c>
      <c r="D30" t="str">
        <f t="shared" si="0"/>
        <v>Morning</v>
      </c>
      <c r="E30">
        <f>HOUR(EV_Data[[#This Row],[Charging Start Time]])</f>
        <v>4</v>
      </c>
      <c r="F30" s="1">
        <v>44928.166666666664</v>
      </c>
      <c r="G30" s="1">
        <v>44928.198611111111</v>
      </c>
      <c r="H30">
        <v>46</v>
      </c>
      <c r="I30">
        <v>15.3</v>
      </c>
      <c r="J30" t="str">
        <f t="shared" si="1"/>
        <v>Low</v>
      </c>
      <c r="K30" t="s">
        <v>55</v>
      </c>
      <c r="L30">
        <v>65</v>
      </c>
      <c r="M30">
        <v>83</v>
      </c>
      <c r="N30" t="str">
        <f t="shared" si="2"/>
        <v>Low Cost</v>
      </c>
      <c r="O30">
        <v>6.18</v>
      </c>
      <c r="P30" t="s">
        <v>43</v>
      </c>
      <c r="Q30" t="s">
        <v>58</v>
      </c>
      <c r="R30" t="s">
        <v>56</v>
      </c>
      <c r="S30" t="s">
        <v>94</v>
      </c>
      <c r="T30" t="s">
        <v>46</v>
      </c>
      <c r="U30">
        <v>38</v>
      </c>
      <c r="V30">
        <v>4.9000000000000004</v>
      </c>
      <c r="W30" t="s">
        <v>28</v>
      </c>
      <c r="X30" t="s">
        <v>68</v>
      </c>
    </row>
    <row r="31" spans="1:24" x14ac:dyDescent="0.3">
      <c r="A31" t="s">
        <v>1309</v>
      </c>
      <c r="B31" t="s">
        <v>126</v>
      </c>
      <c r="C31" t="s">
        <v>31</v>
      </c>
      <c r="D31" t="str">
        <f t="shared" si="0"/>
        <v>Morning</v>
      </c>
      <c r="E31">
        <f>HOUR(EV_Data[[#This Row],[Charging Start Time]])</f>
        <v>5</v>
      </c>
      <c r="F31" s="1">
        <v>44928.208333333336</v>
      </c>
      <c r="G31" s="1">
        <v>44928.243750000001</v>
      </c>
      <c r="H31">
        <v>51</v>
      </c>
      <c r="I31">
        <v>41.14</v>
      </c>
      <c r="J31" t="str">
        <f t="shared" si="1"/>
        <v>Medium</v>
      </c>
      <c r="K31" t="s">
        <v>22</v>
      </c>
      <c r="L31">
        <v>73</v>
      </c>
      <c r="M31">
        <v>94</v>
      </c>
      <c r="N31" t="str">
        <f t="shared" si="2"/>
        <v>High Cost</v>
      </c>
      <c r="O31">
        <v>19.61</v>
      </c>
      <c r="P31" t="s">
        <v>51</v>
      </c>
      <c r="Q31" t="s">
        <v>58</v>
      </c>
      <c r="R31" t="s">
        <v>25</v>
      </c>
      <c r="S31" t="s">
        <v>95</v>
      </c>
      <c r="T31" t="s">
        <v>37</v>
      </c>
      <c r="U31">
        <v>52</v>
      </c>
      <c r="V31">
        <v>1.6</v>
      </c>
      <c r="W31" t="s">
        <v>47</v>
      </c>
      <c r="X31" t="s">
        <v>29</v>
      </c>
    </row>
    <row r="32" spans="1:24" x14ac:dyDescent="0.3">
      <c r="A32" t="s">
        <v>1310</v>
      </c>
      <c r="B32" t="s">
        <v>40</v>
      </c>
      <c r="C32" t="s">
        <v>41</v>
      </c>
      <c r="D32" t="str">
        <f t="shared" si="0"/>
        <v>Morning</v>
      </c>
      <c r="E32">
        <f>HOUR(EV_Data[[#This Row],[Charging Start Time]])</f>
        <v>6</v>
      </c>
      <c r="F32" s="1">
        <v>44928.25</v>
      </c>
      <c r="G32" s="1">
        <v>44928.270138888889</v>
      </c>
      <c r="H32">
        <v>29</v>
      </c>
      <c r="I32">
        <v>16.989999999999998</v>
      </c>
      <c r="J32" t="str">
        <f t="shared" si="1"/>
        <v>Low</v>
      </c>
      <c r="K32" t="s">
        <v>50</v>
      </c>
      <c r="L32">
        <v>67</v>
      </c>
      <c r="M32">
        <v>98</v>
      </c>
      <c r="N32" t="str">
        <f t="shared" si="2"/>
        <v>Low Cost</v>
      </c>
      <c r="O32">
        <v>4.6100000000000003</v>
      </c>
      <c r="P32" t="s">
        <v>33</v>
      </c>
      <c r="Q32" t="s">
        <v>58</v>
      </c>
      <c r="R32" t="s">
        <v>44</v>
      </c>
      <c r="S32" t="s">
        <v>96</v>
      </c>
      <c r="T32" t="s">
        <v>37</v>
      </c>
      <c r="U32">
        <v>30</v>
      </c>
      <c r="V32">
        <v>2.7</v>
      </c>
      <c r="W32" t="s">
        <v>28</v>
      </c>
      <c r="X32" t="s">
        <v>68</v>
      </c>
    </row>
    <row r="33" spans="1:24" x14ac:dyDescent="0.3">
      <c r="A33" t="s">
        <v>1311</v>
      </c>
      <c r="B33" t="s">
        <v>126</v>
      </c>
      <c r="C33" t="s">
        <v>31</v>
      </c>
      <c r="D33" t="str">
        <f t="shared" si="0"/>
        <v>Morning</v>
      </c>
      <c r="E33">
        <f>HOUR(EV_Data[[#This Row],[Charging Start Time]])</f>
        <v>7</v>
      </c>
      <c r="F33" s="1">
        <v>44928.291666666664</v>
      </c>
      <c r="G33" s="1">
        <v>44928.310416666667</v>
      </c>
      <c r="H33">
        <v>27</v>
      </c>
      <c r="I33">
        <v>15.15</v>
      </c>
      <c r="J33" t="str">
        <f t="shared" si="1"/>
        <v>Low</v>
      </c>
      <c r="K33" t="s">
        <v>50</v>
      </c>
      <c r="L33">
        <v>74</v>
      </c>
      <c r="M33">
        <v>94</v>
      </c>
      <c r="N33" t="str">
        <f t="shared" si="2"/>
        <v>Low Cost</v>
      </c>
      <c r="O33">
        <v>6.3</v>
      </c>
      <c r="P33" t="s">
        <v>51</v>
      </c>
      <c r="Q33" t="s">
        <v>24</v>
      </c>
      <c r="R33" t="s">
        <v>56</v>
      </c>
      <c r="S33" t="s">
        <v>97</v>
      </c>
      <c r="T33" t="s">
        <v>27</v>
      </c>
      <c r="U33">
        <v>12</v>
      </c>
      <c r="V33">
        <v>4</v>
      </c>
      <c r="W33" t="s">
        <v>38</v>
      </c>
    </row>
    <row r="34" spans="1:24" x14ac:dyDescent="0.3">
      <c r="A34" t="s">
        <v>1312</v>
      </c>
      <c r="B34" t="s">
        <v>92</v>
      </c>
      <c r="C34" t="s">
        <v>93</v>
      </c>
      <c r="D34" t="str">
        <f t="shared" si="0"/>
        <v>Morning</v>
      </c>
      <c r="E34">
        <f>HOUR(EV_Data[[#This Row],[Charging Start Time]])</f>
        <v>8</v>
      </c>
      <c r="F34" s="1">
        <v>44928.333333333336</v>
      </c>
      <c r="G34" s="1">
        <v>44928.372916666667</v>
      </c>
      <c r="H34">
        <v>57</v>
      </c>
      <c r="I34">
        <v>30.07</v>
      </c>
      <c r="J34" t="str">
        <f t="shared" si="1"/>
        <v>Medium</v>
      </c>
      <c r="K34" t="s">
        <v>32</v>
      </c>
      <c r="L34">
        <v>57</v>
      </c>
      <c r="M34">
        <v>85</v>
      </c>
      <c r="N34" t="str">
        <f t="shared" si="2"/>
        <v>Medium Cost</v>
      </c>
      <c r="O34">
        <v>8.7100000000000009</v>
      </c>
      <c r="P34" t="s">
        <v>23</v>
      </c>
      <c r="Q34" t="s">
        <v>48</v>
      </c>
      <c r="R34" t="s">
        <v>25</v>
      </c>
      <c r="S34" t="s">
        <v>98</v>
      </c>
      <c r="T34" t="s">
        <v>60</v>
      </c>
      <c r="U34">
        <v>43</v>
      </c>
      <c r="V34">
        <v>3.3</v>
      </c>
      <c r="W34" t="s">
        <v>28</v>
      </c>
      <c r="X34" t="s">
        <v>68</v>
      </c>
    </row>
    <row r="35" spans="1:24" x14ac:dyDescent="0.3">
      <c r="A35" t="s">
        <v>1313</v>
      </c>
      <c r="B35" t="s">
        <v>71</v>
      </c>
      <c r="C35" t="s">
        <v>72</v>
      </c>
      <c r="D35" t="str">
        <f t="shared" si="0"/>
        <v>Morning</v>
      </c>
      <c r="E35">
        <f>HOUR(EV_Data[[#This Row],[Charging Start Time]])</f>
        <v>9</v>
      </c>
      <c r="F35" s="1">
        <v>44928.375</v>
      </c>
      <c r="G35" s="1">
        <v>44928.406944444447</v>
      </c>
      <c r="H35">
        <v>46</v>
      </c>
      <c r="I35">
        <v>49.78</v>
      </c>
      <c r="J35" t="str">
        <f t="shared" si="1"/>
        <v>Medium</v>
      </c>
      <c r="K35" t="s">
        <v>50</v>
      </c>
      <c r="L35">
        <v>36</v>
      </c>
      <c r="M35">
        <v>65</v>
      </c>
      <c r="N35" t="str">
        <f t="shared" si="2"/>
        <v>High Cost</v>
      </c>
      <c r="O35">
        <v>24.88</v>
      </c>
      <c r="P35" t="s">
        <v>43</v>
      </c>
      <c r="Q35" t="s">
        <v>24</v>
      </c>
      <c r="R35" t="s">
        <v>35</v>
      </c>
      <c r="S35" t="s">
        <v>99</v>
      </c>
      <c r="T35" t="s">
        <v>37</v>
      </c>
      <c r="U35">
        <v>41</v>
      </c>
      <c r="V35">
        <v>1.1000000000000001</v>
      </c>
      <c r="W35" t="s">
        <v>28</v>
      </c>
      <c r="X35" t="s">
        <v>68</v>
      </c>
    </row>
    <row r="36" spans="1:24" x14ac:dyDescent="0.3">
      <c r="A36" t="s">
        <v>1314</v>
      </c>
      <c r="B36" t="s">
        <v>126</v>
      </c>
      <c r="C36" t="s">
        <v>31</v>
      </c>
      <c r="D36" t="str">
        <f t="shared" si="0"/>
        <v>Morning</v>
      </c>
      <c r="E36">
        <f>HOUR(EV_Data[[#This Row],[Charging Start Time]])</f>
        <v>10</v>
      </c>
      <c r="F36" s="1">
        <v>44928.416666666664</v>
      </c>
      <c r="G36" s="1">
        <v>44928.427083333343</v>
      </c>
      <c r="H36">
        <v>15</v>
      </c>
      <c r="I36">
        <v>21.07</v>
      </c>
      <c r="J36" t="str">
        <f t="shared" si="1"/>
        <v>Medium</v>
      </c>
      <c r="K36" t="s">
        <v>42</v>
      </c>
      <c r="L36">
        <v>18</v>
      </c>
      <c r="M36">
        <v>54</v>
      </c>
      <c r="N36" t="str">
        <f t="shared" si="2"/>
        <v>Low Cost</v>
      </c>
      <c r="O36">
        <v>6.99</v>
      </c>
      <c r="P36" t="s">
        <v>23</v>
      </c>
      <c r="Q36" t="s">
        <v>48</v>
      </c>
      <c r="R36" t="s">
        <v>44</v>
      </c>
      <c r="S36" t="s">
        <v>100</v>
      </c>
      <c r="T36" t="s">
        <v>37</v>
      </c>
      <c r="U36">
        <v>76</v>
      </c>
      <c r="V36">
        <v>2.2000000000000002</v>
      </c>
      <c r="W36" t="s">
        <v>28</v>
      </c>
      <c r="X36" t="s">
        <v>68</v>
      </c>
    </row>
    <row r="37" spans="1:24" x14ac:dyDescent="0.3">
      <c r="A37" t="s">
        <v>1315</v>
      </c>
      <c r="B37" t="s">
        <v>71</v>
      </c>
      <c r="C37" t="s">
        <v>72</v>
      </c>
      <c r="D37" t="str">
        <f t="shared" si="0"/>
        <v>Morning</v>
      </c>
      <c r="E37">
        <f>HOUR(EV_Data[[#This Row],[Charging Start Time]])</f>
        <v>11</v>
      </c>
      <c r="F37" s="1">
        <v>44928.458333333336</v>
      </c>
      <c r="G37" s="1">
        <v>44928.536805555559</v>
      </c>
      <c r="H37">
        <v>113</v>
      </c>
      <c r="I37">
        <v>8.18</v>
      </c>
      <c r="J37" t="str">
        <f t="shared" si="1"/>
        <v>Low</v>
      </c>
      <c r="K37" t="s">
        <v>42</v>
      </c>
      <c r="L37">
        <v>53</v>
      </c>
      <c r="M37">
        <v>83</v>
      </c>
      <c r="N37" t="str">
        <f t="shared" si="2"/>
        <v>Low Cost</v>
      </c>
      <c r="O37">
        <v>3.95</v>
      </c>
      <c r="P37" t="s">
        <v>64</v>
      </c>
      <c r="Q37" t="s">
        <v>58</v>
      </c>
      <c r="R37" t="s">
        <v>44</v>
      </c>
      <c r="S37" t="s">
        <v>101</v>
      </c>
      <c r="T37" t="s">
        <v>60</v>
      </c>
      <c r="U37">
        <v>18</v>
      </c>
      <c r="V37">
        <v>1.7</v>
      </c>
      <c r="W37" t="s">
        <v>38</v>
      </c>
      <c r="X37" t="s">
        <v>39</v>
      </c>
    </row>
    <row r="38" spans="1:24" x14ac:dyDescent="0.3">
      <c r="A38" t="s">
        <v>1316</v>
      </c>
      <c r="B38" t="s">
        <v>30</v>
      </c>
      <c r="C38" t="s">
        <v>102</v>
      </c>
      <c r="D38" t="str">
        <f t="shared" si="0"/>
        <v>Afternoon</v>
      </c>
      <c r="E38">
        <f>HOUR(EV_Data[[#This Row],[Charging Start Time]])</f>
        <v>12</v>
      </c>
      <c r="F38" s="1">
        <v>44928.5</v>
      </c>
      <c r="G38" s="1">
        <v>44928.574305555558</v>
      </c>
      <c r="H38">
        <v>107</v>
      </c>
      <c r="I38">
        <v>14.7</v>
      </c>
      <c r="J38" t="str">
        <f t="shared" si="1"/>
        <v>Low</v>
      </c>
      <c r="K38" t="s">
        <v>69</v>
      </c>
      <c r="L38">
        <v>15</v>
      </c>
      <c r="M38">
        <v>49</v>
      </c>
      <c r="N38" t="str">
        <f t="shared" si="2"/>
        <v>Low Cost</v>
      </c>
      <c r="O38">
        <v>5.22</v>
      </c>
      <c r="P38" t="s">
        <v>64</v>
      </c>
      <c r="Q38" t="s">
        <v>58</v>
      </c>
      <c r="R38" t="s">
        <v>44</v>
      </c>
      <c r="S38" t="s">
        <v>103</v>
      </c>
      <c r="T38" t="s">
        <v>60</v>
      </c>
      <c r="U38">
        <v>31</v>
      </c>
      <c r="V38">
        <v>3.4</v>
      </c>
      <c r="W38" t="s">
        <v>47</v>
      </c>
      <c r="X38" t="s">
        <v>29</v>
      </c>
    </row>
    <row r="39" spans="1:24" x14ac:dyDescent="0.3">
      <c r="A39" t="s">
        <v>1317</v>
      </c>
      <c r="B39" t="s">
        <v>53</v>
      </c>
      <c r="C39" t="s">
        <v>54</v>
      </c>
      <c r="D39" t="str">
        <f t="shared" si="0"/>
        <v>Afternoon</v>
      </c>
      <c r="E39">
        <f>HOUR(EV_Data[[#This Row],[Charging Start Time]])</f>
        <v>13</v>
      </c>
      <c r="F39" s="1">
        <v>44928.541666666664</v>
      </c>
      <c r="G39" s="1">
        <v>44928.618750000001</v>
      </c>
      <c r="H39">
        <v>111</v>
      </c>
      <c r="I39">
        <v>8.3800000000000008</v>
      </c>
      <c r="J39" t="str">
        <f t="shared" si="1"/>
        <v>Low</v>
      </c>
      <c r="K39" t="s">
        <v>32</v>
      </c>
      <c r="L39">
        <v>46</v>
      </c>
      <c r="M39">
        <v>59</v>
      </c>
      <c r="N39" t="str">
        <f t="shared" si="2"/>
        <v>Low Cost</v>
      </c>
      <c r="O39">
        <v>3.9</v>
      </c>
      <c r="P39" t="s">
        <v>51</v>
      </c>
      <c r="Q39" t="s">
        <v>48</v>
      </c>
      <c r="R39" t="s">
        <v>25</v>
      </c>
      <c r="S39" t="s">
        <v>104</v>
      </c>
      <c r="T39" t="s">
        <v>27</v>
      </c>
      <c r="U39">
        <v>11</v>
      </c>
      <c r="V39">
        <v>3.3</v>
      </c>
      <c r="W39" t="s">
        <v>38</v>
      </c>
      <c r="X39" t="s">
        <v>62</v>
      </c>
    </row>
    <row r="40" spans="1:24" x14ac:dyDescent="0.3">
      <c r="A40" t="s">
        <v>1318</v>
      </c>
      <c r="B40" t="s">
        <v>77</v>
      </c>
      <c r="C40" t="s">
        <v>78</v>
      </c>
      <c r="D40" t="str">
        <f t="shared" si="0"/>
        <v>Afternoon</v>
      </c>
      <c r="E40">
        <f>HOUR(EV_Data[[#This Row],[Charging Start Time]])</f>
        <v>14</v>
      </c>
      <c r="F40" s="1">
        <v>44928.583333333336</v>
      </c>
      <c r="G40" s="1">
        <v>44928.614583333343</v>
      </c>
      <c r="H40">
        <v>45</v>
      </c>
      <c r="I40">
        <v>48.36</v>
      </c>
      <c r="J40" t="str">
        <f t="shared" si="1"/>
        <v>Medium</v>
      </c>
      <c r="K40" t="s">
        <v>42</v>
      </c>
      <c r="L40">
        <v>18</v>
      </c>
      <c r="M40">
        <v>49</v>
      </c>
      <c r="N40" t="str">
        <f t="shared" si="2"/>
        <v>High Cost</v>
      </c>
      <c r="O40">
        <v>18.05</v>
      </c>
      <c r="P40" t="s">
        <v>33</v>
      </c>
      <c r="Q40" t="s">
        <v>48</v>
      </c>
      <c r="R40" t="s">
        <v>56</v>
      </c>
      <c r="S40" t="s">
        <v>105</v>
      </c>
      <c r="T40" t="s">
        <v>37</v>
      </c>
      <c r="U40">
        <v>19</v>
      </c>
      <c r="V40">
        <v>4.5999999999999996</v>
      </c>
      <c r="W40" t="s">
        <v>38</v>
      </c>
      <c r="X40" t="s">
        <v>83</v>
      </c>
    </row>
    <row r="41" spans="1:24" x14ac:dyDescent="0.3">
      <c r="A41" t="s">
        <v>1319</v>
      </c>
      <c r="B41" t="s">
        <v>71</v>
      </c>
      <c r="C41" t="s">
        <v>72</v>
      </c>
      <c r="D41" t="str">
        <f t="shared" si="0"/>
        <v>Afternoon</v>
      </c>
      <c r="E41">
        <f>HOUR(EV_Data[[#This Row],[Charging Start Time]])</f>
        <v>15</v>
      </c>
      <c r="F41" s="1">
        <v>44928.625</v>
      </c>
      <c r="G41" s="1">
        <v>44928.642361111109</v>
      </c>
      <c r="H41">
        <v>25</v>
      </c>
      <c r="I41">
        <v>39.56</v>
      </c>
      <c r="J41" t="str">
        <f t="shared" si="1"/>
        <v>Medium</v>
      </c>
      <c r="K41" t="s">
        <v>22</v>
      </c>
      <c r="L41">
        <v>69</v>
      </c>
      <c r="M41">
        <v>100</v>
      </c>
      <c r="N41" t="str">
        <f t="shared" si="2"/>
        <v>Medium Cost</v>
      </c>
      <c r="O41">
        <v>11.61</v>
      </c>
      <c r="P41" t="s">
        <v>33</v>
      </c>
      <c r="Q41" t="s">
        <v>48</v>
      </c>
      <c r="R41" t="s">
        <v>25</v>
      </c>
      <c r="S41" t="s">
        <v>106</v>
      </c>
      <c r="T41" t="s">
        <v>60</v>
      </c>
      <c r="U41">
        <v>48</v>
      </c>
      <c r="V41">
        <v>2.7</v>
      </c>
      <c r="W41" t="s">
        <v>28</v>
      </c>
      <c r="X41" t="s">
        <v>68</v>
      </c>
    </row>
    <row r="42" spans="1:24" x14ac:dyDescent="0.3">
      <c r="A42" t="s">
        <v>1320</v>
      </c>
      <c r="B42" t="s">
        <v>53</v>
      </c>
      <c r="C42" t="s">
        <v>54</v>
      </c>
      <c r="D42" t="str">
        <f t="shared" si="0"/>
        <v>Afternoon</v>
      </c>
      <c r="E42">
        <f>HOUR(EV_Data[[#This Row],[Charging Start Time]])</f>
        <v>16</v>
      </c>
      <c r="F42" s="1">
        <v>44928.666666666664</v>
      </c>
      <c r="G42" s="1">
        <v>44928.711805555547</v>
      </c>
      <c r="H42">
        <v>65</v>
      </c>
      <c r="I42">
        <v>27.3</v>
      </c>
      <c r="J42" t="str">
        <f t="shared" si="1"/>
        <v>Medium</v>
      </c>
      <c r="K42" t="s">
        <v>69</v>
      </c>
      <c r="L42">
        <v>5</v>
      </c>
      <c r="M42">
        <v>21</v>
      </c>
      <c r="N42" t="str">
        <f t="shared" si="2"/>
        <v>Medium Cost</v>
      </c>
      <c r="O42">
        <v>8.2899999999999991</v>
      </c>
      <c r="P42" t="s">
        <v>43</v>
      </c>
      <c r="Q42" t="s">
        <v>34</v>
      </c>
      <c r="R42" t="s">
        <v>25</v>
      </c>
      <c r="S42" t="s">
        <v>107</v>
      </c>
      <c r="T42" t="s">
        <v>60</v>
      </c>
      <c r="U42">
        <v>81</v>
      </c>
      <c r="V42">
        <v>2.8</v>
      </c>
      <c r="W42" t="s">
        <v>38</v>
      </c>
      <c r="X42" t="s">
        <v>83</v>
      </c>
    </row>
    <row r="43" spans="1:24" x14ac:dyDescent="0.3">
      <c r="A43" t="s">
        <v>1321</v>
      </c>
      <c r="B43" t="s">
        <v>92</v>
      </c>
      <c r="C43" t="s">
        <v>93</v>
      </c>
      <c r="D43" t="str">
        <f t="shared" si="0"/>
        <v>Evening</v>
      </c>
      <c r="E43">
        <f>HOUR(EV_Data[[#This Row],[Charging Start Time]])</f>
        <v>17</v>
      </c>
      <c r="F43" s="1">
        <v>44928.708333333336</v>
      </c>
      <c r="G43" s="1">
        <v>44928.744444444441</v>
      </c>
      <c r="H43">
        <v>52</v>
      </c>
      <c r="I43">
        <v>48.45</v>
      </c>
      <c r="J43" t="str">
        <f t="shared" si="1"/>
        <v>Medium</v>
      </c>
      <c r="K43" t="s">
        <v>32</v>
      </c>
      <c r="L43">
        <v>58</v>
      </c>
      <c r="M43">
        <v>79</v>
      </c>
      <c r="N43" t="str">
        <f t="shared" si="2"/>
        <v>High Cost</v>
      </c>
      <c r="O43">
        <v>20.67</v>
      </c>
      <c r="P43" t="s">
        <v>33</v>
      </c>
      <c r="Q43" t="s">
        <v>24</v>
      </c>
      <c r="R43" t="s">
        <v>35</v>
      </c>
      <c r="S43" t="s">
        <v>108</v>
      </c>
      <c r="T43" t="s">
        <v>46</v>
      </c>
      <c r="U43">
        <v>75</v>
      </c>
      <c r="V43">
        <v>4.5</v>
      </c>
      <c r="W43" t="s">
        <v>38</v>
      </c>
      <c r="X43" t="s">
        <v>83</v>
      </c>
    </row>
    <row r="44" spans="1:24" x14ac:dyDescent="0.3">
      <c r="A44" t="s">
        <v>1322</v>
      </c>
      <c r="B44" t="s">
        <v>71</v>
      </c>
      <c r="C44" t="s">
        <v>72</v>
      </c>
      <c r="D44" t="str">
        <f t="shared" si="0"/>
        <v>Evening</v>
      </c>
      <c r="E44">
        <f>HOUR(EV_Data[[#This Row],[Charging Start Time]])</f>
        <v>18</v>
      </c>
      <c r="F44" s="1">
        <v>44928.75</v>
      </c>
      <c r="G44" s="1">
        <v>44928.784722222219</v>
      </c>
      <c r="H44">
        <v>50</v>
      </c>
      <c r="I44">
        <v>30.25</v>
      </c>
      <c r="J44" t="str">
        <f t="shared" si="1"/>
        <v>Medium</v>
      </c>
      <c r="K44" t="s">
        <v>69</v>
      </c>
      <c r="L44">
        <v>5</v>
      </c>
      <c r="M44">
        <v>22</v>
      </c>
      <c r="N44" t="str">
        <f t="shared" si="2"/>
        <v>Medium Cost</v>
      </c>
      <c r="O44">
        <v>12.42</v>
      </c>
      <c r="P44" t="s">
        <v>23</v>
      </c>
      <c r="Q44" t="s">
        <v>34</v>
      </c>
      <c r="R44" t="s">
        <v>25</v>
      </c>
      <c r="S44" t="s">
        <v>109</v>
      </c>
      <c r="T44" t="s">
        <v>37</v>
      </c>
      <c r="U44">
        <v>74</v>
      </c>
      <c r="V44">
        <v>3.3</v>
      </c>
      <c r="W44" t="s">
        <v>47</v>
      </c>
      <c r="X44" t="s">
        <v>29</v>
      </c>
    </row>
    <row r="45" spans="1:24" x14ac:dyDescent="0.3">
      <c r="A45" t="s">
        <v>1323</v>
      </c>
      <c r="B45" t="s">
        <v>20</v>
      </c>
      <c r="C45" t="s">
        <v>21</v>
      </c>
      <c r="D45" t="str">
        <f t="shared" si="0"/>
        <v>Evening</v>
      </c>
      <c r="E45">
        <f>HOUR(EV_Data[[#This Row],[Charging Start Time]])</f>
        <v>19</v>
      </c>
      <c r="F45" s="1">
        <v>44928.791666666664</v>
      </c>
      <c r="G45" s="1">
        <v>44928.816666666673</v>
      </c>
      <c r="H45">
        <v>36</v>
      </c>
      <c r="I45">
        <v>45.36</v>
      </c>
      <c r="J45" t="str">
        <f t="shared" si="1"/>
        <v>Medium</v>
      </c>
      <c r="K45" t="s">
        <v>55</v>
      </c>
      <c r="L45">
        <v>67</v>
      </c>
      <c r="M45">
        <v>85</v>
      </c>
      <c r="N45" t="str">
        <f t="shared" si="2"/>
        <v>High Cost</v>
      </c>
      <c r="O45">
        <v>18.98</v>
      </c>
      <c r="P45" t="s">
        <v>43</v>
      </c>
      <c r="Q45" t="s">
        <v>24</v>
      </c>
      <c r="R45" t="s">
        <v>35</v>
      </c>
      <c r="S45" t="s">
        <v>110</v>
      </c>
      <c r="T45" t="s">
        <v>46</v>
      </c>
      <c r="U45">
        <v>5</v>
      </c>
      <c r="V45">
        <v>3.8</v>
      </c>
      <c r="W45" t="s">
        <v>47</v>
      </c>
      <c r="X45" t="s">
        <v>29</v>
      </c>
    </row>
    <row r="46" spans="1:24" x14ac:dyDescent="0.3">
      <c r="A46" t="s">
        <v>1324</v>
      </c>
      <c r="B46" t="s">
        <v>77</v>
      </c>
      <c r="C46" t="s">
        <v>78</v>
      </c>
      <c r="D46" t="str">
        <f t="shared" si="0"/>
        <v>Evening</v>
      </c>
      <c r="E46">
        <f>HOUR(EV_Data[[#This Row],[Charging Start Time]])</f>
        <v>20</v>
      </c>
      <c r="F46" s="1">
        <v>44928.833333333336</v>
      </c>
      <c r="G46" s="1">
        <v>44928.868055555547</v>
      </c>
      <c r="H46">
        <v>50</v>
      </c>
      <c r="I46">
        <v>12.63</v>
      </c>
      <c r="J46" t="str">
        <f t="shared" si="1"/>
        <v>Low</v>
      </c>
      <c r="K46" t="s">
        <v>50</v>
      </c>
      <c r="L46">
        <v>39</v>
      </c>
      <c r="M46">
        <v>55</v>
      </c>
      <c r="N46" t="str">
        <f t="shared" si="2"/>
        <v>Low Cost</v>
      </c>
      <c r="O46">
        <v>6.03</v>
      </c>
      <c r="P46" t="s">
        <v>33</v>
      </c>
      <c r="Q46" t="s">
        <v>24</v>
      </c>
      <c r="R46" t="s">
        <v>44</v>
      </c>
      <c r="S46" t="s">
        <v>111</v>
      </c>
      <c r="T46" t="s">
        <v>27</v>
      </c>
      <c r="U46">
        <v>75</v>
      </c>
      <c r="V46">
        <v>3.2</v>
      </c>
      <c r="W46" t="s">
        <v>28</v>
      </c>
      <c r="X46" t="s">
        <v>68</v>
      </c>
    </row>
    <row r="47" spans="1:24" x14ac:dyDescent="0.3">
      <c r="A47" t="s">
        <v>1325</v>
      </c>
      <c r="B47" t="s">
        <v>20</v>
      </c>
      <c r="C47" t="s">
        <v>21</v>
      </c>
      <c r="D47" t="str">
        <f t="shared" si="0"/>
        <v>Evening</v>
      </c>
      <c r="E47">
        <f>HOUR(EV_Data[[#This Row],[Charging Start Time]])</f>
        <v>21</v>
      </c>
      <c r="F47" s="1">
        <v>44928.875</v>
      </c>
      <c r="G47" s="1">
        <v>44928.933333333327</v>
      </c>
      <c r="H47">
        <v>84</v>
      </c>
      <c r="I47">
        <v>32.93</v>
      </c>
      <c r="J47" t="str">
        <f t="shared" si="1"/>
        <v>Medium</v>
      </c>
      <c r="K47" t="s">
        <v>22</v>
      </c>
      <c r="L47">
        <v>23</v>
      </c>
      <c r="M47">
        <v>62</v>
      </c>
      <c r="N47" t="str">
        <f t="shared" si="2"/>
        <v>Medium Cost</v>
      </c>
      <c r="O47">
        <v>13.25</v>
      </c>
      <c r="P47" t="s">
        <v>23</v>
      </c>
      <c r="Q47" t="s">
        <v>58</v>
      </c>
      <c r="R47" t="s">
        <v>44</v>
      </c>
      <c r="S47" t="s">
        <v>112</v>
      </c>
      <c r="T47" t="s">
        <v>60</v>
      </c>
      <c r="U47">
        <v>55</v>
      </c>
      <c r="V47">
        <v>4.0999999999999996</v>
      </c>
      <c r="W47" t="s">
        <v>38</v>
      </c>
      <c r="X47" t="s">
        <v>83</v>
      </c>
    </row>
    <row r="48" spans="1:24" x14ac:dyDescent="0.3">
      <c r="A48" t="s">
        <v>1326</v>
      </c>
      <c r="B48" t="s">
        <v>77</v>
      </c>
      <c r="C48" t="s">
        <v>78</v>
      </c>
      <c r="D48" t="str">
        <f t="shared" si="0"/>
        <v>Evening</v>
      </c>
      <c r="E48">
        <f>HOUR(EV_Data[[#This Row],[Charging Start Time]])</f>
        <v>22</v>
      </c>
      <c r="F48" s="1">
        <v>44928.916666666664</v>
      </c>
      <c r="G48" s="1">
        <v>44928.946527777778</v>
      </c>
      <c r="H48">
        <v>43</v>
      </c>
      <c r="I48">
        <v>25.46</v>
      </c>
      <c r="J48" t="str">
        <f t="shared" si="1"/>
        <v>Medium</v>
      </c>
      <c r="K48" t="s">
        <v>42</v>
      </c>
      <c r="L48">
        <v>47</v>
      </c>
      <c r="M48">
        <v>74</v>
      </c>
      <c r="N48" t="str">
        <f t="shared" si="2"/>
        <v>Medium Cost</v>
      </c>
      <c r="O48">
        <v>11.96</v>
      </c>
      <c r="P48" t="s">
        <v>43</v>
      </c>
      <c r="Q48" t="s">
        <v>34</v>
      </c>
      <c r="R48" t="s">
        <v>44</v>
      </c>
      <c r="S48" t="s">
        <v>113</v>
      </c>
      <c r="T48" t="s">
        <v>27</v>
      </c>
      <c r="U48">
        <v>34</v>
      </c>
      <c r="V48">
        <v>5</v>
      </c>
      <c r="W48" t="s">
        <v>47</v>
      </c>
      <c r="X48" t="s">
        <v>29</v>
      </c>
    </row>
    <row r="49" spans="1:24" x14ac:dyDescent="0.3">
      <c r="A49" t="s">
        <v>1327</v>
      </c>
      <c r="B49" t="s">
        <v>126</v>
      </c>
      <c r="C49" t="s">
        <v>31</v>
      </c>
      <c r="D49" t="str">
        <f t="shared" si="0"/>
        <v>Evening</v>
      </c>
      <c r="E49">
        <f>HOUR(EV_Data[[#This Row],[Charging Start Time]])</f>
        <v>23</v>
      </c>
      <c r="F49" s="1">
        <v>44928.958333333336</v>
      </c>
      <c r="G49" s="1">
        <v>44929.022222222222</v>
      </c>
      <c r="H49">
        <v>92</v>
      </c>
      <c r="I49">
        <v>33.6</v>
      </c>
      <c r="J49" t="str">
        <f t="shared" si="1"/>
        <v>Medium</v>
      </c>
      <c r="K49" t="s">
        <v>22</v>
      </c>
      <c r="L49">
        <v>41</v>
      </c>
      <c r="M49">
        <v>80</v>
      </c>
      <c r="N49" t="str">
        <f t="shared" si="2"/>
        <v>Medium Cost</v>
      </c>
      <c r="O49">
        <v>8.6999999999999993</v>
      </c>
      <c r="P49" t="s">
        <v>51</v>
      </c>
      <c r="Q49" t="s">
        <v>48</v>
      </c>
      <c r="R49" t="s">
        <v>25</v>
      </c>
      <c r="S49" t="s">
        <v>114</v>
      </c>
      <c r="T49" t="s">
        <v>27</v>
      </c>
      <c r="U49">
        <v>96</v>
      </c>
      <c r="V49">
        <v>1.6</v>
      </c>
      <c r="W49" t="s">
        <v>47</v>
      </c>
      <c r="X49" t="s">
        <v>29</v>
      </c>
    </row>
    <row r="50" spans="1:24" x14ac:dyDescent="0.3">
      <c r="A50" t="s">
        <v>1328</v>
      </c>
      <c r="B50" t="s">
        <v>77</v>
      </c>
      <c r="C50" t="s">
        <v>78</v>
      </c>
      <c r="D50" t="str">
        <f t="shared" si="0"/>
        <v>Morning</v>
      </c>
      <c r="E50">
        <f>HOUR(EV_Data[[#This Row],[Charging Start Time]])</f>
        <v>0</v>
      </c>
      <c r="F50" s="1">
        <v>44929</v>
      </c>
      <c r="G50" s="1">
        <v>44929.034722222219</v>
      </c>
      <c r="H50">
        <v>50</v>
      </c>
      <c r="I50">
        <v>8.98</v>
      </c>
      <c r="J50" t="str">
        <f t="shared" si="1"/>
        <v>Low</v>
      </c>
      <c r="K50" t="s">
        <v>55</v>
      </c>
      <c r="L50">
        <v>18</v>
      </c>
      <c r="M50">
        <v>38</v>
      </c>
      <c r="N50" t="str">
        <f t="shared" si="2"/>
        <v>Low Cost</v>
      </c>
      <c r="O50">
        <v>3.73</v>
      </c>
      <c r="P50" t="s">
        <v>51</v>
      </c>
      <c r="Q50" t="s">
        <v>48</v>
      </c>
      <c r="R50" t="s">
        <v>25</v>
      </c>
      <c r="S50" t="s">
        <v>115</v>
      </c>
      <c r="T50" t="s">
        <v>37</v>
      </c>
      <c r="U50">
        <v>92</v>
      </c>
      <c r="V50">
        <v>2.4</v>
      </c>
      <c r="W50" t="s">
        <v>47</v>
      </c>
      <c r="X50" t="s">
        <v>29</v>
      </c>
    </row>
    <row r="51" spans="1:24" x14ac:dyDescent="0.3">
      <c r="A51" t="s">
        <v>1329</v>
      </c>
      <c r="B51" t="s">
        <v>30</v>
      </c>
      <c r="C51" t="s">
        <v>102</v>
      </c>
      <c r="D51" t="str">
        <f t="shared" si="0"/>
        <v>Morning</v>
      </c>
      <c r="E51">
        <f>HOUR(EV_Data[[#This Row],[Charging Start Time]])</f>
        <v>1</v>
      </c>
      <c r="F51" s="1">
        <v>44929.041666666664</v>
      </c>
      <c r="G51" s="1">
        <v>44929.079861111109</v>
      </c>
      <c r="H51">
        <v>55</v>
      </c>
      <c r="I51">
        <v>44.06</v>
      </c>
      <c r="J51" t="str">
        <f t="shared" si="1"/>
        <v>Medium</v>
      </c>
      <c r="K51" t="s">
        <v>32</v>
      </c>
      <c r="L51">
        <v>10</v>
      </c>
      <c r="M51">
        <v>42</v>
      </c>
      <c r="N51" t="str">
        <f t="shared" si="2"/>
        <v>Medium Cost</v>
      </c>
      <c r="O51">
        <v>14.2</v>
      </c>
      <c r="P51" t="s">
        <v>43</v>
      </c>
      <c r="Q51" t="s">
        <v>24</v>
      </c>
      <c r="R51" t="s">
        <v>25</v>
      </c>
      <c r="S51" t="s">
        <v>116</v>
      </c>
      <c r="T51" t="s">
        <v>27</v>
      </c>
      <c r="U51">
        <v>11</v>
      </c>
      <c r="V51">
        <v>1.4</v>
      </c>
      <c r="W51" t="s">
        <v>38</v>
      </c>
    </row>
    <row r="52" spans="1:24" x14ac:dyDescent="0.3">
      <c r="A52" t="s">
        <v>1330</v>
      </c>
      <c r="B52" t="s">
        <v>126</v>
      </c>
      <c r="C52" t="s">
        <v>31</v>
      </c>
      <c r="D52" t="str">
        <f t="shared" si="0"/>
        <v>Morning</v>
      </c>
      <c r="E52">
        <f>HOUR(EV_Data[[#This Row],[Charging Start Time]])</f>
        <v>2</v>
      </c>
      <c r="F52" s="1">
        <v>44929.083333333336</v>
      </c>
      <c r="G52" s="1">
        <v>44929.118055555547</v>
      </c>
      <c r="H52">
        <v>50</v>
      </c>
      <c r="I52">
        <v>31.72</v>
      </c>
      <c r="J52" t="str">
        <f t="shared" si="1"/>
        <v>Medium</v>
      </c>
      <c r="K52" t="s">
        <v>42</v>
      </c>
      <c r="L52">
        <v>42</v>
      </c>
      <c r="M52">
        <v>57</v>
      </c>
      <c r="N52" t="str">
        <f t="shared" si="2"/>
        <v>Medium Cost</v>
      </c>
      <c r="O52">
        <v>13.68</v>
      </c>
      <c r="P52" t="s">
        <v>43</v>
      </c>
      <c r="Q52" t="s">
        <v>58</v>
      </c>
      <c r="R52" t="s">
        <v>25</v>
      </c>
      <c r="S52" t="s">
        <v>117</v>
      </c>
      <c r="T52" t="s">
        <v>60</v>
      </c>
      <c r="U52">
        <v>86</v>
      </c>
      <c r="V52">
        <v>1.3</v>
      </c>
      <c r="W52" t="s">
        <v>47</v>
      </c>
      <c r="X52" t="s">
        <v>29</v>
      </c>
    </row>
    <row r="53" spans="1:24" x14ac:dyDescent="0.3">
      <c r="A53" t="s">
        <v>1331</v>
      </c>
      <c r="B53" t="s">
        <v>40</v>
      </c>
      <c r="C53" t="s">
        <v>41</v>
      </c>
      <c r="D53" t="str">
        <f t="shared" si="0"/>
        <v>Morning</v>
      </c>
      <c r="E53">
        <f>HOUR(EV_Data[[#This Row],[Charging Start Time]])</f>
        <v>3</v>
      </c>
      <c r="F53" s="1">
        <v>44929.125</v>
      </c>
      <c r="G53" s="1">
        <v>44929.136805555558</v>
      </c>
      <c r="H53">
        <v>17</v>
      </c>
      <c r="I53">
        <v>40.32</v>
      </c>
      <c r="J53" t="str">
        <f t="shared" si="1"/>
        <v>Medium</v>
      </c>
      <c r="K53" t="s">
        <v>69</v>
      </c>
      <c r="L53">
        <v>15</v>
      </c>
      <c r="M53">
        <v>54</v>
      </c>
      <c r="N53" t="str">
        <f t="shared" si="2"/>
        <v>Medium Cost</v>
      </c>
      <c r="O53">
        <v>10.17</v>
      </c>
      <c r="P53" t="s">
        <v>33</v>
      </c>
      <c r="Q53" t="s">
        <v>24</v>
      </c>
      <c r="R53" t="s">
        <v>56</v>
      </c>
      <c r="S53" t="s">
        <v>118</v>
      </c>
      <c r="T53" t="s">
        <v>37</v>
      </c>
      <c r="U53">
        <v>97</v>
      </c>
      <c r="V53">
        <v>3.8</v>
      </c>
      <c r="W53" t="s">
        <v>28</v>
      </c>
      <c r="X53" t="s">
        <v>68</v>
      </c>
    </row>
    <row r="54" spans="1:24" x14ac:dyDescent="0.3">
      <c r="A54" t="s">
        <v>1332</v>
      </c>
      <c r="B54" t="s">
        <v>53</v>
      </c>
      <c r="C54" t="s">
        <v>54</v>
      </c>
      <c r="D54" t="str">
        <f t="shared" si="0"/>
        <v>Morning</v>
      </c>
      <c r="E54">
        <f>HOUR(EV_Data[[#This Row],[Charging Start Time]])</f>
        <v>4</v>
      </c>
      <c r="F54" s="1">
        <v>44929.166666666664</v>
      </c>
      <c r="G54" s="1">
        <v>44929.211111111108</v>
      </c>
      <c r="H54">
        <v>64</v>
      </c>
      <c r="I54">
        <v>17.61</v>
      </c>
      <c r="J54" t="str">
        <f t="shared" si="1"/>
        <v>Low</v>
      </c>
      <c r="K54" t="s">
        <v>22</v>
      </c>
      <c r="L54">
        <v>78</v>
      </c>
      <c r="M54">
        <v>100</v>
      </c>
      <c r="N54" t="str">
        <f t="shared" si="2"/>
        <v>Low Cost</v>
      </c>
      <c r="O54">
        <v>7.55</v>
      </c>
      <c r="P54" t="s">
        <v>64</v>
      </c>
      <c r="Q54" t="s">
        <v>34</v>
      </c>
      <c r="R54" t="s">
        <v>25</v>
      </c>
      <c r="S54" t="s">
        <v>119</v>
      </c>
      <c r="T54" t="s">
        <v>27</v>
      </c>
      <c r="U54">
        <v>34</v>
      </c>
      <c r="V54">
        <v>2.4</v>
      </c>
      <c r="W54" t="s">
        <v>38</v>
      </c>
    </row>
    <row r="55" spans="1:24" x14ac:dyDescent="0.3">
      <c r="A55" t="s">
        <v>1333</v>
      </c>
      <c r="B55" t="s">
        <v>71</v>
      </c>
      <c r="C55" t="s">
        <v>72</v>
      </c>
      <c r="D55" t="str">
        <f t="shared" si="0"/>
        <v>Morning</v>
      </c>
      <c r="E55">
        <f>HOUR(EV_Data[[#This Row],[Charging Start Time]])</f>
        <v>5</v>
      </c>
      <c r="F55" s="1">
        <v>44929.208333333336</v>
      </c>
      <c r="G55" s="1">
        <v>44929.256249999999</v>
      </c>
      <c r="H55">
        <v>69</v>
      </c>
      <c r="I55">
        <v>18.850000000000001</v>
      </c>
      <c r="J55" t="str">
        <f t="shared" si="1"/>
        <v>Low</v>
      </c>
      <c r="K55" t="s">
        <v>55</v>
      </c>
      <c r="L55">
        <v>73</v>
      </c>
      <c r="M55">
        <v>100</v>
      </c>
      <c r="N55" t="str">
        <f t="shared" si="2"/>
        <v>Low Cost</v>
      </c>
      <c r="O55">
        <v>7.39</v>
      </c>
      <c r="P55" t="s">
        <v>51</v>
      </c>
      <c r="Q55" t="s">
        <v>24</v>
      </c>
      <c r="R55" t="s">
        <v>56</v>
      </c>
      <c r="S55" t="s">
        <v>120</v>
      </c>
      <c r="T55" t="s">
        <v>46</v>
      </c>
      <c r="U55">
        <v>6</v>
      </c>
      <c r="V55">
        <v>3</v>
      </c>
      <c r="W55" t="s">
        <v>38</v>
      </c>
      <c r="X55" t="s">
        <v>39</v>
      </c>
    </row>
    <row r="56" spans="1:24" x14ac:dyDescent="0.3">
      <c r="A56" t="s">
        <v>1334</v>
      </c>
      <c r="B56" t="s">
        <v>53</v>
      </c>
      <c r="C56" t="s">
        <v>54</v>
      </c>
      <c r="D56" t="str">
        <f t="shared" si="0"/>
        <v>Morning</v>
      </c>
      <c r="E56">
        <f>HOUR(EV_Data[[#This Row],[Charging Start Time]])</f>
        <v>6</v>
      </c>
      <c r="F56" s="1">
        <v>44929.25</v>
      </c>
      <c r="G56" s="1">
        <v>44929.300694444442</v>
      </c>
      <c r="H56">
        <v>73</v>
      </c>
      <c r="I56">
        <v>13.56</v>
      </c>
      <c r="J56" t="str">
        <f t="shared" si="1"/>
        <v>Low</v>
      </c>
      <c r="K56" t="s">
        <v>55</v>
      </c>
      <c r="L56">
        <v>58</v>
      </c>
      <c r="M56">
        <v>78</v>
      </c>
      <c r="N56" t="str">
        <f t="shared" si="2"/>
        <v>Low Cost</v>
      </c>
      <c r="O56">
        <v>4.57</v>
      </c>
      <c r="P56" t="s">
        <v>51</v>
      </c>
      <c r="Q56" t="s">
        <v>34</v>
      </c>
      <c r="R56" t="s">
        <v>35</v>
      </c>
      <c r="S56" t="s">
        <v>121</v>
      </c>
      <c r="T56" t="s">
        <v>60</v>
      </c>
      <c r="U56">
        <v>20</v>
      </c>
      <c r="V56">
        <v>1.4</v>
      </c>
      <c r="W56" t="s">
        <v>38</v>
      </c>
    </row>
    <row r="57" spans="1:24" x14ac:dyDescent="0.3">
      <c r="A57" t="s">
        <v>1335</v>
      </c>
      <c r="B57" t="s">
        <v>92</v>
      </c>
      <c r="C57" t="s">
        <v>93</v>
      </c>
      <c r="D57" t="str">
        <f t="shared" si="0"/>
        <v>Morning</v>
      </c>
      <c r="E57">
        <f>HOUR(EV_Data[[#This Row],[Charging Start Time]])</f>
        <v>7</v>
      </c>
      <c r="F57" s="1">
        <v>44929.291666666664</v>
      </c>
      <c r="G57" s="1">
        <v>44929.315972222219</v>
      </c>
      <c r="H57">
        <v>35</v>
      </c>
      <c r="I57">
        <v>25.05</v>
      </c>
      <c r="J57" t="str">
        <f t="shared" si="1"/>
        <v>Medium</v>
      </c>
      <c r="K57" t="s">
        <v>55</v>
      </c>
      <c r="L57">
        <v>68</v>
      </c>
      <c r="M57">
        <v>86</v>
      </c>
      <c r="N57" t="str">
        <f t="shared" si="2"/>
        <v>Medium Cost</v>
      </c>
      <c r="O57">
        <v>9.59</v>
      </c>
      <c r="P57" t="s">
        <v>23</v>
      </c>
      <c r="Q57" t="s">
        <v>58</v>
      </c>
      <c r="R57" t="s">
        <v>35</v>
      </c>
      <c r="S57" t="s">
        <v>122</v>
      </c>
      <c r="T57" t="s">
        <v>46</v>
      </c>
      <c r="U57">
        <v>8</v>
      </c>
      <c r="V57">
        <v>4.5</v>
      </c>
      <c r="W57" t="s">
        <v>38</v>
      </c>
      <c r="X57" t="s">
        <v>39</v>
      </c>
    </row>
    <row r="58" spans="1:24" x14ac:dyDescent="0.3">
      <c r="A58" t="s">
        <v>1336</v>
      </c>
      <c r="B58" t="s">
        <v>53</v>
      </c>
      <c r="C58" t="s">
        <v>54</v>
      </c>
      <c r="D58" t="str">
        <f t="shared" si="0"/>
        <v>Morning</v>
      </c>
      <c r="E58">
        <f>HOUR(EV_Data[[#This Row],[Charging Start Time]])</f>
        <v>8</v>
      </c>
      <c r="F58" s="1">
        <v>44929.333333333336</v>
      </c>
      <c r="G58" s="1">
        <v>44929.348611111112</v>
      </c>
      <c r="H58">
        <v>22</v>
      </c>
      <c r="I58">
        <v>14.7</v>
      </c>
      <c r="J58" t="str">
        <f t="shared" si="1"/>
        <v>Low</v>
      </c>
      <c r="K58" t="s">
        <v>50</v>
      </c>
      <c r="L58">
        <v>64</v>
      </c>
      <c r="M58">
        <v>77</v>
      </c>
      <c r="N58" t="str">
        <f t="shared" si="2"/>
        <v>Low Cost</v>
      </c>
      <c r="O58">
        <v>3.2</v>
      </c>
      <c r="P58" t="s">
        <v>64</v>
      </c>
      <c r="Q58" t="s">
        <v>48</v>
      </c>
      <c r="R58" t="s">
        <v>56</v>
      </c>
      <c r="S58" t="s">
        <v>123</v>
      </c>
      <c r="T58" t="s">
        <v>46</v>
      </c>
      <c r="U58">
        <v>70</v>
      </c>
      <c r="V58">
        <v>3.4</v>
      </c>
      <c r="W58" t="s">
        <v>28</v>
      </c>
      <c r="X58" t="s">
        <v>68</v>
      </c>
    </row>
    <row r="59" spans="1:24" x14ac:dyDescent="0.3">
      <c r="A59" t="s">
        <v>1337</v>
      </c>
      <c r="B59" t="s">
        <v>40</v>
      </c>
      <c r="C59" t="s">
        <v>41</v>
      </c>
      <c r="D59" t="str">
        <f t="shared" si="0"/>
        <v>Morning</v>
      </c>
      <c r="E59">
        <f>HOUR(EV_Data[[#This Row],[Charging Start Time]])</f>
        <v>9</v>
      </c>
      <c r="F59" s="1">
        <v>44929.375</v>
      </c>
      <c r="G59" s="1">
        <v>44929.42083333333</v>
      </c>
      <c r="H59">
        <v>66</v>
      </c>
      <c r="I59">
        <v>25.39</v>
      </c>
      <c r="J59" t="str">
        <f t="shared" si="1"/>
        <v>Medium</v>
      </c>
      <c r="K59" t="s">
        <v>42</v>
      </c>
      <c r="L59">
        <v>21</v>
      </c>
      <c r="M59">
        <v>33</v>
      </c>
      <c r="N59" t="str">
        <f t="shared" si="2"/>
        <v>Medium Cost</v>
      </c>
      <c r="O59">
        <v>12.57</v>
      </c>
      <c r="P59" t="s">
        <v>23</v>
      </c>
      <c r="Q59" t="s">
        <v>34</v>
      </c>
      <c r="R59" t="s">
        <v>25</v>
      </c>
      <c r="S59" t="s">
        <v>124</v>
      </c>
      <c r="T59" t="s">
        <v>60</v>
      </c>
      <c r="U59">
        <v>76</v>
      </c>
      <c r="V59">
        <v>2.5</v>
      </c>
      <c r="W59" t="s">
        <v>28</v>
      </c>
      <c r="X59" t="s">
        <v>68</v>
      </c>
    </row>
    <row r="60" spans="1:24" x14ac:dyDescent="0.3">
      <c r="A60" t="s">
        <v>1338</v>
      </c>
      <c r="B60" t="s">
        <v>30</v>
      </c>
      <c r="C60" t="s">
        <v>102</v>
      </c>
      <c r="D60" t="str">
        <f t="shared" si="0"/>
        <v>Morning</v>
      </c>
      <c r="E60">
        <f>HOUR(EV_Data[[#This Row],[Charging Start Time]])</f>
        <v>10</v>
      </c>
      <c r="F60" s="1">
        <v>44929.416666666664</v>
      </c>
      <c r="G60" s="1">
        <v>44929.470833333333</v>
      </c>
      <c r="H60">
        <v>78</v>
      </c>
      <c r="I60">
        <v>29.65</v>
      </c>
      <c r="J60" t="str">
        <f t="shared" si="1"/>
        <v>Medium</v>
      </c>
      <c r="K60" t="s">
        <v>32</v>
      </c>
      <c r="L60">
        <v>56</v>
      </c>
      <c r="M60">
        <v>88</v>
      </c>
      <c r="N60" t="str">
        <f t="shared" si="2"/>
        <v>Medium Cost</v>
      </c>
      <c r="O60">
        <v>8.93</v>
      </c>
      <c r="P60" t="s">
        <v>23</v>
      </c>
      <c r="Q60" t="s">
        <v>24</v>
      </c>
      <c r="R60" t="s">
        <v>35</v>
      </c>
      <c r="S60" t="s">
        <v>125</v>
      </c>
      <c r="T60" t="s">
        <v>27</v>
      </c>
      <c r="U60">
        <v>97</v>
      </c>
      <c r="V60">
        <v>2.4</v>
      </c>
      <c r="W60" t="s">
        <v>47</v>
      </c>
      <c r="X60" t="s">
        <v>29</v>
      </c>
    </row>
    <row r="61" spans="1:24" x14ac:dyDescent="0.3">
      <c r="A61" t="s">
        <v>1339</v>
      </c>
      <c r="B61" t="s">
        <v>126</v>
      </c>
      <c r="C61" t="s">
        <v>31</v>
      </c>
      <c r="D61" t="str">
        <f t="shared" si="0"/>
        <v>Morning</v>
      </c>
      <c r="E61">
        <f>HOUR(EV_Data[[#This Row],[Charging Start Time]])</f>
        <v>11</v>
      </c>
      <c r="F61" s="1">
        <v>44929.458333333336</v>
      </c>
      <c r="G61" s="1">
        <v>44929.51458333333</v>
      </c>
      <c r="H61">
        <v>81</v>
      </c>
      <c r="I61">
        <v>35.56</v>
      </c>
      <c r="J61" t="str">
        <f t="shared" si="1"/>
        <v>Medium</v>
      </c>
      <c r="K61" t="s">
        <v>22</v>
      </c>
      <c r="L61">
        <v>42</v>
      </c>
      <c r="M61">
        <v>74</v>
      </c>
      <c r="N61" t="str">
        <f t="shared" si="2"/>
        <v>Medium Cost</v>
      </c>
      <c r="O61">
        <v>11.48</v>
      </c>
      <c r="P61" t="s">
        <v>64</v>
      </c>
      <c r="Q61" t="s">
        <v>58</v>
      </c>
      <c r="R61" t="s">
        <v>56</v>
      </c>
      <c r="S61" t="s">
        <v>89</v>
      </c>
      <c r="T61" t="s">
        <v>60</v>
      </c>
      <c r="U61">
        <v>84</v>
      </c>
      <c r="V61">
        <v>2</v>
      </c>
      <c r="W61" t="s">
        <v>28</v>
      </c>
      <c r="X61" t="s">
        <v>68</v>
      </c>
    </row>
    <row r="62" spans="1:24" x14ac:dyDescent="0.3">
      <c r="A62" t="s">
        <v>1340</v>
      </c>
      <c r="B62" t="s">
        <v>20</v>
      </c>
      <c r="C62" t="s">
        <v>21</v>
      </c>
      <c r="D62" t="str">
        <f t="shared" si="0"/>
        <v>Afternoon</v>
      </c>
      <c r="E62">
        <f>HOUR(EV_Data[[#This Row],[Charging Start Time]])</f>
        <v>12</v>
      </c>
      <c r="F62" s="1">
        <v>44929.5</v>
      </c>
      <c r="G62" s="1">
        <v>44929.527083333327</v>
      </c>
      <c r="H62">
        <v>39</v>
      </c>
      <c r="I62">
        <v>7.74</v>
      </c>
      <c r="J62" t="str">
        <f t="shared" si="1"/>
        <v>Low</v>
      </c>
      <c r="K62" t="s">
        <v>42</v>
      </c>
      <c r="L62">
        <v>75</v>
      </c>
      <c r="M62">
        <v>93</v>
      </c>
      <c r="N62" t="str">
        <f t="shared" si="2"/>
        <v>Low Cost</v>
      </c>
      <c r="O62">
        <v>1.93</v>
      </c>
      <c r="P62" t="s">
        <v>51</v>
      </c>
      <c r="Q62" t="s">
        <v>48</v>
      </c>
      <c r="R62" t="s">
        <v>56</v>
      </c>
      <c r="S62" t="s">
        <v>127</v>
      </c>
      <c r="T62" t="s">
        <v>46</v>
      </c>
      <c r="U62">
        <v>73</v>
      </c>
      <c r="V62">
        <v>1</v>
      </c>
      <c r="W62" t="s">
        <v>28</v>
      </c>
      <c r="X62" t="s">
        <v>68</v>
      </c>
    </row>
    <row r="63" spans="1:24" x14ac:dyDescent="0.3">
      <c r="A63" t="s">
        <v>1341</v>
      </c>
      <c r="B63" t="s">
        <v>53</v>
      </c>
      <c r="C63" t="s">
        <v>54</v>
      </c>
      <c r="D63" t="str">
        <f t="shared" si="0"/>
        <v>Afternoon</v>
      </c>
      <c r="E63">
        <f>HOUR(EV_Data[[#This Row],[Charging Start Time]])</f>
        <v>13</v>
      </c>
      <c r="F63" s="1">
        <v>44929.541666666664</v>
      </c>
      <c r="G63" s="1">
        <v>44929.578472222223</v>
      </c>
      <c r="H63">
        <v>53</v>
      </c>
      <c r="I63">
        <v>20.57</v>
      </c>
      <c r="J63" t="str">
        <f t="shared" si="1"/>
        <v>Medium</v>
      </c>
      <c r="K63" t="s">
        <v>32</v>
      </c>
      <c r="L63">
        <v>30</v>
      </c>
      <c r="M63">
        <v>68</v>
      </c>
      <c r="N63" t="str">
        <f t="shared" si="2"/>
        <v>Medium Cost</v>
      </c>
      <c r="O63">
        <v>8.89</v>
      </c>
      <c r="P63" t="s">
        <v>51</v>
      </c>
      <c r="Q63" t="s">
        <v>58</v>
      </c>
      <c r="R63" t="s">
        <v>25</v>
      </c>
      <c r="S63" t="s">
        <v>128</v>
      </c>
      <c r="T63" t="s">
        <v>60</v>
      </c>
      <c r="U63">
        <v>57</v>
      </c>
      <c r="V63">
        <v>4.5999999999999996</v>
      </c>
      <c r="W63" t="s">
        <v>38</v>
      </c>
      <c r="X63" t="s">
        <v>85</v>
      </c>
    </row>
    <row r="64" spans="1:24" x14ac:dyDescent="0.3">
      <c r="A64" t="s">
        <v>1342</v>
      </c>
      <c r="B64" t="s">
        <v>92</v>
      </c>
      <c r="C64" t="s">
        <v>93</v>
      </c>
      <c r="D64" t="str">
        <f t="shared" si="0"/>
        <v>Afternoon</v>
      </c>
      <c r="E64">
        <f>HOUR(EV_Data[[#This Row],[Charging Start Time]])</f>
        <v>14</v>
      </c>
      <c r="F64" s="1">
        <v>44929.583333333336</v>
      </c>
      <c r="G64" s="1">
        <v>44929.634027777778</v>
      </c>
      <c r="H64">
        <v>73</v>
      </c>
      <c r="I64">
        <v>27.79</v>
      </c>
      <c r="J64" t="str">
        <f t="shared" si="1"/>
        <v>Medium</v>
      </c>
      <c r="K64" t="s">
        <v>22</v>
      </c>
      <c r="L64">
        <v>49</v>
      </c>
      <c r="M64">
        <v>78</v>
      </c>
      <c r="N64" t="str">
        <f t="shared" si="2"/>
        <v>Low Cost</v>
      </c>
      <c r="O64">
        <v>6.42</v>
      </c>
      <c r="P64" t="s">
        <v>51</v>
      </c>
      <c r="Q64" t="s">
        <v>58</v>
      </c>
      <c r="R64" t="s">
        <v>44</v>
      </c>
      <c r="S64" t="s">
        <v>129</v>
      </c>
      <c r="T64" t="s">
        <v>60</v>
      </c>
      <c r="U64">
        <v>89</v>
      </c>
      <c r="V64">
        <v>2.2999999999999998</v>
      </c>
      <c r="W64" t="s">
        <v>47</v>
      </c>
      <c r="X64" t="s">
        <v>29</v>
      </c>
    </row>
    <row r="65" spans="1:24" x14ac:dyDescent="0.3">
      <c r="A65" t="s">
        <v>1343</v>
      </c>
      <c r="B65" t="s">
        <v>77</v>
      </c>
      <c r="C65" t="s">
        <v>78</v>
      </c>
      <c r="D65" t="str">
        <f t="shared" si="0"/>
        <v>Afternoon</v>
      </c>
      <c r="E65">
        <f>HOUR(EV_Data[[#This Row],[Charging Start Time]])</f>
        <v>15</v>
      </c>
      <c r="F65" s="1">
        <v>44929.625</v>
      </c>
      <c r="G65" s="1">
        <v>44929.669444444437</v>
      </c>
      <c r="H65">
        <v>64</v>
      </c>
      <c r="I65">
        <v>40.270000000000003</v>
      </c>
      <c r="J65" t="str">
        <f t="shared" si="1"/>
        <v>Medium</v>
      </c>
      <c r="K65" t="s">
        <v>50</v>
      </c>
      <c r="L65">
        <v>7</v>
      </c>
      <c r="M65">
        <v>22</v>
      </c>
      <c r="N65" t="str">
        <f t="shared" si="2"/>
        <v>High Cost</v>
      </c>
      <c r="O65">
        <v>19.77</v>
      </c>
      <c r="P65" t="s">
        <v>33</v>
      </c>
      <c r="Q65" t="s">
        <v>58</v>
      </c>
      <c r="R65" t="s">
        <v>25</v>
      </c>
      <c r="S65" t="s">
        <v>130</v>
      </c>
      <c r="T65" t="s">
        <v>60</v>
      </c>
      <c r="U65">
        <v>25</v>
      </c>
      <c r="V65">
        <v>2.7</v>
      </c>
      <c r="W65" t="s">
        <v>47</v>
      </c>
      <c r="X65" t="s">
        <v>29</v>
      </c>
    </row>
    <row r="66" spans="1:24" x14ac:dyDescent="0.3">
      <c r="A66" t="s">
        <v>1344</v>
      </c>
      <c r="B66" t="s">
        <v>92</v>
      </c>
      <c r="C66" t="s">
        <v>93</v>
      </c>
      <c r="D66" t="str">
        <f t="shared" ref="D66:D129" si="3">IF(E66&lt;12,"Morning",IF(E66&lt;17,"Afternoon","Evening"))</f>
        <v>Afternoon</v>
      </c>
      <c r="E66">
        <f>HOUR(EV_Data[[#This Row],[Charging Start Time]])</f>
        <v>16</v>
      </c>
      <c r="F66" s="1">
        <v>44929.666666666664</v>
      </c>
      <c r="G66" s="1">
        <v>44929.705555555563</v>
      </c>
      <c r="H66">
        <v>56</v>
      </c>
      <c r="I66">
        <v>38.549999999999997</v>
      </c>
      <c r="J66" t="str">
        <f t="shared" ref="J66:J129" si="4">IF(I66&lt;20,"Low",IF(I66&lt;50,"Medium","High"))</f>
        <v>Medium</v>
      </c>
      <c r="K66" t="s">
        <v>32</v>
      </c>
      <c r="L66">
        <v>10</v>
      </c>
      <c r="M66">
        <v>39</v>
      </c>
      <c r="N66" t="str">
        <f t="shared" ref="N66:N129" si="5">IF(O66&lt;8,"Low Cost",IF(O66&lt;17,"Medium Cost","High Cost"))</f>
        <v>Medium Cost</v>
      </c>
      <c r="O66">
        <v>13.85</v>
      </c>
      <c r="P66" t="s">
        <v>43</v>
      </c>
      <c r="Q66" t="s">
        <v>24</v>
      </c>
      <c r="R66" t="s">
        <v>25</v>
      </c>
      <c r="S66" t="s">
        <v>131</v>
      </c>
      <c r="T66" t="s">
        <v>37</v>
      </c>
      <c r="U66">
        <v>71</v>
      </c>
      <c r="V66">
        <v>1.9</v>
      </c>
      <c r="W66" t="s">
        <v>47</v>
      </c>
      <c r="X66" t="s">
        <v>29</v>
      </c>
    </row>
    <row r="67" spans="1:24" x14ac:dyDescent="0.3">
      <c r="A67" t="s">
        <v>1345</v>
      </c>
      <c r="B67" t="s">
        <v>126</v>
      </c>
      <c r="C67" t="s">
        <v>31</v>
      </c>
      <c r="D67" t="str">
        <f t="shared" si="3"/>
        <v>Evening</v>
      </c>
      <c r="E67">
        <f>HOUR(EV_Data[[#This Row],[Charging Start Time]])</f>
        <v>17</v>
      </c>
      <c r="F67" s="1">
        <v>44929.708333333336</v>
      </c>
      <c r="G67" s="1">
        <v>44929.745833333327</v>
      </c>
      <c r="H67">
        <v>54</v>
      </c>
      <c r="I67">
        <v>36.53</v>
      </c>
      <c r="J67" t="str">
        <f t="shared" si="4"/>
        <v>Medium</v>
      </c>
      <c r="K67" t="s">
        <v>55</v>
      </c>
      <c r="L67">
        <v>75</v>
      </c>
      <c r="M67">
        <v>100</v>
      </c>
      <c r="N67" t="str">
        <f t="shared" si="5"/>
        <v>Medium Cost</v>
      </c>
      <c r="O67">
        <v>12.44</v>
      </c>
      <c r="P67" t="s">
        <v>23</v>
      </c>
      <c r="Q67" t="s">
        <v>34</v>
      </c>
      <c r="R67" t="s">
        <v>35</v>
      </c>
      <c r="S67" t="s">
        <v>132</v>
      </c>
      <c r="T67" t="s">
        <v>37</v>
      </c>
      <c r="U67">
        <v>84</v>
      </c>
      <c r="V67">
        <v>4.2</v>
      </c>
      <c r="W67" t="s">
        <v>28</v>
      </c>
      <c r="X67" t="s">
        <v>68</v>
      </c>
    </row>
    <row r="68" spans="1:24" x14ac:dyDescent="0.3">
      <c r="A68" t="s">
        <v>1346</v>
      </c>
      <c r="B68" t="s">
        <v>30</v>
      </c>
      <c r="C68" t="s">
        <v>102</v>
      </c>
      <c r="D68" t="str">
        <f t="shared" si="3"/>
        <v>Evening</v>
      </c>
      <c r="E68">
        <f>HOUR(EV_Data[[#This Row],[Charging Start Time]])</f>
        <v>18</v>
      </c>
      <c r="F68" s="1">
        <v>44929.75</v>
      </c>
      <c r="G68" s="1">
        <v>44929.781944444447</v>
      </c>
      <c r="H68">
        <v>46</v>
      </c>
      <c r="I68">
        <v>29.5</v>
      </c>
      <c r="J68" t="str">
        <f t="shared" si="4"/>
        <v>Medium</v>
      </c>
      <c r="K68" t="s">
        <v>50</v>
      </c>
      <c r="L68">
        <v>24</v>
      </c>
      <c r="M68">
        <v>51</v>
      </c>
      <c r="N68" t="str">
        <f t="shared" si="5"/>
        <v>Medium Cost</v>
      </c>
      <c r="O68">
        <v>11.11</v>
      </c>
      <c r="P68" t="s">
        <v>23</v>
      </c>
      <c r="Q68" t="s">
        <v>48</v>
      </c>
      <c r="R68" t="s">
        <v>44</v>
      </c>
      <c r="S68" t="s">
        <v>133</v>
      </c>
      <c r="T68" t="s">
        <v>37</v>
      </c>
      <c r="U68">
        <v>72</v>
      </c>
      <c r="V68">
        <v>3.5</v>
      </c>
      <c r="W68" t="s">
        <v>38</v>
      </c>
      <c r="X68" t="s">
        <v>62</v>
      </c>
    </row>
    <row r="69" spans="1:24" x14ac:dyDescent="0.3">
      <c r="A69" t="s">
        <v>1347</v>
      </c>
      <c r="B69" t="s">
        <v>71</v>
      </c>
      <c r="C69" t="s">
        <v>72</v>
      </c>
      <c r="D69" t="str">
        <f t="shared" si="3"/>
        <v>Evening</v>
      </c>
      <c r="E69">
        <f>HOUR(EV_Data[[#This Row],[Charging Start Time]])</f>
        <v>19</v>
      </c>
      <c r="F69" s="1">
        <v>44929.791666666664</v>
      </c>
      <c r="G69" s="1">
        <v>44929.82708333333</v>
      </c>
      <c r="H69">
        <v>51</v>
      </c>
      <c r="I69">
        <v>49.94</v>
      </c>
      <c r="J69" t="str">
        <f t="shared" si="4"/>
        <v>Medium</v>
      </c>
      <c r="K69" t="s">
        <v>69</v>
      </c>
      <c r="L69">
        <v>8</v>
      </c>
      <c r="M69">
        <v>31</v>
      </c>
      <c r="N69" t="str">
        <f t="shared" si="5"/>
        <v>Medium Cost</v>
      </c>
      <c r="O69">
        <v>10.02</v>
      </c>
      <c r="P69" t="s">
        <v>64</v>
      </c>
      <c r="Q69" t="s">
        <v>48</v>
      </c>
      <c r="R69" t="s">
        <v>25</v>
      </c>
      <c r="S69" t="s">
        <v>134</v>
      </c>
      <c r="T69" t="s">
        <v>60</v>
      </c>
      <c r="U69">
        <v>29</v>
      </c>
      <c r="V69">
        <v>2.2999999999999998</v>
      </c>
      <c r="W69" t="s">
        <v>28</v>
      </c>
      <c r="X69" t="s">
        <v>68</v>
      </c>
    </row>
    <row r="70" spans="1:24" x14ac:dyDescent="0.3">
      <c r="A70" t="s">
        <v>1348</v>
      </c>
      <c r="B70" t="s">
        <v>40</v>
      </c>
      <c r="C70" t="s">
        <v>41</v>
      </c>
      <c r="D70" t="str">
        <f t="shared" si="3"/>
        <v>Evening</v>
      </c>
      <c r="E70">
        <f>HOUR(EV_Data[[#This Row],[Charging Start Time]])</f>
        <v>20</v>
      </c>
      <c r="F70" s="1">
        <v>44929.833333333336</v>
      </c>
      <c r="G70" s="1">
        <v>44929.857638888891</v>
      </c>
      <c r="H70">
        <v>35</v>
      </c>
      <c r="I70">
        <v>41.24</v>
      </c>
      <c r="J70" t="str">
        <f t="shared" si="4"/>
        <v>Medium</v>
      </c>
      <c r="K70" t="s">
        <v>69</v>
      </c>
      <c r="L70">
        <v>33</v>
      </c>
      <c r="M70">
        <v>54</v>
      </c>
      <c r="N70" t="str">
        <f t="shared" si="5"/>
        <v>Medium Cost</v>
      </c>
      <c r="O70">
        <v>15.01</v>
      </c>
      <c r="P70" t="s">
        <v>43</v>
      </c>
      <c r="Q70" t="s">
        <v>48</v>
      </c>
      <c r="R70" t="s">
        <v>44</v>
      </c>
      <c r="S70" t="s">
        <v>135</v>
      </c>
      <c r="T70" t="s">
        <v>37</v>
      </c>
      <c r="U70">
        <v>35</v>
      </c>
      <c r="V70">
        <v>2</v>
      </c>
      <c r="W70" t="s">
        <v>28</v>
      </c>
      <c r="X70" t="s">
        <v>68</v>
      </c>
    </row>
    <row r="71" spans="1:24" x14ac:dyDescent="0.3">
      <c r="A71" t="s">
        <v>1349</v>
      </c>
      <c r="B71" t="s">
        <v>126</v>
      </c>
      <c r="C71" t="s">
        <v>31</v>
      </c>
      <c r="D71" t="str">
        <f t="shared" si="3"/>
        <v>Evening</v>
      </c>
      <c r="E71">
        <f>HOUR(EV_Data[[#This Row],[Charging Start Time]])</f>
        <v>21</v>
      </c>
      <c r="F71" s="1">
        <v>44929.875</v>
      </c>
      <c r="G71" s="1">
        <v>44929.895138888889</v>
      </c>
      <c r="H71">
        <v>29</v>
      </c>
      <c r="I71">
        <v>44.21</v>
      </c>
      <c r="J71" t="str">
        <f t="shared" si="4"/>
        <v>Medium</v>
      </c>
      <c r="K71" t="s">
        <v>50</v>
      </c>
      <c r="L71">
        <v>15</v>
      </c>
      <c r="M71">
        <v>50</v>
      </c>
      <c r="N71" t="str">
        <f t="shared" si="5"/>
        <v>Medium Cost</v>
      </c>
      <c r="O71">
        <v>15.89</v>
      </c>
      <c r="P71" t="s">
        <v>43</v>
      </c>
      <c r="Q71" t="s">
        <v>58</v>
      </c>
      <c r="R71" t="s">
        <v>56</v>
      </c>
      <c r="S71" t="s">
        <v>136</v>
      </c>
      <c r="T71" t="s">
        <v>60</v>
      </c>
      <c r="U71">
        <v>51</v>
      </c>
      <c r="V71">
        <v>1.7</v>
      </c>
      <c r="W71" t="s">
        <v>28</v>
      </c>
      <c r="X71" t="s">
        <v>68</v>
      </c>
    </row>
    <row r="72" spans="1:24" x14ac:dyDescent="0.3">
      <c r="A72" t="s">
        <v>1350</v>
      </c>
      <c r="B72" t="s">
        <v>20</v>
      </c>
      <c r="C72" t="s">
        <v>21</v>
      </c>
      <c r="D72" t="str">
        <f t="shared" si="3"/>
        <v>Evening</v>
      </c>
      <c r="E72">
        <f>HOUR(EV_Data[[#This Row],[Charging Start Time]])</f>
        <v>22</v>
      </c>
      <c r="F72" s="1">
        <v>44929.916666666664</v>
      </c>
      <c r="G72" s="1">
        <v>44929.957638888889</v>
      </c>
      <c r="H72">
        <v>59</v>
      </c>
      <c r="I72">
        <v>36.65</v>
      </c>
      <c r="J72" t="str">
        <f t="shared" si="4"/>
        <v>Medium</v>
      </c>
      <c r="K72" t="s">
        <v>55</v>
      </c>
      <c r="L72">
        <v>64</v>
      </c>
      <c r="M72">
        <v>93</v>
      </c>
      <c r="N72" t="str">
        <f t="shared" si="5"/>
        <v>Medium Cost</v>
      </c>
      <c r="O72">
        <v>16.670000000000002</v>
      </c>
      <c r="P72" t="s">
        <v>64</v>
      </c>
      <c r="Q72" t="s">
        <v>58</v>
      </c>
      <c r="R72" t="s">
        <v>44</v>
      </c>
      <c r="S72" t="s">
        <v>137</v>
      </c>
      <c r="T72" t="s">
        <v>46</v>
      </c>
      <c r="U72">
        <v>23</v>
      </c>
      <c r="V72">
        <v>4.8</v>
      </c>
      <c r="W72" t="s">
        <v>28</v>
      </c>
      <c r="X72" t="s">
        <v>68</v>
      </c>
    </row>
    <row r="73" spans="1:24" x14ac:dyDescent="0.3">
      <c r="A73" t="s">
        <v>1351</v>
      </c>
      <c r="B73" t="s">
        <v>126</v>
      </c>
      <c r="C73" t="s">
        <v>31</v>
      </c>
      <c r="D73" t="str">
        <f t="shared" si="3"/>
        <v>Evening</v>
      </c>
      <c r="E73">
        <f>HOUR(EV_Data[[#This Row],[Charging Start Time]])</f>
        <v>23</v>
      </c>
      <c r="F73" s="1">
        <v>44929.958333333336</v>
      </c>
      <c r="G73" s="1">
        <v>44930.001388888893</v>
      </c>
      <c r="H73">
        <v>62</v>
      </c>
      <c r="I73">
        <v>30.65</v>
      </c>
      <c r="J73" t="str">
        <f t="shared" si="4"/>
        <v>Medium</v>
      </c>
      <c r="K73" t="s">
        <v>22</v>
      </c>
      <c r="L73">
        <v>65</v>
      </c>
      <c r="M73">
        <v>87</v>
      </c>
      <c r="N73" t="str">
        <f t="shared" si="5"/>
        <v>Medium Cost</v>
      </c>
      <c r="O73">
        <v>8.23</v>
      </c>
      <c r="P73" t="s">
        <v>64</v>
      </c>
      <c r="Q73" t="s">
        <v>24</v>
      </c>
      <c r="R73" t="s">
        <v>35</v>
      </c>
      <c r="S73" t="s">
        <v>138</v>
      </c>
      <c r="T73" t="s">
        <v>37</v>
      </c>
      <c r="U73">
        <v>80</v>
      </c>
      <c r="V73">
        <v>4.5999999999999996</v>
      </c>
      <c r="W73" t="s">
        <v>28</v>
      </c>
      <c r="X73" t="s">
        <v>68</v>
      </c>
    </row>
    <row r="74" spans="1:24" x14ac:dyDescent="0.3">
      <c r="A74" t="s">
        <v>1352</v>
      </c>
      <c r="B74" t="s">
        <v>77</v>
      </c>
      <c r="C74" t="s">
        <v>78</v>
      </c>
      <c r="D74" t="str">
        <f t="shared" si="3"/>
        <v>Morning</v>
      </c>
      <c r="E74">
        <f>HOUR(EV_Data[[#This Row],[Charging Start Time]])</f>
        <v>0</v>
      </c>
      <c r="F74" s="1">
        <v>44930</v>
      </c>
      <c r="G74" s="1">
        <v>44930.035416666673</v>
      </c>
      <c r="H74">
        <v>51</v>
      </c>
      <c r="I74">
        <v>7.63</v>
      </c>
      <c r="J74" t="str">
        <f t="shared" si="4"/>
        <v>Low</v>
      </c>
      <c r="K74" t="s">
        <v>55</v>
      </c>
      <c r="L74">
        <v>77</v>
      </c>
      <c r="M74">
        <v>94</v>
      </c>
      <c r="N74" t="str">
        <f t="shared" si="5"/>
        <v>Low Cost</v>
      </c>
      <c r="O74">
        <v>2.75</v>
      </c>
      <c r="P74" t="s">
        <v>23</v>
      </c>
      <c r="Q74" t="s">
        <v>58</v>
      </c>
      <c r="R74" t="s">
        <v>44</v>
      </c>
      <c r="S74" t="s">
        <v>139</v>
      </c>
      <c r="T74" t="s">
        <v>46</v>
      </c>
      <c r="U74">
        <v>49</v>
      </c>
      <c r="V74">
        <v>3.8</v>
      </c>
      <c r="W74" t="s">
        <v>47</v>
      </c>
      <c r="X74" t="s">
        <v>29</v>
      </c>
    </row>
    <row r="75" spans="1:24" x14ac:dyDescent="0.3">
      <c r="A75" t="s">
        <v>1353</v>
      </c>
      <c r="B75" t="s">
        <v>20</v>
      </c>
      <c r="C75" t="s">
        <v>21</v>
      </c>
      <c r="D75" t="str">
        <f t="shared" si="3"/>
        <v>Morning</v>
      </c>
      <c r="E75">
        <f>HOUR(EV_Data[[#This Row],[Charging Start Time]])</f>
        <v>1</v>
      </c>
      <c r="F75" s="1">
        <v>44930.041666666664</v>
      </c>
      <c r="G75" s="1">
        <v>44930.091666666667</v>
      </c>
      <c r="H75">
        <v>72</v>
      </c>
      <c r="I75">
        <v>28.51</v>
      </c>
      <c r="J75" t="str">
        <f t="shared" si="4"/>
        <v>Medium</v>
      </c>
      <c r="K75" t="s">
        <v>50</v>
      </c>
      <c r="L75">
        <v>22</v>
      </c>
      <c r="M75">
        <v>44</v>
      </c>
      <c r="N75" t="str">
        <f t="shared" si="5"/>
        <v>Medium Cost</v>
      </c>
      <c r="O75">
        <v>10.199999999999999</v>
      </c>
      <c r="P75" t="s">
        <v>23</v>
      </c>
      <c r="Q75" t="s">
        <v>48</v>
      </c>
      <c r="R75" t="s">
        <v>44</v>
      </c>
      <c r="S75" t="s">
        <v>140</v>
      </c>
      <c r="T75" t="s">
        <v>37</v>
      </c>
      <c r="U75">
        <v>95</v>
      </c>
      <c r="V75">
        <v>2.7</v>
      </c>
      <c r="W75" t="s">
        <v>28</v>
      </c>
      <c r="X75" t="s">
        <v>68</v>
      </c>
    </row>
    <row r="76" spans="1:24" x14ac:dyDescent="0.3">
      <c r="A76" t="s">
        <v>1354</v>
      </c>
      <c r="B76" t="s">
        <v>53</v>
      </c>
      <c r="C76" t="s">
        <v>54</v>
      </c>
      <c r="D76" t="str">
        <f t="shared" si="3"/>
        <v>Morning</v>
      </c>
      <c r="E76">
        <f>HOUR(EV_Data[[#This Row],[Charging Start Time]])</f>
        <v>2</v>
      </c>
      <c r="F76" s="1">
        <v>44930.083333333336</v>
      </c>
      <c r="G76" s="1">
        <v>44930.132638888892</v>
      </c>
      <c r="H76">
        <v>71</v>
      </c>
      <c r="I76">
        <v>22.77</v>
      </c>
      <c r="J76" t="str">
        <f t="shared" si="4"/>
        <v>Medium</v>
      </c>
      <c r="K76" t="s">
        <v>22</v>
      </c>
      <c r="L76">
        <v>18</v>
      </c>
      <c r="M76">
        <v>51</v>
      </c>
      <c r="N76" t="str">
        <f t="shared" si="5"/>
        <v>Medium Cost</v>
      </c>
      <c r="O76">
        <v>9.34</v>
      </c>
      <c r="P76" t="s">
        <v>33</v>
      </c>
      <c r="Q76" t="s">
        <v>34</v>
      </c>
      <c r="R76" t="s">
        <v>44</v>
      </c>
      <c r="S76" t="s">
        <v>141</v>
      </c>
      <c r="T76" t="s">
        <v>27</v>
      </c>
      <c r="U76">
        <v>83</v>
      </c>
      <c r="V76">
        <v>1.5</v>
      </c>
      <c r="W76" t="s">
        <v>47</v>
      </c>
      <c r="X76" t="s">
        <v>29</v>
      </c>
    </row>
    <row r="77" spans="1:24" x14ac:dyDescent="0.3">
      <c r="A77" t="s">
        <v>1355</v>
      </c>
      <c r="B77" t="s">
        <v>126</v>
      </c>
      <c r="C77" t="s">
        <v>31</v>
      </c>
      <c r="D77" t="str">
        <f t="shared" si="3"/>
        <v>Morning</v>
      </c>
      <c r="E77">
        <f>HOUR(EV_Data[[#This Row],[Charging Start Time]])</f>
        <v>3</v>
      </c>
      <c r="F77" s="1">
        <v>44930.125</v>
      </c>
      <c r="G77" s="1">
        <v>44930.160416666673</v>
      </c>
      <c r="H77">
        <v>51</v>
      </c>
      <c r="I77">
        <v>43.68</v>
      </c>
      <c r="J77" t="str">
        <f t="shared" si="4"/>
        <v>Medium</v>
      </c>
      <c r="K77" t="s">
        <v>69</v>
      </c>
      <c r="L77">
        <v>71</v>
      </c>
      <c r="M77">
        <v>100</v>
      </c>
      <c r="N77" t="str">
        <f t="shared" si="5"/>
        <v>High Cost</v>
      </c>
      <c r="O77">
        <v>18.78</v>
      </c>
      <c r="P77" t="s">
        <v>43</v>
      </c>
      <c r="Q77" t="s">
        <v>58</v>
      </c>
      <c r="R77" t="s">
        <v>25</v>
      </c>
      <c r="S77" t="s">
        <v>142</v>
      </c>
      <c r="T77" t="s">
        <v>27</v>
      </c>
      <c r="U77">
        <v>56</v>
      </c>
      <c r="V77">
        <v>2.5</v>
      </c>
      <c r="W77" t="s">
        <v>38</v>
      </c>
      <c r="X77" t="s">
        <v>39</v>
      </c>
    </row>
    <row r="78" spans="1:24" x14ac:dyDescent="0.3">
      <c r="A78" t="s">
        <v>1356</v>
      </c>
      <c r="B78" t="s">
        <v>92</v>
      </c>
      <c r="C78" t="s">
        <v>93</v>
      </c>
      <c r="D78" t="str">
        <f t="shared" si="3"/>
        <v>Morning</v>
      </c>
      <c r="E78">
        <f>HOUR(EV_Data[[#This Row],[Charging Start Time]])</f>
        <v>4</v>
      </c>
      <c r="F78" s="1">
        <v>44930.166666666664</v>
      </c>
      <c r="G78" s="1">
        <v>44930.19027777778</v>
      </c>
      <c r="H78">
        <v>34</v>
      </c>
      <c r="I78">
        <v>11.2</v>
      </c>
      <c r="J78" t="str">
        <f t="shared" si="4"/>
        <v>Low</v>
      </c>
      <c r="K78" t="s">
        <v>69</v>
      </c>
      <c r="L78">
        <v>67</v>
      </c>
      <c r="M78">
        <v>79</v>
      </c>
      <c r="N78" t="str">
        <f t="shared" si="5"/>
        <v>Low Cost</v>
      </c>
      <c r="O78">
        <v>3.82</v>
      </c>
      <c r="P78" t="s">
        <v>64</v>
      </c>
      <c r="Q78" t="s">
        <v>48</v>
      </c>
      <c r="R78" t="s">
        <v>25</v>
      </c>
      <c r="S78" t="s">
        <v>143</v>
      </c>
      <c r="T78" t="s">
        <v>27</v>
      </c>
      <c r="U78">
        <v>18</v>
      </c>
      <c r="V78">
        <v>2.4</v>
      </c>
      <c r="W78" t="s">
        <v>28</v>
      </c>
      <c r="X78" t="s">
        <v>68</v>
      </c>
    </row>
    <row r="79" spans="1:24" x14ac:dyDescent="0.3">
      <c r="A79" t="s">
        <v>1357</v>
      </c>
      <c r="B79" t="s">
        <v>30</v>
      </c>
      <c r="C79" t="s">
        <v>102</v>
      </c>
      <c r="D79" t="str">
        <f t="shared" si="3"/>
        <v>Morning</v>
      </c>
      <c r="E79">
        <f>HOUR(EV_Data[[#This Row],[Charging Start Time]])</f>
        <v>5</v>
      </c>
      <c r="F79" s="1">
        <v>44930.208333333336</v>
      </c>
      <c r="G79" s="1">
        <v>44930.256944444453</v>
      </c>
      <c r="H79">
        <v>70</v>
      </c>
      <c r="I79">
        <v>20.28</v>
      </c>
      <c r="J79" t="str">
        <f t="shared" si="4"/>
        <v>Medium</v>
      </c>
      <c r="K79" t="s">
        <v>69</v>
      </c>
      <c r="L79">
        <v>68</v>
      </c>
      <c r="M79">
        <v>100</v>
      </c>
      <c r="N79" t="str">
        <f t="shared" si="5"/>
        <v>Low Cost</v>
      </c>
      <c r="O79">
        <v>4.4800000000000004</v>
      </c>
      <c r="P79" t="s">
        <v>33</v>
      </c>
      <c r="Q79" t="s">
        <v>34</v>
      </c>
      <c r="R79" t="s">
        <v>56</v>
      </c>
      <c r="S79" t="s">
        <v>144</v>
      </c>
      <c r="T79" t="s">
        <v>46</v>
      </c>
      <c r="U79">
        <v>31</v>
      </c>
      <c r="V79">
        <v>2</v>
      </c>
      <c r="W79" t="s">
        <v>38</v>
      </c>
      <c r="X79" t="s">
        <v>39</v>
      </c>
    </row>
    <row r="80" spans="1:24" x14ac:dyDescent="0.3">
      <c r="A80" t="s">
        <v>1358</v>
      </c>
      <c r="B80" t="s">
        <v>30</v>
      </c>
      <c r="C80" t="s">
        <v>102</v>
      </c>
      <c r="D80" t="str">
        <f t="shared" si="3"/>
        <v>Morning</v>
      </c>
      <c r="E80">
        <f>HOUR(EV_Data[[#This Row],[Charging Start Time]])</f>
        <v>6</v>
      </c>
      <c r="F80" s="1">
        <v>44930.25</v>
      </c>
      <c r="G80" s="1">
        <v>44930.291666666657</v>
      </c>
      <c r="H80">
        <v>60</v>
      </c>
      <c r="I80">
        <v>49.53</v>
      </c>
      <c r="J80" t="str">
        <f t="shared" si="4"/>
        <v>Medium</v>
      </c>
      <c r="K80" t="s">
        <v>69</v>
      </c>
      <c r="L80">
        <v>65</v>
      </c>
      <c r="M80">
        <v>85</v>
      </c>
      <c r="N80" t="str">
        <f t="shared" si="5"/>
        <v>High Cost</v>
      </c>
      <c r="O80">
        <v>18.440000000000001</v>
      </c>
      <c r="P80" t="s">
        <v>23</v>
      </c>
      <c r="Q80" t="s">
        <v>58</v>
      </c>
      <c r="R80" t="s">
        <v>44</v>
      </c>
      <c r="S80" t="s">
        <v>145</v>
      </c>
      <c r="T80" t="s">
        <v>46</v>
      </c>
      <c r="U80">
        <v>83</v>
      </c>
      <c r="V80">
        <v>1.4</v>
      </c>
      <c r="W80" t="s">
        <v>38</v>
      </c>
    </row>
    <row r="81" spans="1:24" x14ac:dyDescent="0.3">
      <c r="A81" t="s">
        <v>1359</v>
      </c>
      <c r="B81" t="s">
        <v>126</v>
      </c>
      <c r="C81" t="s">
        <v>31</v>
      </c>
      <c r="D81" t="str">
        <f t="shared" si="3"/>
        <v>Morning</v>
      </c>
      <c r="E81">
        <f>HOUR(EV_Data[[#This Row],[Charging Start Time]])</f>
        <v>7</v>
      </c>
      <c r="F81" s="1">
        <v>44930.291666666664</v>
      </c>
      <c r="G81" s="1">
        <v>44930.34375</v>
      </c>
      <c r="H81">
        <v>75</v>
      </c>
      <c r="I81">
        <v>9.24</v>
      </c>
      <c r="J81" t="str">
        <f t="shared" si="4"/>
        <v>Low</v>
      </c>
      <c r="K81" t="s">
        <v>22</v>
      </c>
      <c r="L81">
        <v>10</v>
      </c>
      <c r="M81">
        <v>39</v>
      </c>
      <c r="N81" t="str">
        <f t="shared" si="5"/>
        <v>Low Cost</v>
      </c>
      <c r="O81">
        <v>4.5199999999999996</v>
      </c>
      <c r="P81" t="s">
        <v>33</v>
      </c>
      <c r="Q81" t="s">
        <v>58</v>
      </c>
      <c r="R81" t="s">
        <v>25</v>
      </c>
      <c r="S81" t="s">
        <v>146</v>
      </c>
      <c r="T81" t="s">
        <v>46</v>
      </c>
      <c r="U81">
        <v>88</v>
      </c>
      <c r="V81">
        <v>3.3</v>
      </c>
      <c r="W81" t="s">
        <v>47</v>
      </c>
      <c r="X81" t="s">
        <v>29</v>
      </c>
    </row>
    <row r="82" spans="1:24" x14ac:dyDescent="0.3">
      <c r="A82" t="s">
        <v>1360</v>
      </c>
      <c r="B82" t="s">
        <v>53</v>
      </c>
      <c r="C82" t="s">
        <v>54</v>
      </c>
      <c r="D82" t="str">
        <f t="shared" si="3"/>
        <v>Morning</v>
      </c>
      <c r="E82">
        <f>HOUR(EV_Data[[#This Row],[Charging Start Time]])</f>
        <v>8</v>
      </c>
      <c r="F82" s="1">
        <v>44930.333333333336</v>
      </c>
      <c r="G82" s="1">
        <v>44930.369444444441</v>
      </c>
      <c r="H82">
        <v>52</v>
      </c>
      <c r="I82">
        <v>38.700000000000003</v>
      </c>
      <c r="J82" t="str">
        <f t="shared" si="4"/>
        <v>Medium</v>
      </c>
      <c r="K82" t="s">
        <v>42</v>
      </c>
      <c r="L82">
        <v>55</v>
      </c>
      <c r="M82">
        <v>79</v>
      </c>
      <c r="N82" t="str">
        <f t="shared" si="5"/>
        <v>Medium Cost</v>
      </c>
      <c r="O82">
        <v>12.21</v>
      </c>
      <c r="P82" t="s">
        <v>51</v>
      </c>
      <c r="Q82" t="s">
        <v>34</v>
      </c>
      <c r="R82" t="s">
        <v>44</v>
      </c>
      <c r="S82" t="s">
        <v>147</v>
      </c>
      <c r="T82" t="s">
        <v>37</v>
      </c>
      <c r="U82">
        <v>29</v>
      </c>
      <c r="V82">
        <v>1.9</v>
      </c>
      <c r="W82" t="s">
        <v>38</v>
      </c>
      <c r="X82" t="s">
        <v>62</v>
      </c>
    </row>
    <row r="83" spans="1:24" x14ac:dyDescent="0.3">
      <c r="A83" t="s">
        <v>1361</v>
      </c>
      <c r="B83" t="s">
        <v>77</v>
      </c>
      <c r="C83" t="s">
        <v>78</v>
      </c>
      <c r="D83" t="str">
        <f t="shared" si="3"/>
        <v>Morning</v>
      </c>
      <c r="E83">
        <f>HOUR(EV_Data[[#This Row],[Charging Start Time]])</f>
        <v>9</v>
      </c>
      <c r="F83" s="1">
        <v>44930.375</v>
      </c>
      <c r="G83" s="1">
        <v>44930.431250000001</v>
      </c>
      <c r="H83">
        <v>81</v>
      </c>
      <c r="I83">
        <v>9.44</v>
      </c>
      <c r="J83" t="str">
        <f t="shared" si="4"/>
        <v>Low</v>
      </c>
      <c r="K83" t="s">
        <v>32</v>
      </c>
      <c r="L83">
        <v>62</v>
      </c>
      <c r="M83">
        <v>79</v>
      </c>
      <c r="N83" t="str">
        <f t="shared" si="5"/>
        <v>Low Cost</v>
      </c>
      <c r="O83">
        <v>2.64</v>
      </c>
      <c r="P83" t="s">
        <v>51</v>
      </c>
      <c r="Q83" t="s">
        <v>48</v>
      </c>
      <c r="R83" t="s">
        <v>44</v>
      </c>
      <c r="S83" t="s">
        <v>148</v>
      </c>
      <c r="T83" t="s">
        <v>60</v>
      </c>
      <c r="U83">
        <v>12</v>
      </c>
      <c r="V83">
        <v>4.5</v>
      </c>
      <c r="W83" t="s">
        <v>38</v>
      </c>
      <c r="X83" t="s">
        <v>83</v>
      </c>
    </row>
    <row r="84" spans="1:24" x14ac:dyDescent="0.3">
      <c r="A84" t="s">
        <v>1362</v>
      </c>
      <c r="B84" t="s">
        <v>77</v>
      </c>
      <c r="C84" t="s">
        <v>78</v>
      </c>
      <c r="D84" t="str">
        <f t="shared" si="3"/>
        <v>Morning</v>
      </c>
      <c r="E84">
        <f>HOUR(EV_Data[[#This Row],[Charging Start Time]])</f>
        <v>10</v>
      </c>
      <c r="F84" s="1">
        <v>44930.416666666664</v>
      </c>
      <c r="G84" s="1">
        <v>44930.435416666667</v>
      </c>
      <c r="H84">
        <v>27</v>
      </c>
      <c r="I84">
        <v>14.28</v>
      </c>
      <c r="J84" t="str">
        <f t="shared" si="4"/>
        <v>Low</v>
      </c>
      <c r="K84" t="s">
        <v>50</v>
      </c>
      <c r="L84">
        <v>19</v>
      </c>
      <c r="M84">
        <v>37</v>
      </c>
      <c r="N84" t="str">
        <f t="shared" si="5"/>
        <v>Low Cost</v>
      </c>
      <c r="O84">
        <v>4.88</v>
      </c>
      <c r="P84" t="s">
        <v>51</v>
      </c>
      <c r="Q84" t="s">
        <v>24</v>
      </c>
      <c r="R84" t="s">
        <v>56</v>
      </c>
      <c r="S84" t="s">
        <v>149</v>
      </c>
      <c r="T84" t="s">
        <v>27</v>
      </c>
      <c r="U84">
        <v>48</v>
      </c>
      <c r="V84">
        <v>4.4000000000000004</v>
      </c>
      <c r="W84" t="s">
        <v>28</v>
      </c>
      <c r="X84" t="s">
        <v>68</v>
      </c>
    </row>
    <row r="85" spans="1:24" x14ac:dyDescent="0.3">
      <c r="A85" t="s">
        <v>1363</v>
      </c>
      <c r="B85" t="s">
        <v>126</v>
      </c>
      <c r="C85" t="s">
        <v>31</v>
      </c>
      <c r="D85" t="str">
        <f t="shared" si="3"/>
        <v>Morning</v>
      </c>
      <c r="E85">
        <f>HOUR(EV_Data[[#This Row],[Charging Start Time]])</f>
        <v>11</v>
      </c>
      <c r="F85" s="1">
        <v>44930.458333333336</v>
      </c>
      <c r="G85" s="1">
        <v>44930.479166666657</v>
      </c>
      <c r="H85">
        <v>30</v>
      </c>
      <c r="I85">
        <v>16.05</v>
      </c>
      <c r="J85" t="str">
        <f t="shared" si="4"/>
        <v>Low</v>
      </c>
      <c r="K85" t="s">
        <v>32</v>
      </c>
      <c r="L85">
        <v>46</v>
      </c>
      <c r="M85">
        <v>69</v>
      </c>
      <c r="N85" t="str">
        <f t="shared" si="5"/>
        <v>Low Cost</v>
      </c>
      <c r="O85">
        <v>3.76</v>
      </c>
      <c r="P85" t="s">
        <v>43</v>
      </c>
      <c r="Q85" t="s">
        <v>48</v>
      </c>
      <c r="R85" t="s">
        <v>35</v>
      </c>
      <c r="S85" t="s">
        <v>150</v>
      </c>
      <c r="T85" t="s">
        <v>60</v>
      </c>
      <c r="U85">
        <v>52</v>
      </c>
      <c r="V85">
        <v>4.5999999999999996</v>
      </c>
      <c r="W85" t="s">
        <v>38</v>
      </c>
      <c r="X85" t="s">
        <v>85</v>
      </c>
    </row>
    <row r="86" spans="1:24" x14ac:dyDescent="0.3">
      <c r="A86" t="s">
        <v>1364</v>
      </c>
      <c r="B86" t="s">
        <v>92</v>
      </c>
      <c r="C86" t="s">
        <v>93</v>
      </c>
      <c r="D86" t="str">
        <f t="shared" si="3"/>
        <v>Afternoon</v>
      </c>
      <c r="E86">
        <f>HOUR(EV_Data[[#This Row],[Charging Start Time]])</f>
        <v>12</v>
      </c>
      <c r="F86" s="1">
        <v>44930.5</v>
      </c>
      <c r="G86" s="1">
        <v>44930.532638888893</v>
      </c>
      <c r="H86">
        <v>47</v>
      </c>
      <c r="I86">
        <v>21.09</v>
      </c>
      <c r="J86" t="str">
        <f t="shared" si="4"/>
        <v>Medium</v>
      </c>
      <c r="K86" t="s">
        <v>50</v>
      </c>
      <c r="L86">
        <v>61</v>
      </c>
      <c r="M86">
        <v>88</v>
      </c>
      <c r="N86" t="str">
        <f t="shared" si="5"/>
        <v>Medium Cost</v>
      </c>
      <c r="O86">
        <v>8.52</v>
      </c>
      <c r="P86" t="s">
        <v>64</v>
      </c>
      <c r="Q86" t="s">
        <v>24</v>
      </c>
      <c r="R86" t="s">
        <v>56</v>
      </c>
      <c r="S86" t="s">
        <v>151</v>
      </c>
      <c r="T86" t="s">
        <v>27</v>
      </c>
      <c r="U86">
        <v>81</v>
      </c>
      <c r="V86">
        <v>4</v>
      </c>
      <c r="W86" t="s">
        <v>28</v>
      </c>
      <c r="X86" t="s">
        <v>68</v>
      </c>
    </row>
    <row r="87" spans="1:24" x14ac:dyDescent="0.3">
      <c r="A87" t="s">
        <v>1365</v>
      </c>
      <c r="B87" t="s">
        <v>20</v>
      </c>
      <c r="C87" t="s">
        <v>21</v>
      </c>
      <c r="D87" t="str">
        <f t="shared" si="3"/>
        <v>Afternoon</v>
      </c>
      <c r="E87">
        <f>HOUR(EV_Data[[#This Row],[Charging Start Time]])</f>
        <v>13</v>
      </c>
      <c r="F87" s="1">
        <v>44930.541666666664</v>
      </c>
      <c r="G87" s="1">
        <v>44930.584722222222</v>
      </c>
      <c r="H87">
        <v>62</v>
      </c>
      <c r="I87">
        <v>13.36</v>
      </c>
      <c r="J87" t="str">
        <f t="shared" si="4"/>
        <v>Low</v>
      </c>
      <c r="K87" t="s">
        <v>55</v>
      </c>
      <c r="L87">
        <v>29</v>
      </c>
      <c r="M87">
        <v>62</v>
      </c>
      <c r="N87" t="str">
        <f t="shared" si="5"/>
        <v>Low Cost</v>
      </c>
      <c r="O87">
        <v>4.68</v>
      </c>
      <c r="P87" t="s">
        <v>23</v>
      </c>
      <c r="Q87" t="s">
        <v>34</v>
      </c>
      <c r="R87" t="s">
        <v>44</v>
      </c>
      <c r="S87" t="s">
        <v>152</v>
      </c>
      <c r="T87" t="s">
        <v>37</v>
      </c>
      <c r="U87">
        <v>98</v>
      </c>
      <c r="V87">
        <v>2.2000000000000002</v>
      </c>
      <c r="W87" t="s">
        <v>38</v>
      </c>
      <c r="X87" t="s">
        <v>39</v>
      </c>
    </row>
    <row r="88" spans="1:24" x14ac:dyDescent="0.3">
      <c r="A88" t="s">
        <v>1366</v>
      </c>
      <c r="B88" t="s">
        <v>53</v>
      </c>
      <c r="C88" t="s">
        <v>54</v>
      </c>
      <c r="D88" t="str">
        <f t="shared" si="3"/>
        <v>Afternoon</v>
      </c>
      <c r="E88">
        <f>HOUR(EV_Data[[#This Row],[Charging Start Time]])</f>
        <v>14</v>
      </c>
      <c r="F88" s="1">
        <v>44930.583333333336</v>
      </c>
      <c r="G88" s="1">
        <v>44930.584027777782</v>
      </c>
      <c r="H88">
        <v>1</v>
      </c>
      <c r="I88">
        <v>34.71</v>
      </c>
      <c r="J88" t="str">
        <f t="shared" si="4"/>
        <v>Medium</v>
      </c>
      <c r="K88" t="s">
        <v>42</v>
      </c>
      <c r="L88">
        <v>48</v>
      </c>
      <c r="M88">
        <v>65</v>
      </c>
      <c r="N88" t="str">
        <f t="shared" si="5"/>
        <v>Medium Cost</v>
      </c>
      <c r="O88">
        <v>14.85</v>
      </c>
      <c r="P88" t="s">
        <v>51</v>
      </c>
      <c r="Q88" t="s">
        <v>24</v>
      </c>
      <c r="R88" t="s">
        <v>35</v>
      </c>
      <c r="S88" t="s">
        <v>153</v>
      </c>
      <c r="T88" t="s">
        <v>60</v>
      </c>
      <c r="U88">
        <v>23</v>
      </c>
      <c r="V88">
        <v>2.7</v>
      </c>
      <c r="W88" t="s">
        <v>28</v>
      </c>
      <c r="X88" t="s">
        <v>68</v>
      </c>
    </row>
    <row r="89" spans="1:24" x14ac:dyDescent="0.3">
      <c r="A89" t="s">
        <v>1367</v>
      </c>
      <c r="B89" t="s">
        <v>77</v>
      </c>
      <c r="C89" t="s">
        <v>78</v>
      </c>
      <c r="D89" t="str">
        <f t="shared" si="3"/>
        <v>Afternoon</v>
      </c>
      <c r="E89">
        <f>HOUR(EV_Data[[#This Row],[Charging Start Time]])</f>
        <v>15</v>
      </c>
      <c r="F89" s="1">
        <v>44930.625</v>
      </c>
      <c r="G89" s="1">
        <v>44930.700694444437</v>
      </c>
      <c r="H89">
        <v>109</v>
      </c>
      <c r="I89">
        <v>21.96</v>
      </c>
      <c r="J89" t="str">
        <f t="shared" si="4"/>
        <v>Medium</v>
      </c>
      <c r="K89" t="s">
        <v>42</v>
      </c>
      <c r="L89">
        <v>71</v>
      </c>
      <c r="M89">
        <v>81</v>
      </c>
      <c r="N89" t="str">
        <f t="shared" si="5"/>
        <v>Medium Cost</v>
      </c>
      <c r="O89">
        <v>9.02</v>
      </c>
      <c r="P89" t="s">
        <v>33</v>
      </c>
      <c r="Q89" t="s">
        <v>48</v>
      </c>
      <c r="R89" t="s">
        <v>35</v>
      </c>
      <c r="S89" t="s">
        <v>154</v>
      </c>
      <c r="T89" t="s">
        <v>37</v>
      </c>
      <c r="U89">
        <v>93</v>
      </c>
      <c r="V89">
        <v>4.5</v>
      </c>
      <c r="W89" t="s">
        <v>38</v>
      </c>
      <c r="X89" t="s">
        <v>62</v>
      </c>
    </row>
    <row r="90" spans="1:24" x14ac:dyDescent="0.3">
      <c r="A90" t="s">
        <v>1368</v>
      </c>
      <c r="B90" t="s">
        <v>77</v>
      </c>
      <c r="C90" t="s">
        <v>78</v>
      </c>
      <c r="D90" t="str">
        <f t="shared" si="3"/>
        <v>Afternoon</v>
      </c>
      <c r="E90">
        <f>HOUR(EV_Data[[#This Row],[Charging Start Time]])</f>
        <v>16</v>
      </c>
      <c r="F90" s="1">
        <v>44930.666666666664</v>
      </c>
      <c r="G90" s="1">
        <v>44930.713194444441</v>
      </c>
      <c r="H90">
        <v>67</v>
      </c>
      <c r="I90">
        <v>40.53</v>
      </c>
      <c r="J90" t="str">
        <f t="shared" si="4"/>
        <v>Medium</v>
      </c>
      <c r="K90" t="s">
        <v>50</v>
      </c>
      <c r="L90">
        <v>21</v>
      </c>
      <c r="M90">
        <v>41</v>
      </c>
      <c r="N90" t="str">
        <f t="shared" si="5"/>
        <v>Medium Cost</v>
      </c>
      <c r="O90">
        <v>15.23</v>
      </c>
      <c r="P90" t="s">
        <v>33</v>
      </c>
      <c r="Q90" t="s">
        <v>34</v>
      </c>
      <c r="R90" t="s">
        <v>25</v>
      </c>
      <c r="S90" t="s">
        <v>155</v>
      </c>
      <c r="T90" t="s">
        <v>37</v>
      </c>
      <c r="U90">
        <v>31</v>
      </c>
      <c r="V90">
        <v>3.3</v>
      </c>
      <c r="W90" t="s">
        <v>38</v>
      </c>
    </row>
    <row r="91" spans="1:24" x14ac:dyDescent="0.3">
      <c r="A91" t="s">
        <v>1369</v>
      </c>
      <c r="B91" t="s">
        <v>20</v>
      </c>
      <c r="C91" t="s">
        <v>21</v>
      </c>
      <c r="D91" t="str">
        <f t="shared" si="3"/>
        <v>Evening</v>
      </c>
      <c r="E91">
        <f>HOUR(EV_Data[[#This Row],[Charging Start Time]])</f>
        <v>17</v>
      </c>
      <c r="F91" s="1">
        <v>44930.708333333336</v>
      </c>
      <c r="G91" s="1">
        <v>44930.736111111109</v>
      </c>
      <c r="H91">
        <v>40</v>
      </c>
      <c r="I91">
        <v>13.6</v>
      </c>
      <c r="J91" t="str">
        <f t="shared" si="4"/>
        <v>Low</v>
      </c>
      <c r="K91" t="s">
        <v>42</v>
      </c>
      <c r="L91">
        <v>7</v>
      </c>
      <c r="M91">
        <v>19</v>
      </c>
      <c r="N91" t="str">
        <f t="shared" si="5"/>
        <v>Low Cost</v>
      </c>
      <c r="O91">
        <v>6.05</v>
      </c>
      <c r="P91" t="s">
        <v>33</v>
      </c>
      <c r="Q91" t="s">
        <v>48</v>
      </c>
      <c r="R91" t="s">
        <v>25</v>
      </c>
      <c r="S91" t="s">
        <v>156</v>
      </c>
      <c r="T91" t="s">
        <v>60</v>
      </c>
      <c r="U91">
        <v>40</v>
      </c>
      <c r="V91">
        <v>3.3</v>
      </c>
      <c r="W91" t="s">
        <v>47</v>
      </c>
      <c r="X91" t="s">
        <v>29</v>
      </c>
    </row>
    <row r="92" spans="1:24" x14ac:dyDescent="0.3">
      <c r="A92" t="s">
        <v>1370</v>
      </c>
      <c r="B92" t="s">
        <v>53</v>
      </c>
      <c r="C92" t="s">
        <v>54</v>
      </c>
      <c r="D92" t="str">
        <f t="shared" si="3"/>
        <v>Evening</v>
      </c>
      <c r="E92">
        <f>HOUR(EV_Data[[#This Row],[Charging Start Time]])</f>
        <v>18</v>
      </c>
      <c r="F92" s="1">
        <v>44930.75</v>
      </c>
      <c r="G92" s="1">
        <v>44930.829861111109</v>
      </c>
      <c r="H92">
        <v>115</v>
      </c>
      <c r="I92">
        <v>27.52</v>
      </c>
      <c r="J92" t="str">
        <f t="shared" si="4"/>
        <v>Medium</v>
      </c>
      <c r="K92" t="s">
        <v>55</v>
      </c>
      <c r="L92">
        <v>73</v>
      </c>
      <c r="M92">
        <v>94</v>
      </c>
      <c r="N92" t="str">
        <f t="shared" si="5"/>
        <v>Medium Cost</v>
      </c>
      <c r="O92">
        <v>8.8000000000000007</v>
      </c>
      <c r="P92" t="s">
        <v>23</v>
      </c>
      <c r="Q92" t="s">
        <v>58</v>
      </c>
      <c r="R92" t="s">
        <v>56</v>
      </c>
      <c r="S92" t="s">
        <v>157</v>
      </c>
      <c r="T92" t="s">
        <v>27</v>
      </c>
      <c r="U92">
        <v>71</v>
      </c>
      <c r="V92">
        <v>3</v>
      </c>
      <c r="W92" t="s">
        <v>47</v>
      </c>
      <c r="X92" t="s">
        <v>29</v>
      </c>
    </row>
    <row r="93" spans="1:24" x14ac:dyDescent="0.3">
      <c r="A93" t="s">
        <v>1371</v>
      </c>
      <c r="B93" t="s">
        <v>40</v>
      </c>
      <c r="C93" t="s">
        <v>41</v>
      </c>
      <c r="D93" t="str">
        <f t="shared" si="3"/>
        <v>Evening</v>
      </c>
      <c r="E93">
        <f>HOUR(EV_Data[[#This Row],[Charging Start Time]])</f>
        <v>19</v>
      </c>
      <c r="F93" s="1">
        <v>44930.791666666664</v>
      </c>
      <c r="G93" s="1">
        <v>44930.818749999999</v>
      </c>
      <c r="H93">
        <v>39</v>
      </c>
      <c r="I93">
        <v>31.33</v>
      </c>
      <c r="J93" t="str">
        <f t="shared" si="4"/>
        <v>Medium</v>
      </c>
      <c r="K93" t="s">
        <v>42</v>
      </c>
      <c r="L93">
        <v>79</v>
      </c>
      <c r="M93">
        <v>100</v>
      </c>
      <c r="N93" t="str">
        <f t="shared" si="5"/>
        <v>Medium Cost</v>
      </c>
      <c r="O93">
        <v>15.05</v>
      </c>
      <c r="P93" t="s">
        <v>43</v>
      </c>
      <c r="Q93" t="s">
        <v>24</v>
      </c>
      <c r="R93" t="s">
        <v>56</v>
      </c>
      <c r="S93" t="s">
        <v>158</v>
      </c>
      <c r="T93" t="s">
        <v>27</v>
      </c>
      <c r="U93">
        <v>60</v>
      </c>
      <c r="V93">
        <v>3</v>
      </c>
      <c r="W93" t="s">
        <v>47</v>
      </c>
      <c r="X93" t="s">
        <v>29</v>
      </c>
    </row>
    <row r="94" spans="1:24" x14ac:dyDescent="0.3">
      <c r="A94" t="s">
        <v>1372</v>
      </c>
      <c r="B94" t="s">
        <v>40</v>
      </c>
      <c r="C94" t="s">
        <v>41</v>
      </c>
      <c r="D94" t="str">
        <f t="shared" si="3"/>
        <v>Evening</v>
      </c>
      <c r="E94">
        <f>HOUR(EV_Data[[#This Row],[Charging Start Time]])</f>
        <v>20</v>
      </c>
      <c r="F94" s="1">
        <v>44930.833333333336</v>
      </c>
      <c r="G94" s="1">
        <v>44930.870138888888</v>
      </c>
      <c r="H94">
        <v>53</v>
      </c>
      <c r="I94">
        <v>6.62</v>
      </c>
      <c r="J94" t="str">
        <f t="shared" si="4"/>
        <v>Low</v>
      </c>
      <c r="K94" t="s">
        <v>42</v>
      </c>
      <c r="L94">
        <v>48</v>
      </c>
      <c r="M94">
        <v>63</v>
      </c>
      <c r="N94" t="str">
        <f t="shared" si="5"/>
        <v>Low Cost</v>
      </c>
      <c r="O94">
        <v>3.07</v>
      </c>
      <c r="P94" t="s">
        <v>33</v>
      </c>
      <c r="Q94" t="s">
        <v>24</v>
      </c>
      <c r="R94" t="s">
        <v>35</v>
      </c>
      <c r="S94" t="s">
        <v>159</v>
      </c>
      <c r="T94" t="s">
        <v>27</v>
      </c>
      <c r="U94">
        <v>84</v>
      </c>
      <c r="V94">
        <v>1.6</v>
      </c>
      <c r="W94" t="s">
        <v>38</v>
      </c>
      <c r="X94" t="s">
        <v>39</v>
      </c>
    </row>
    <row r="95" spans="1:24" x14ac:dyDescent="0.3">
      <c r="A95" t="s">
        <v>1373</v>
      </c>
      <c r="B95" t="s">
        <v>30</v>
      </c>
      <c r="C95" t="s">
        <v>102</v>
      </c>
      <c r="D95" t="str">
        <f t="shared" si="3"/>
        <v>Evening</v>
      </c>
      <c r="E95">
        <f>HOUR(EV_Data[[#This Row],[Charging Start Time]])</f>
        <v>21</v>
      </c>
      <c r="F95" s="1">
        <v>44930.875</v>
      </c>
      <c r="G95" s="1">
        <v>44930.880555555559</v>
      </c>
      <c r="H95">
        <v>8</v>
      </c>
      <c r="I95">
        <v>10.27</v>
      </c>
      <c r="J95" t="str">
        <f t="shared" si="4"/>
        <v>Low</v>
      </c>
      <c r="K95" t="s">
        <v>50</v>
      </c>
      <c r="L95">
        <v>76</v>
      </c>
      <c r="M95">
        <v>99</v>
      </c>
      <c r="N95" t="str">
        <f t="shared" si="5"/>
        <v>Low Cost</v>
      </c>
      <c r="O95">
        <v>4.2</v>
      </c>
      <c r="P95" t="s">
        <v>33</v>
      </c>
      <c r="Q95" t="s">
        <v>24</v>
      </c>
      <c r="R95" t="s">
        <v>35</v>
      </c>
      <c r="S95" t="s">
        <v>160</v>
      </c>
      <c r="T95" t="s">
        <v>37</v>
      </c>
      <c r="U95">
        <v>79</v>
      </c>
      <c r="V95">
        <v>3.3</v>
      </c>
      <c r="W95" t="s">
        <v>38</v>
      </c>
      <c r="X95" t="s">
        <v>39</v>
      </c>
    </row>
    <row r="96" spans="1:24" x14ac:dyDescent="0.3">
      <c r="A96" t="s">
        <v>1374</v>
      </c>
      <c r="B96" t="s">
        <v>71</v>
      </c>
      <c r="C96" t="s">
        <v>72</v>
      </c>
      <c r="D96" t="str">
        <f t="shared" si="3"/>
        <v>Evening</v>
      </c>
      <c r="E96">
        <f>HOUR(EV_Data[[#This Row],[Charging Start Time]])</f>
        <v>22</v>
      </c>
      <c r="F96" s="1">
        <v>44930.916666666664</v>
      </c>
      <c r="G96" s="1">
        <v>44930.959027777782</v>
      </c>
      <c r="H96">
        <v>61</v>
      </c>
      <c r="I96">
        <v>5.01</v>
      </c>
      <c r="J96" t="str">
        <f t="shared" si="4"/>
        <v>Low</v>
      </c>
      <c r="K96" t="s">
        <v>69</v>
      </c>
      <c r="L96">
        <v>28</v>
      </c>
      <c r="M96">
        <v>40</v>
      </c>
      <c r="N96" t="str">
        <f t="shared" si="5"/>
        <v>Low Cost</v>
      </c>
      <c r="O96">
        <v>1.92</v>
      </c>
      <c r="P96" t="s">
        <v>43</v>
      </c>
      <c r="Q96" t="s">
        <v>48</v>
      </c>
      <c r="R96" t="s">
        <v>25</v>
      </c>
      <c r="S96" t="s">
        <v>161</v>
      </c>
      <c r="T96" t="s">
        <v>60</v>
      </c>
      <c r="U96">
        <v>62</v>
      </c>
      <c r="V96">
        <v>3.6</v>
      </c>
      <c r="W96" t="s">
        <v>28</v>
      </c>
      <c r="X96" t="s">
        <v>68</v>
      </c>
    </row>
    <row r="97" spans="1:24" x14ac:dyDescent="0.3">
      <c r="A97" t="s">
        <v>1375</v>
      </c>
      <c r="B97" t="s">
        <v>126</v>
      </c>
      <c r="C97" t="s">
        <v>31</v>
      </c>
      <c r="D97" t="str">
        <f t="shared" si="3"/>
        <v>Evening</v>
      </c>
      <c r="E97">
        <f>HOUR(EV_Data[[#This Row],[Charging Start Time]])</f>
        <v>23</v>
      </c>
      <c r="F97" s="1">
        <v>44930.958333333336</v>
      </c>
      <c r="G97" s="1">
        <v>44931.024305555547</v>
      </c>
      <c r="H97">
        <v>95</v>
      </c>
      <c r="I97">
        <v>7.68</v>
      </c>
      <c r="J97" t="str">
        <f t="shared" si="4"/>
        <v>Low</v>
      </c>
      <c r="K97" t="s">
        <v>55</v>
      </c>
      <c r="L97">
        <v>5</v>
      </c>
      <c r="M97">
        <v>40</v>
      </c>
      <c r="N97" t="str">
        <f t="shared" si="5"/>
        <v>Low Cost</v>
      </c>
      <c r="O97">
        <v>1.63</v>
      </c>
      <c r="P97" t="s">
        <v>43</v>
      </c>
      <c r="Q97" t="s">
        <v>24</v>
      </c>
      <c r="R97" t="s">
        <v>35</v>
      </c>
      <c r="S97" t="s">
        <v>162</v>
      </c>
      <c r="T97" t="s">
        <v>27</v>
      </c>
      <c r="U97">
        <v>7</v>
      </c>
      <c r="V97">
        <v>4</v>
      </c>
      <c r="W97" t="s">
        <v>47</v>
      </c>
      <c r="X97" t="s">
        <v>29</v>
      </c>
    </row>
    <row r="98" spans="1:24" x14ac:dyDescent="0.3">
      <c r="A98" t="s">
        <v>1376</v>
      </c>
      <c r="B98" t="s">
        <v>126</v>
      </c>
      <c r="C98" t="s">
        <v>31</v>
      </c>
      <c r="D98" t="str">
        <f t="shared" si="3"/>
        <v>Morning</v>
      </c>
      <c r="E98">
        <f>HOUR(EV_Data[[#This Row],[Charging Start Time]])</f>
        <v>0</v>
      </c>
      <c r="F98" s="1">
        <v>44931</v>
      </c>
      <c r="G98" s="1">
        <v>44931.035416666673</v>
      </c>
      <c r="H98">
        <v>51</v>
      </c>
      <c r="I98">
        <v>45.95</v>
      </c>
      <c r="J98" t="str">
        <f t="shared" si="4"/>
        <v>Medium</v>
      </c>
      <c r="K98" t="s">
        <v>42</v>
      </c>
      <c r="L98">
        <v>54</v>
      </c>
      <c r="M98">
        <v>81</v>
      </c>
      <c r="N98" t="str">
        <f t="shared" si="5"/>
        <v>High Cost</v>
      </c>
      <c r="O98">
        <v>22.33</v>
      </c>
      <c r="P98" t="s">
        <v>64</v>
      </c>
      <c r="Q98" t="s">
        <v>34</v>
      </c>
      <c r="R98" t="s">
        <v>56</v>
      </c>
      <c r="S98" t="s">
        <v>163</v>
      </c>
      <c r="T98" t="s">
        <v>27</v>
      </c>
      <c r="U98">
        <v>48</v>
      </c>
      <c r="V98">
        <v>4.8</v>
      </c>
      <c r="W98" t="s">
        <v>38</v>
      </c>
      <c r="X98" t="s">
        <v>39</v>
      </c>
    </row>
    <row r="99" spans="1:24" x14ac:dyDescent="0.3">
      <c r="A99" t="s">
        <v>1377</v>
      </c>
      <c r="B99" t="s">
        <v>126</v>
      </c>
      <c r="C99" t="s">
        <v>31</v>
      </c>
      <c r="D99" t="str">
        <f t="shared" si="3"/>
        <v>Morning</v>
      </c>
      <c r="E99">
        <f>HOUR(EV_Data[[#This Row],[Charging Start Time]])</f>
        <v>1</v>
      </c>
      <c r="F99" s="1">
        <v>44931.041666666664</v>
      </c>
      <c r="G99" s="1">
        <v>44931.042361111111</v>
      </c>
      <c r="H99">
        <v>1</v>
      </c>
      <c r="I99">
        <v>33.51</v>
      </c>
      <c r="J99" t="str">
        <f t="shared" si="4"/>
        <v>Medium</v>
      </c>
      <c r="K99" t="s">
        <v>22</v>
      </c>
      <c r="L99">
        <v>46</v>
      </c>
      <c r="M99">
        <v>66</v>
      </c>
      <c r="N99" t="str">
        <f t="shared" si="5"/>
        <v>Medium Cost</v>
      </c>
      <c r="O99">
        <v>10.46</v>
      </c>
      <c r="P99" t="s">
        <v>23</v>
      </c>
      <c r="Q99" t="s">
        <v>48</v>
      </c>
      <c r="R99" t="s">
        <v>44</v>
      </c>
      <c r="S99" t="s">
        <v>164</v>
      </c>
      <c r="T99" t="s">
        <v>60</v>
      </c>
      <c r="U99">
        <v>39</v>
      </c>
      <c r="V99">
        <v>2.4</v>
      </c>
      <c r="W99" t="s">
        <v>47</v>
      </c>
      <c r="X99" t="s">
        <v>29</v>
      </c>
    </row>
    <row r="100" spans="1:24" x14ac:dyDescent="0.3">
      <c r="A100" t="s">
        <v>1378</v>
      </c>
      <c r="B100" t="s">
        <v>77</v>
      </c>
      <c r="C100" t="s">
        <v>78</v>
      </c>
      <c r="D100" t="str">
        <f t="shared" si="3"/>
        <v>Morning</v>
      </c>
      <c r="E100">
        <f>HOUR(EV_Data[[#This Row],[Charging Start Time]])</f>
        <v>2</v>
      </c>
      <c r="F100" s="1">
        <v>44931.083333333336</v>
      </c>
      <c r="G100" s="1">
        <v>44931.111805555563</v>
      </c>
      <c r="H100">
        <v>41</v>
      </c>
      <c r="I100">
        <v>27.31</v>
      </c>
      <c r="J100" t="str">
        <f t="shared" si="4"/>
        <v>Medium</v>
      </c>
      <c r="K100" t="s">
        <v>69</v>
      </c>
      <c r="L100">
        <v>22</v>
      </c>
      <c r="M100">
        <v>34</v>
      </c>
      <c r="N100" t="str">
        <f t="shared" si="5"/>
        <v>Low Cost</v>
      </c>
      <c r="O100">
        <v>6.18</v>
      </c>
      <c r="P100" t="s">
        <v>43</v>
      </c>
      <c r="Q100" t="s">
        <v>34</v>
      </c>
      <c r="R100" t="s">
        <v>56</v>
      </c>
      <c r="S100" t="s">
        <v>165</v>
      </c>
      <c r="T100" t="s">
        <v>37</v>
      </c>
      <c r="U100">
        <v>96</v>
      </c>
      <c r="V100">
        <v>2.6</v>
      </c>
      <c r="W100" t="s">
        <v>47</v>
      </c>
      <c r="X100" t="s">
        <v>29</v>
      </c>
    </row>
    <row r="101" spans="1:24" x14ac:dyDescent="0.3">
      <c r="A101" t="s">
        <v>1379</v>
      </c>
      <c r="B101" t="s">
        <v>126</v>
      </c>
      <c r="C101" t="s">
        <v>31</v>
      </c>
      <c r="D101" t="str">
        <f t="shared" si="3"/>
        <v>Morning</v>
      </c>
      <c r="E101">
        <f>HOUR(EV_Data[[#This Row],[Charging Start Time]])</f>
        <v>3</v>
      </c>
      <c r="F101" s="1">
        <v>44931.125</v>
      </c>
      <c r="G101" s="1">
        <v>44931.173611111109</v>
      </c>
      <c r="H101">
        <v>70</v>
      </c>
      <c r="I101">
        <v>35.99</v>
      </c>
      <c r="J101" t="str">
        <f t="shared" si="4"/>
        <v>Medium</v>
      </c>
      <c r="K101" t="s">
        <v>42</v>
      </c>
      <c r="L101">
        <v>59</v>
      </c>
      <c r="M101">
        <v>71</v>
      </c>
      <c r="N101" t="str">
        <f t="shared" si="5"/>
        <v>Medium Cost</v>
      </c>
      <c r="O101">
        <v>10.56</v>
      </c>
      <c r="P101" t="s">
        <v>33</v>
      </c>
      <c r="Q101" t="s">
        <v>24</v>
      </c>
      <c r="R101" t="s">
        <v>56</v>
      </c>
      <c r="S101" t="s">
        <v>166</v>
      </c>
      <c r="T101" t="s">
        <v>60</v>
      </c>
      <c r="U101">
        <v>65</v>
      </c>
      <c r="V101">
        <v>4.0999999999999996</v>
      </c>
      <c r="W101" t="s">
        <v>28</v>
      </c>
      <c r="X101" t="s">
        <v>68</v>
      </c>
    </row>
    <row r="102" spans="1:24" x14ac:dyDescent="0.3">
      <c r="A102" t="s">
        <v>1380</v>
      </c>
      <c r="B102" t="s">
        <v>20</v>
      </c>
      <c r="C102" t="s">
        <v>21</v>
      </c>
      <c r="D102" t="str">
        <f t="shared" si="3"/>
        <v>Morning</v>
      </c>
      <c r="E102">
        <f>HOUR(EV_Data[[#This Row],[Charging Start Time]])</f>
        <v>4</v>
      </c>
      <c r="F102" s="1">
        <v>44931.166666666664</v>
      </c>
      <c r="G102" s="1">
        <v>44931.213194444441</v>
      </c>
      <c r="H102">
        <v>67</v>
      </c>
      <c r="I102">
        <v>28.51</v>
      </c>
      <c r="J102" t="str">
        <f t="shared" si="4"/>
        <v>Medium</v>
      </c>
      <c r="K102" t="s">
        <v>69</v>
      </c>
      <c r="L102">
        <v>43</v>
      </c>
      <c r="M102">
        <v>80</v>
      </c>
      <c r="N102" t="str">
        <f t="shared" si="5"/>
        <v>Medium Cost</v>
      </c>
      <c r="O102">
        <v>8.24</v>
      </c>
      <c r="P102" t="s">
        <v>64</v>
      </c>
      <c r="Q102" t="s">
        <v>24</v>
      </c>
      <c r="R102" t="s">
        <v>56</v>
      </c>
      <c r="S102" t="s">
        <v>167</v>
      </c>
      <c r="T102" t="s">
        <v>60</v>
      </c>
      <c r="U102">
        <v>34</v>
      </c>
      <c r="V102">
        <v>3.7</v>
      </c>
      <c r="W102" t="s">
        <v>47</v>
      </c>
      <c r="X102" t="s">
        <v>29</v>
      </c>
    </row>
    <row r="103" spans="1:24" x14ac:dyDescent="0.3">
      <c r="A103" t="s">
        <v>1381</v>
      </c>
      <c r="B103" t="s">
        <v>20</v>
      </c>
      <c r="C103" t="s">
        <v>21</v>
      </c>
      <c r="D103" t="str">
        <f t="shared" si="3"/>
        <v>Morning</v>
      </c>
      <c r="E103">
        <f>HOUR(EV_Data[[#This Row],[Charging Start Time]])</f>
        <v>5</v>
      </c>
      <c r="F103" s="1">
        <v>44931.208333333336</v>
      </c>
      <c r="G103" s="1">
        <v>44931.287499999999</v>
      </c>
      <c r="H103">
        <v>114</v>
      </c>
      <c r="I103">
        <v>10.49</v>
      </c>
      <c r="J103" t="str">
        <f t="shared" si="4"/>
        <v>Low</v>
      </c>
      <c r="K103" t="s">
        <v>69</v>
      </c>
      <c r="L103">
        <v>73</v>
      </c>
      <c r="M103">
        <v>99</v>
      </c>
      <c r="N103" t="str">
        <f t="shared" si="5"/>
        <v>Low Cost</v>
      </c>
      <c r="O103">
        <v>2.25</v>
      </c>
      <c r="P103" t="s">
        <v>43</v>
      </c>
      <c r="Q103" t="s">
        <v>58</v>
      </c>
      <c r="R103" t="s">
        <v>56</v>
      </c>
      <c r="S103" t="s">
        <v>168</v>
      </c>
      <c r="T103" t="s">
        <v>27</v>
      </c>
      <c r="U103">
        <v>38</v>
      </c>
      <c r="V103">
        <v>3.7</v>
      </c>
      <c r="W103" t="s">
        <v>47</v>
      </c>
      <c r="X103" t="s">
        <v>29</v>
      </c>
    </row>
    <row r="104" spans="1:24" x14ac:dyDescent="0.3">
      <c r="A104" t="s">
        <v>1382</v>
      </c>
      <c r="B104" t="s">
        <v>92</v>
      </c>
      <c r="C104" t="s">
        <v>93</v>
      </c>
      <c r="D104" t="str">
        <f t="shared" si="3"/>
        <v>Morning</v>
      </c>
      <c r="E104">
        <f>HOUR(EV_Data[[#This Row],[Charging Start Time]])</f>
        <v>6</v>
      </c>
      <c r="F104" s="1">
        <v>44931.25</v>
      </c>
      <c r="G104" s="1">
        <v>44931.290972222218</v>
      </c>
      <c r="H104">
        <v>59</v>
      </c>
      <c r="I104">
        <v>46.6</v>
      </c>
      <c r="J104" t="str">
        <f t="shared" si="4"/>
        <v>Medium</v>
      </c>
      <c r="K104" t="s">
        <v>42</v>
      </c>
      <c r="L104">
        <v>37</v>
      </c>
      <c r="M104">
        <v>56</v>
      </c>
      <c r="N104" t="str">
        <f t="shared" si="5"/>
        <v>High Cost</v>
      </c>
      <c r="O104">
        <v>21.14</v>
      </c>
      <c r="P104" t="s">
        <v>51</v>
      </c>
      <c r="Q104" t="s">
        <v>58</v>
      </c>
      <c r="R104" t="s">
        <v>44</v>
      </c>
      <c r="S104" t="s">
        <v>169</v>
      </c>
      <c r="T104" t="s">
        <v>46</v>
      </c>
      <c r="U104">
        <v>42</v>
      </c>
      <c r="V104">
        <v>2.7</v>
      </c>
      <c r="W104" t="s">
        <v>38</v>
      </c>
      <c r="X104" t="s">
        <v>83</v>
      </c>
    </row>
    <row r="105" spans="1:24" x14ac:dyDescent="0.3">
      <c r="A105" t="s">
        <v>1383</v>
      </c>
      <c r="B105" t="s">
        <v>30</v>
      </c>
      <c r="C105" t="s">
        <v>102</v>
      </c>
      <c r="D105" t="str">
        <f t="shared" si="3"/>
        <v>Morning</v>
      </c>
      <c r="E105">
        <f>HOUR(EV_Data[[#This Row],[Charging Start Time]])</f>
        <v>7</v>
      </c>
      <c r="F105" s="1">
        <v>44931.291666666664</v>
      </c>
      <c r="G105" s="1">
        <v>44931.304166666669</v>
      </c>
      <c r="H105">
        <v>18</v>
      </c>
      <c r="I105">
        <v>31.84</v>
      </c>
      <c r="J105" t="str">
        <f t="shared" si="4"/>
        <v>Medium</v>
      </c>
      <c r="K105" t="s">
        <v>22</v>
      </c>
      <c r="L105">
        <v>5</v>
      </c>
      <c r="M105">
        <v>39</v>
      </c>
      <c r="N105" t="str">
        <f t="shared" si="5"/>
        <v>Low Cost</v>
      </c>
      <c r="O105">
        <v>7.74</v>
      </c>
      <c r="P105" t="s">
        <v>51</v>
      </c>
      <c r="Q105" t="s">
        <v>24</v>
      </c>
      <c r="R105" t="s">
        <v>25</v>
      </c>
      <c r="S105" t="s">
        <v>170</v>
      </c>
      <c r="T105" t="s">
        <v>27</v>
      </c>
      <c r="U105">
        <v>35</v>
      </c>
      <c r="V105">
        <v>3.3</v>
      </c>
      <c r="W105" t="s">
        <v>28</v>
      </c>
      <c r="X105" t="s">
        <v>68</v>
      </c>
    </row>
    <row r="106" spans="1:24" x14ac:dyDescent="0.3">
      <c r="A106" t="s">
        <v>1384</v>
      </c>
      <c r="B106" t="s">
        <v>40</v>
      </c>
      <c r="C106" t="s">
        <v>41</v>
      </c>
      <c r="D106" t="str">
        <f t="shared" si="3"/>
        <v>Morning</v>
      </c>
      <c r="E106">
        <f>HOUR(EV_Data[[#This Row],[Charging Start Time]])</f>
        <v>8</v>
      </c>
      <c r="F106" s="1">
        <v>44931.333333333336</v>
      </c>
      <c r="G106" s="1">
        <v>44931.345138888893</v>
      </c>
      <c r="H106">
        <v>17</v>
      </c>
      <c r="I106">
        <v>18.16</v>
      </c>
      <c r="J106" t="str">
        <f t="shared" si="4"/>
        <v>Low</v>
      </c>
      <c r="K106" t="s">
        <v>42</v>
      </c>
      <c r="L106">
        <v>25</v>
      </c>
      <c r="M106">
        <v>56</v>
      </c>
      <c r="N106" t="str">
        <f t="shared" si="5"/>
        <v>Low Cost</v>
      </c>
      <c r="O106">
        <v>5.08</v>
      </c>
      <c r="P106" t="s">
        <v>51</v>
      </c>
      <c r="Q106" t="s">
        <v>24</v>
      </c>
      <c r="R106" t="s">
        <v>25</v>
      </c>
      <c r="S106" t="s">
        <v>171</v>
      </c>
      <c r="T106" t="s">
        <v>37</v>
      </c>
      <c r="U106">
        <v>60</v>
      </c>
      <c r="V106">
        <v>4.9000000000000004</v>
      </c>
      <c r="W106" t="s">
        <v>47</v>
      </c>
      <c r="X106" t="s">
        <v>29</v>
      </c>
    </row>
    <row r="107" spans="1:24" x14ac:dyDescent="0.3">
      <c r="A107" t="s">
        <v>1385</v>
      </c>
      <c r="B107" t="s">
        <v>71</v>
      </c>
      <c r="C107" t="s">
        <v>72</v>
      </c>
      <c r="D107" t="str">
        <f t="shared" si="3"/>
        <v>Morning</v>
      </c>
      <c r="E107">
        <f>HOUR(EV_Data[[#This Row],[Charging Start Time]])</f>
        <v>9</v>
      </c>
      <c r="F107" s="1">
        <v>44931.375</v>
      </c>
      <c r="G107" s="1">
        <v>44931.43472222222</v>
      </c>
      <c r="H107">
        <v>86</v>
      </c>
      <c r="I107">
        <v>49.46</v>
      </c>
      <c r="J107" t="str">
        <f t="shared" si="4"/>
        <v>Medium</v>
      </c>
      <c r="K107" t="s">
        <v>69</v>
      </c>
      <c r="L107">
        <v>58</v>
      </c>
      <c r="M107">
        <v>81</v>
      </c>
      <c r="N107" t="str">
        <f t="shared" si="5"/>
        <v>Medium Cost</v>
      </c>
      <c r="O107">
        <v>16.07</v>
      </c>
      <c r="P107" t="s">
        <v>33</v>
      </c>
      <c r="Q107" t="s">
        <v>48</v>
      </c>
      <c r="R107" t="s">
        <v>44</v>
      </c>
      <c r="S107" t="s">
        <v>172</v>
      </c>
      <c r="T107" t="s">
        <v>37</v>
      </c>
      <c r="U107">
        <v>98</v>
      </c>
      <c r="V107">
        <v>3.8</v>
      </c>
      <c r="W107" t="s">
        <v>28</v>
      </c>
      <c r="X107" t="s">
        <v>68</v>
      </c>
    </row>
    <row r="108" spans="1:24" x14ac:dyDescent="0.3">
      <c r="A108" t="s">
        <v>1386</v>
      </c>
      <c r="B108" t="s">
        <v>30</v>
      </c>
      <c r="C108" t="s">
        <v>102</v>
      </c>
      <c r="D108" t="str">
        <f t="shared" si="3"/>
        <v>Morning</v>
      </c>
      <c r="E108">
        <f>HOUR(EV_Data[[#This Row],[Charging Start Time]])</f>
        <v>10</v>
      </c>
      <c r="F108" s="1">
        <v>44931.416666666664</v>
      </c>
      <c r="G108" s="1">
        <v>44931.441666666673</v>
      </c>
      <c r="H108">
        <v>36</v>
      </c>
      <c r="I108">
        <v>34</v>
      </c>
      <c r="J108" t="str">
        <f t="shared" si="4"/>
        <v>Medium</v>
      </c>
      <c r="K108" t="s">
        <v>42</v>
      </c>
      <c r="L108">
        <v>46</v>
      </c>
      <c r="M108">
        <v>66</v>
      </c>
      <c r="N108" t="str">
        <f t="shared" si="5"/>
        <v>Medium Cost</v>
      </c>
      <c r="O108">
        <v>14.63</v>
      </c>
      <c r="P108" t="s">
        <v>43</v>
      </c>
      <c r="Q108" t="s">
        <v>48</v>
      </c>
      <c r="R108" t="s">
        <v>35</v>
      </c>
      <c r="S108" t="s">
        <v>173</v>
      </c>
      <c r="T108" t="s">
        <v>46</v>
      </c>
      <c r="U108">
        <v>29</v>
      </c>
      <c r="V108">
        <v>2.2000000000000002</v>
      </c>
      <c r="W108" t="s">
        <v>38</v>
      </c>
      <c r="X108" t="s">
        <v>85</v>
      </c>
    </row>
    <row r="109" spans="1:24" x14ac:dyDescent="0.3">
      <c r="A109" t="s">
        <v>1387</v>
      </c>
      <c r="B109" t="s">
        <v>92</v>
      </c>
      <c r="C109" t="s">
        <v>93</v>
      </c>
      <c r="D109" t="str">
        <f t="shared" si="3"/>
        <v>Morning</v>
      </c>
      <c r="E109">
        <f>HOUR(EV_Data[[#This Row],[Charging Start Time]])</f>
        <v>11</v>
      </c>
      <c r="F109" s="1">
        <v>44931.458333333336</v>
      </c>
      <c r="G109" s="1">
        <v>44931.527083333327</v>
      </c>
      <c r="H109">
        <v>99</v>
      </c>
      <c r="I109">
        <v>37.409999999999997</v>
      </c>
      <c r="J109" t="str">
        <f t="shared" si="4"/>
        <v>Medium</v>
      </c>
      <c r="K109" t="s">
        <v>55</v>
      </c>
      <c r="L109">
        <v>77</v>
      </c>
      <c r="M109">
        <v>90</v>
      </c>
      <c r="N109" t="str">
        <f t="shared" si="5"/>
        <v>High Cost</v>
      </c>
      <c r="O109">
        <v>18.03</v>
      </c>
      <c r="P109" t="s">
        <v>23</v>
      </c>
      <c r="Q109" t="s">
        <v>24</v>
      </c>
      <c r="R109" t="s">
        <v>56</v>
      </c>
      <c r="S109" t="s">
        <v>174</v>
      </c>
      <c r="T109" t="s">
        <v>27</v>
      </c>
      <c r="U109">
        <v>51</v>
      </c>
      <c r="V109">
        <v>4</v>
      </c>
      <c r="W109" t="s">
        <v>38</v>
      </c>
      <c r="X109" t="s">
        <v>39</v>
      </c>
    </row>
    <row r="110" spans="1:24" x14ac:dyDescent="0.3">
      <c r="A110" t="s">
        <v>1388</v>
      </c>
      <c r="B110" t="s">
        <v>126</v>
      </c>
      <c r="C110" t="s">
        <v>31</v>
      </c>
      <c r="D110" t="str">
        <f t="shared" si="3"/>
        <v>Afternoon</v>
      </c>
      <c r="E110">
        <f>HOUR(EV_Data[[#This Row],[Charging Start Time]])</f>
        <v>12</v>
      </c>
      <c r="F110" s="1">
        <v>44931.5</v>
      </c>
      <c r="G110" s="1">
        <v>44931.556250000001</v>
      </c>
      <c r="H110">
        <v>81</v>
      </c>
      <c r="I110">
        <v>43.43</v>
      </c>
      <c r="J110" t="str">
        <f t="shared" si="4"/>
        <v>Medium</v>
      </c>
      <c r="K110" t="s">
        <v>50</v>
      </c>
      <c r="L110">
        <v>33</v>
      </c>
      <c r="M110">
        <v>57</v>
      </c>
      <c r="N110" t="str">
        <f t="shared" si="5"/>
        <v>High Cost</v>
      </c>
      <c r="O110">
        <v>18.940000000000001</v>
      </c>
      <c r="P110" t="s">
        <v>43</v>
      </c>
      <c r="Q110" t="s">
        <v>24</v>
      </c>
      <c r="R110" t="s">
        <v>56</v>
      </c>
      <c r="S110" t="s">
        <v>175</v>
      </c>
      <c r="T110" t="s">
        <v>27</v>
      </c>
      <c r="U110">
        <v>46</v>
      </c>
      <c r="V110">
        <v>2.4</v>
      </c>
      <c r="W110" t="s">
        <v>28</v>
      </c>
      <c r="X110" t="s">
        <v>68</v>
      </c>
    </row>
    <row r="111" spans="1:24" x14ac:dyDescent="0.3">
      <c r="A111" t="s">
        <v>1389</v>
      </c>
      <c r="B111" t="s">
        <v>30</v>
      </c>
      <c r="C111" t="s">
        <v>102</v>
      </c>
      <c r="D111" t="str">
        <f t="shared" si="3"/>
        <v>Afternoon</v>
      </c>
      <c r="E111">
        <f>HOUR(EV_Data[[#This Row],[Charging Start Time]])</f>
        <v>13</v>
      </c>
      <c r="F111" s="1">
        <v>44931.541666666664</v>
      </c>
      <c r="G111" s="1">
        <v>44931.591666666667</v>
      </c>
      <c r="H111">
        <v>72</v>
      </c>
      <c r="I111">
        <v>17.59</v>
      </c>
      <c r="J111" t="str">
        <f t="shared" si="4"/>
        <v>Low</v>
      </c>
      <c r="K111" t="s">
        <v>50</v>
      </c>
      <c r="L111">
        <v>80</v>
      </c>
      <c r="M111">
        <v>98</v>
      </c>
      <c r="N111" t="str">
        <f t="shared" si="5"/>
        <v>Low Cost</v>
      </c>
      <c r="O111">
        <v>7.33</v>
      </c>
      <c r="P111" t="s">
        <v>33</v>
      </c>
      <c r="Q111" t="s">
        <v>24</v>
      </c>
      <c r="R111" t="s">
        <v>35</v>
      </c>
      <c r="S111" t="s">
        <v>176</v>
      </c>
      <c r="T111" t="s">
        <v>60</v>
      </c>
      <c r="U111">
        <v>9</v>
      </c>
      <c r="V111">
        <v>1.8</v>
      </c>
      <c r="W111" t="s">
        <v>38</v>
      </c>
      <c r="X111" t="s">
        <v>83</v>
      </c>
    </row>
    <row r="112" spans="1:24" x14ac:dyDescent="0.3">
      <c r="A112" t="s">
        <v>1390</v>
      </c>
      <c r="B112" t="s">
        <v>53</v>
      </c>
      <c r="C112" t="s">
        <v>54</v>
      </c>
      <c r="D112" t="str">
        <f t="shared" si="3"/>
        <v>Afternoon</v>
      </c>
      <c r="E112">
        <f>HOUR(EV_Data[[#This Row],[Charging Start Time]])</f>
        <v>14</v>
      </c>
      <c r="F112" s="1">
        <v>44931.583333333336</v>
      </c>
      <c r="G112" s="1">
        <v>44931.619444444441</v>
      </c>
      <c r="H112">
        <v>52</v>
      </c>
      <c r="I112">
        <v>7.26</v>
      </c>
      <c r="J112" t="str">
        <f t="shared" si="4"/>
        <v>Low</v>
      </c>
      <c r="K112" t="s">
        <v>50</v>
      </c>
      <c r="L112">
        <v>55</v>
      </c>
      <c r="M112">
        <v>95</v>
      </c>
      <c r="N112" t="str">
        <f t="shared" si="5"/>
        <v>Low Cost</v>
      </c>
      <c r="O112">
        <v>1.67</v>
      </c>
      <c r="P112" t="s">
        <v>43</v>
      </c>
      <c r="Q112" t="s">
        <v>34</v>
      </c>
      <c r="R112" t="s">
        <v>25</v>
      </c>
      <c r="S112" t="s">
        <v>177</v>
      </c>
      <c r="T112" t="s">
        <v>60</v>
      </c>
      <c r="U112">
        <v>44</v>
      </c>
      <c r="V112">
        <v>1.1000000000000001</v>
      </c>
      <c r="W112" t="s">
        <v>38</v>
      </c>
    </row>
    <row r="113" spans="1:24" x14ac:dyDescent="0.3">
      <c r="A113" t="s">
        <v>1391</v>
      </c>
      <c r="B113" t="s">
        <v>30</v>
      </c>
      <c r="C113" t="s">
        <v>102</v>
      </c>
      <c r="D113" t="str">
        <f t="shared" si="3"/>
        <v>Afternoon</v>
      </c>
      <c r="E113">
        <f>HOUR(EV_Data[[#This Row],[Charging Start Time]])</f>
        <v>15</v>
      </c>
      <c r="F113" s="1">
        <v>44931.625</v>
      </c>
      <c r="G113" s="1">
        <v>44931.661805555559</v>
      </c>
      <c r="H113">
        <v>53</v>
      </c>
      <c r="I113">
        <v>6.59</v>
      </c>
      <c r="J113" t="str">
        <f t="shared" si="4"/>
        <v>Low</v>
      </c>
      <c r="K113" t="s">
        <v>69</v>
      </c>
      <c r="L113">
        <v>73</v>
      </c>
      <c r="M113">
        <v>98</v>
      </c>
      <c r="N113" t="str">
        <f t="shared" si="5"/>
        <v>Low Cost</v>
      </c>
      <c r="O113">
        <v>2.68</v>
      </c>
      <c r="P113" t="s">
        <v>23</v>
      </c>
      <c r="Q113" t="s">
        <v>58</v>
      </c>
      <c r="R113" t="s">
        <v>44</v>
      </c>
      <c r="S113" t="s">
        <v>178</v>
      </c>
      <c r="T113" t="s">
        <v>27</v>
      </c>
      <c r="U113">
        <v>80</v>
      </c>
      <c r="V113">
        <v>4.9000000000000004</v>
      </c>
      <c r="W113" t="s">
        <v>28</v>
      </c>
      <c r="X113" t="s">
        <v>68</v>
      </c>
    </row>
    <row r="114" spans="1:24" x14ac:dyDescent="0.3">
      <c r="A114" t="s">
        <v>1392</v>
      </c>
      <c r="B114" t="s">
        <v>30</v>
      </c>
      <c r="C114" t="s">
        <v>102</v>
      </c>
      <c r="D114" t="str">
        <f t="shared" si="3"/>
        <v>Afternoon</v>
      </c>
      <c r="E114">
        <f>HOUR(EV_Data[[#This Row],[Charging Start Time]])</f>
        <v>16</v>
      </c>
      <c r="F114" s="1">
        <v>44931.666666666664</v>
      </c>
      <c r="G114" s="1">
        <v>44931.7</v>
      </c>
      <c r="H114">
        <v>48</v>
      </c>
      <c r="I114">
        <v>38.15</v>
      </c>
      <c r="J114" t="str">
        <f t="shared" si="4"/>
        <v>Medium</v>
      </c>
      <c r="K114" t="s">
        <v>42</v>
      </c>
      <c r="L114">
        <v>73</v>
      </c>
      <c r="M114">
        <v>95</v>
      </c>
      <c r="N114" t="str">
        <f t="shared" si="5"/>
        <v>Medium Cost</v>
      </c>
      <c r="O114">
        <v>15.76</v>
      </c>
      <c r="P114" t="s">
        <v>23</v>
      </c>
      <c r="Q114" t="s">
        <v>34</v>
      </c>
      <c r="R114" t="s">
        <v>44</v>
      </c>
      <c r="S114" t="s">
        <v>179</v>
      </c>
      <c r="T114" t="s">
        <v>60</v>
      </c>
      <c r="U114">
        <v>82</v>
      </c>
      <c r="V114">
        <v>3.6</v>
      </c>
      <c r="W114" t="s">
        <v>38</v>
      </c>
      <c r="X114" t="s">
        <v>39</v>
      </c>
    </row>
    <row r="115" spans="1:24" x14ac:dyDescent="0.3">
      <c r="A115" t="s">
        <v>1393</v>
      </c>
      <c r="B115" t="s">
        <v>92</v>
      </c>
      <c r="C115" t="s">
        <v>93</v>
      </c>
      <c r="D115" t="str">
        <f t="shared" si="3"/>
        <v>Evening</v>
      </c>
      <c r="E115">
        <f>HOUR(EV_Data[[#This Row],[Charging Start Time]])</f>
        <v>17</v>
      </c>
      <c r="F115" s="1">
        <v>44931.708333333336</v>
      </c>
      <c r="G115" s="1">
        <v>44931.750694444447</v>
      </c>
      <c r="H115">
        <v>61</v>
      </c>
      <c r="I115">
        <v>37.64</v>
      </c>
      <c r="J115" t="str">
        <f t="shared" si="4"/>
        <v>Medium</v>
      </c>
      <c r="K115" t="s">
        <v>32</v>
      </c>
      <c r="L115">
        <v>22</v>
      </c>
      <c r="M115">
        <v>36</v>
      </c>
      <c r="N115" t="str">
        <f t="shared" si="5"/>
        <v>High Cost</v>
      </c>
      <c r="O115">
        <v>18.28</v>
      </c>
      <c r="P115" t="s">
        <v>33</v>
      </c>
      <c r="Q115" t="s">
        <v>58</v>
      </c>
      <c r="R115" t="s">
        <v>25</v>
      </c>
      <c r="S115" t="s">
        <v>180</v>
      </c>
      <c r="T115" t="s">
        <v>27</v>
      </c>
      <c r="U115">
        <v>23</v>
      </c>
      <c r="V115">
        <v>3.5</v>
      </c>
      <c r="W115" t="s">
        <v>47</v>
      </c>
      <c r="X115" t="s">
        <v>29</v>
      </c>
    </row>
    <row r="116" spans="1:24" x14ac:dyDescent="0.3">
      <c r="A116" t="s">
        <v>1394</v>
      </c>
      <c r="B116" t="s">
        <v>71</v>
      </c>
      <c r="C116" t="s">
        <v>72</v>
      </c>
      <c r="D116" t="str">
        <f t="shared" si="3"/>
        <v>Evening</v>
      </c>
      <c r="E116">
        <f>HOUR(EV_Data[[#This Row],[Charging Start Time]])</f>
        <v>18</v>
      </c>
      <c r="F116" s="1">
        <v>44931.75</v>
      </c>
      <c r="G116" s="1">
        <v>44931.789583333331</v>
      </c>
      <c r="H116">
        <v>57</v>
      </c>
      <c r="I116">
        <v>49.93</v>
      </c>
      <c r="J116" t="str">
        <f t="shared" si="4"/>
        <v>Medium</v>
      </c>
      <c r="K116" t="s">
        <v>69</v>
      </c>
      <c r="L116">
        <v>63</v>
      </c>
      <c r="M116">
        <v>85</v>
      </c>
      <c r="N116" t="str">
        <f t="shared" si="5"/>
        <v>Medium Cost</v>
      </c>
      <c r="O116">
        <v>14.29</v>
      </c>
      <c r="P116" t="s">
        <v>33</v>
      </c>
      <c r="Q116" t="s">
        <v>34</v>
      </c>
      <c r="R116" t="s">
        <v>35</v>
      </c>
      <c r="S116" t="s">
        <v>181</v>
      </c>
      <c r="T116" t="s">
        <v>46</v>
      </c>
      <c r="U116">
        <v>42</v>
      </c>
      <c r="V116">
        <v>2</v>
      </c>
      <c r="W116" t="s">
        <v>38</v>
      </c>
      <c r="X116" t="s">
        <v>39</v>
      </c>
    </row>
    <row r="117" spans="1:24" x14ac:dyDescent="0.3">
      <c r="A117" t="s">
        <v>1395</v>
      </c>
      <c r="B117" t="s">
        <v>40</v>
      </c>
      <c r="C117" t="s">
        <v>41</v>
      </c>
      <c r="D117" t="str">
        <f t="shared" si="3"/>
        <v>Evening</v>
      </c>
      <c r="E117">
        <f>HOUR(EV_Data[[#This Row],[Charging Start Time]])</f>
        <v>19</v>
      </c>
      <c r="F117" s="1">
        <v>44931.791666666664</v>
      </c>
      <c r="G117" s="1">
        <v>44931.839583333327</v>
      </c>
      <c r="H117">
        <v>69</v>
      </c>
      <c r="I117">
        <v>45.81</v>
      </c>
      <c r="J117" t="str">
        <f t="shared" si="4"/>
        <v>Medium</v>
      </c>
      <c r="K117" t="s">
        <v>42</v>
      </c>
      <c r="L117">
        <v>23</v>
      </c>
      <c r="M117">
        <v>39</v>
      </c>
      <c r="N117" t="str">
        <f t="shared" si="5"/>
        <v>Medium Cost</v>
      </c>
      <c r="O117">
        <v>10.199999999999999</v>
      </c>
      <c r="P117" t="s">
        <v>43</v>
      </c>
      <c r="Q117" t="s">
        <v>58</v>
      </c>
      <c r="R117" t="s">
        <v>35</v>
      </c>
      <c r="S117" t="s">
        <v>182</v>
      </c>
      <c r="T117" t="s">
        <v>27</v>
      </c>
      <c r="U117">
        <v>35</v>
      </c>
      <c r="V117">
        <v>1.3</v>
      </c>
      <c r="W117" t="s">
        <v>47</v>
      </c>
      <c r="X117" t="s">
        <v>29</v>
      </c>
    </row>
    <row r="118" spans="1:24" x14ac:dyDescent="0.3">
      <c r="A118" t="s">
        <v>1396</v>
      </c>
      <c r="B118" t="s">
        <v>20</v>
      </c>
      <c r="C118" t="s">
        <v>21</v>
      </c>
      <c r="D118" t="str">
        <f t="shared" si="3"/>
        <v>Evening</v>
      </c>
      <c r="E118">
        <f>HOUR(EV_Data[[#This Row],[Charging Start Time]])</f>
        <v>20</v>
      </c>
      <c r="F118" s="1">
        <v>44931.833333333336</v>
      </c>
      <c r="G118" s="1">
        <v>44931.864583333343</v>
      </c>
      <c r="H118">
        <v>45</v>
      </c>
      <c r="I118">
        <v>36.5</v>
      </c>
      <c r="J118" t="str">
        <f t="shared" si="4"/>
        <v>Medium</v>
      </c>
      <c r="K118" t="s">
        <v>22</v>
      </c>
      <c r="L118">
        <v>80</v>
      </c>
      <c r="M118">
        <v>100</v>
      </c>
      <c r="N118" t="str">
        <f t="shared" si="5"/>
        <v>Medium Cost</v>
      </c>
      <c r="O118">
        <v>12.61</v>
      </c>
      <c r="P118" t="s">
        <v>23</v>
      </c>
      <c r="Q118" t="s">
        <v>48</v>
      </c>
      <c r="R118" t="s">
        <v>56</v>
      </c>
      <c r="S118" t="s">
        <v>183</v>
      </c>
      <c r="T118" t="s">
        <v>46</v>
      </c>
      <c r="U118">
        <v>1</v>
      </c>
      <c r="V118">
        <v>4.5999999999999996</v>
      </c>
      <c r="W118" t="s">
        <v>38</v>
      </c>
      <c r="X118" t="s">
        <v>83</v>
      </c>
    </row>
    <row r="119" spans="1:24" x14ac:dyDescent="0.3">
      <c r="A119" t="s">
        <v>1397</v>
      </c>
      <c r="B119" t="s">
        <v>126</v>
      </c>
      <c r="C119" t="s">
        <v>31</v>
      </c>
      <c r="D119" t="str">
        <f t="shared" si="3"/>
        <v>Evening</v>
      </c>
      <c r="E119">
        <f>HOUR(EV_Data[[#This Row],[Charging Start Time]])</f>
        <v>21</v>
      </c>
      <c r="F119" s="1">
        <v>44931.875</v>
      </c>
      <c r="G119" s="1">
        <v>44931.92083333333</v>
      </c>
      <c r="H119">
        <v>66</v>
      </c>
      <c r="I119">
        <v>48.69</v>
      </c>
      <c r="J119" t="str">
        <f t="shared" si="4"/>
        <v>Medium</v>
      </c>
      <c r="K119" t="s">
        <v>22</v>
      </c>
      <c r="L119">
        <v>64</v>
      </c>
      <c r="M119">
        <v>86</v>
      </c>
      <c r="N119" t="str">
        <f t="shared" si="5"/>
        <v>High Cost</v>
      </c>
      <c r="O119">
        <v>18.18</v>
      </c>
      <c r="P119" t="s">
        <v>64</v>
      </c>
      <c r="Q119" t="s">
        <v>34</v>
      </c>
      <c r="R119" t="s">
        <v>35</v>
      </c>
      <c r="S119" t="s">
        <v>184</v>
      </c>
      <c r="T119" t="s">
        <v>46</v>
      </c>
      <c r="U119">
        <v>87</v>
      </c>
      <c r="V119">
        <v>4.8</v>
      </c>
      <c r="W119" t="s">
        <v>38</v>
      </c>
      <c r="X119" t="s">
        <v>85</v>
      </c>
    </row>
    <row r="120" spans="1:24" x14ac:dyDescent="0.3">
      <c r="A120" t="s">
        <v>1398</v>
      </c>
      <c r="B120" t="s">
        <v>71</v>
      </c>
      <c r="C120" t="s">
        <v>72</v>
      </c>
      <c r="D120" t="str">
        <f t="shared" si="3"/>
        <v>Evening</v>
      </c>
      <c r="E120">
        <f>HOUR(EV_Data[[#This Row],[Charging Start Time]])</f>
        <v>22</v>
      </c>
      <c r="F120" s="1">
        <v>44931.916666666664</v>
      </c>
      <c r="G120" s="1">
        <v>44931.947222222218</v>
      </c>
      <c r="H120">
        <v>44</v>
      </c>
      <c r="I120">
        <v>35.22</v>
      </c>
      <c r="J120" t="str">
        <f t="shared" si="4"/>
        <v>Medium</v>
      </c>
      <c r="K120" t="s">
        <v>50</v>
      </c>
      <c r="L120">
        <v>63</v>
      </c>
      <c r="M120">
        <v>77</v>
      </c>
      <c r="N120" t="str">
        <f t="shared" si="5"/>
        <v>Medium Cost</v>
      </c>
      <c r="O120">
        <v>12.52</v>
      </c>
      <c r="P120" t="s">
        <v>64</v>
      </c>
      <c r="Q120" t="s">
        <v>24</v>
      </c>
      <c r="R120" t="s">
        <v>44</v>
      </c>
      <c r="S120" t="s">
        <v>185</v>
      </c>
      <c r="T120" t="s">
        <v>27</v>
      </c>
      <c r="U120">
        <v>3</v>
      </c>
      <c r="V120">
        <v>3.7</v>
      </c>
      <c r="W120" t="s">
        <v>28</v>
      </c>
      <c r="X120" t="s">
        <v>68</v>
      </c>
    </row>
    <row r="121" spans="1:24" x14ac:dyDescent="0.3">
      <c r="A121" t="s">
        <v>1399</v>
      </c>
      <c r="B121" t="s">
        <v>20</v>
      </c>
      <c r="C121" t="s">
        <v>21</v>
      </c>
      <c r="D121" t="str">
        <f t="shared" si="3"/>
        <v>Evening</v>
      </c>
      <c r="E121">
        <f>HOUR(EV_Data[[#This Row],[Charging Start Time]])</f>
        <v>23</v>
      </c>
      <c r="F121" s="1">
        <v>44931.958333333336</v>
      </c>
      <c r="G121" s="1">
        <v>44931.964583333327</v>
      </c>
      <c r="H121">
        <v>9</v>
      </c>
      <c r="I121">
        <v>41.39</v>
      </c>
      <c r="J121" t="str">
        <f t="shared" si="4"/>
        <v>Medium</v>
      </c>
      <c r="K121" t="s">
        <v>32</v>
      </c>
      <c r="L121">
        <v>68</v>
      </c>
      <c r="M121">
        <v>100</v>
      </c>
      <c r="N121" t="str">
        <f t="shared" si="5"/>
        <v>Medium Cost</v>
      </c>
      <c r="O121">
        <v>10.31</v>
      </c>
      <c r="P121" t="s">
        <v>33</v>
      </c>
      <c r="Q121" t="s">
        <v>48</v>
      </c>
      <c r="R121" t="s">
        <v>25</v>
      </c>
      <c r="S121" t="s">
        <v>186</v>
      </c>
      <c r="T121" t="s">
        <v>37</v>
      </c>
      <c r="U121">
        <v>25</v>
      </c>
      <c r="V121">
        <v>3.3</v>
      </c>
      <c r="W121" t="s">
        <v>28</v>
      </c>
      <c r="X121" t="s">
        <v>68</v>
      </c>
    </row>
    <row r="122" spans="1:24" x14ac:dyDescent="0.3">
      <c r="A122" t="s">
        <v>1400</v>
      </c>
      <c r="B122" t="s">
        <v>40</v>
      </c>
      <c r="C122" t="s">
        <v>41</v>
      </c>
      <c r="D122" t="str">
        <f t="shared" si="3"/>
        <v>Morning</v>
      </c>
      <c r="E122">
        <f>HOUR(EV_Data[[#This Row],[Charging Start Time]])</f>
        <v>0</v>
      </c>
      <c r="F122" s="1">
        <v>44932</v>
      </c>
      <c r="G122" s="1">
        <v>44932.023611111108</v>
      </c>
      <c r="H122">
        <v>34</v>
      </c>
      <c r="I122">
        <v>40.25</v>
      </c>
      <c r="J122" t="str">
        <f t="shared" si="4"/>
        <v>Medium</v>
      </c>
      <c r="K122" t="s">
        <v>50</v>
      </c>
      <c r="L122">
        <v>78</v>
      </c>
      <c r="M122">
        <v>100</v>
      </c>
      <c r="N122" t="str">
        <f t="shared" si="5"/>
        <v>Medium Cost</v>
      </c>
      <c r="O122">
        <v>10.02</v>
      </c>
      <c r="P122" t="s">
        <v>51</v>
      </c>
      <c r="Q122" t="s">
        <v>24</v>
      </c>
      <c r="R122" t="s">
        <v>44</v>
      </c>
      <c r="S122" t="s">
        <v>115</v>
      </c>
      <c r="T122" t="s">
        <v>60</v>
      </c>
      <c r="U122">
        <v>76</v>
      </c>
      <c r="V122">
        <v>4.7</v>
      </c>
      <c r="W122" t="s">
        <v>38</v>
      </c>
      <c r="X122" t="s">
        <v>62</v>
      </c>
    </row>
    <row r="123" spans="1:24" x14ac:dyDescent="0.3">
      <c r="A123" t="s">
        <v>1401</v>
      </c>
      <c r="B123" t="s">
        <v>30</v>
      </c>
      <c r="C123" t="s">
        <v>102</v>
      </c>
      <c r="D123" t="str">
        <f t="shared" si="3"/>
        <v>Morning</v>
      </c>
      <c r="E123">
        <f>HOUR(EV_Data[[#This Row],[Charging Start Time]])</f>
        <v>1</v>
      </c>
      <c r="F123" s="1">
        <v>44932.041666666664</v>
      </c>
      <c r="G123" s="1">
        <v>44932.042361111111</v>
      </c>
      <c r="H123">
        <v>1</v>
      </c>
      <c r="I123">
        <v>13.29</v>
      </c>
      <c r="J123" t="str">
        <f t="shared" si="4"/>
        <v>Low</v>
      </c>
      <c r="K123" t="s">
        <v>55</v>
      </c>
      <c r="L123">
        <v>53</v>
      </c>
      <c r="M123">
        <v>63</v>
      </c>
      <c r="N123" t="str">
        <f t="shared" si="5"/>
        <v>Low Cost</v>
      </c>
      <c r="O123">
        <v>4.92</v>
      </c>
      <c r="P123" t="s">
        <v>43</v>
      </c>
      <c r="Q123" t="s">
        <v>58</v>
      </c>
      <c r="R123" t="s">
        <v>25</v>
      </c>
      <c r="S123" t="s">
        <v>187</v>
      </c>
      <c r="T123" t="s">
        <v>60</v>
      </c>
      <c r="U123">
        <v>28</v>
      </c>
      <c r="V123">
        <v>3.7</v>
      </c>
      <c r="W123" t="s">
        <v>47</v>
      </c>
      <c r="X123" t="s">
        <v>29</v>
      </c>
    </row>
    <row r="124" spans="1:24" x14ac:dyDescent="0.3">
      <c r="A124" t="s">
        <v>1402</v>
      </c>
      <c r="B124" t="s">
        <v>71</v>
      </c>
      <c r="C124" t="s">
        <v>72</v>
      </c>
      <c r="D124" t="str">
        <f t="shared" si="3"/>
        <v>Morning</v>
      </c>
      <c r="E124">
        <f>HOUR(EV_Data[[#This Row],[Charging Start Time]])</f>
        <v>2</v>
      </c>
      <c r="F124" s="1">
        <v>44932.083333333336</v>
      </c>
      <c r="G124" s="1">
        <v>44932.111805555563</v>
      </c>
      <c r="H124">
        <v>41</v>
      </c>
      <c r="I124">
        <v>26.97</v>
      </c>
      <c r="J124" t="str">
        <f t="shared" si="4"/>
        <v>Medium</v>
      </c>
      <c r="K124" t="s">
        <v>55</v>
      </c>
      <c r="L124">
        <v>35</v>
      </c>
      <c r="M124">
        <v>70</v>
      </c>
      <c r="N124" t="str">
        <f t="shared" si="5"/>
        <v>Medium Cost</v>
      </c>
      <c r="O124">
        <v>8.41</v>
      </c>
      <c r="P124" t="s">
        <v>33</v>
      </c>
      <c r="Q124" t="s">
        <v>24</v>
      </c>
      <c r="R124" t="s">
        <v>56</v>
      </c>
      <c r="S124" t="s">
        <v>188</v>
      </c>
      <c r="T124" t="s">
        <v>27</v>
      </c>
      <c r="U124">
        <v>59</v>
      </c>
      <c r="V124">
        <v>1.2</v>
      </c>
      <c r="W124" t="s">
        <v>28</v>
      </c>
      <c r="X124" t="s">
        <v>68</v>
      </c>
    </row>
    <row r="125" spans="1:24" x14ac:dyDescent="0.3">
      <c r="A125" t="s">
        <v>1403</v>
      </c>
      <c r="B125" t="s">
        <v>20</v>
      </c>
      <c r="C125" t="s">
        <v>21</v>
      </c>
      <c r="D125" t="str">
        <f t="shared" si="3"/>
        <v>Morning</v>
      </c>
      <c r="E125">
        <f>HOUR(EV_Data[[#This Row],[Charging Start Time]])</f>
        <v>3</v>
      </c>
      <c r="F125" s="1">
        <v>44932.125</v>
      </c>
      <c r="G125" s="1">
        <v>44932.178472222222</v>
      </c>
      <c r="H125">
        <v>77</v>
      </c>
      <c r="I125">
        <v>6.52</v>
      </c>
      <c r="J125" t="str">
        <f t="shared" si="4"/>
        <v>Low</v>
      </c>
      <c r="K125" t="s">
        <v>50</v>
      </c>
      <c r="L125">
        <v>5</v>
      </c>
      <c r="M125">
        <v>16</v>
      </c>
      <c r="N125" t="str">
        <f t="shared" si="5"/>
        <v>Low Cost</v>
      </c>
      <c r="O125">
        <v>1.72</v>
      </c>
      <c r="P125" t="s">
        <v>33</v>
      </c>
      <c r="Q125" t="s">
        <v>34</v>
      </c>
      <c r="R125" t="s">
        <v>35</v>
      </c>
      <c r="S125" t="s">
        <v>189</v>
      </c>
      <c r="T125" t="s">
        <v>60</v>
      </c>
      <c r="U125">
        <v>12</v>
      </c>
      <c r="V125">
        <v>2.1</v>
      </c>
      <c r="W125" t="s">
        <v>28</v>
      </c>
      <c r="X125" t="s">
        <v>68</v>
      </c>
    </row>
    <row r="126" spans="1:24" x14ac:dyDescent="0.3">
      <c r="A126" t="s">
        <v>1404</v>
      </c>
      <c r="B126" t="s">
        <v>77</v>
      </c>
      <c r="C126" t="s">
        <v>78</v>
      </c>
      <c r="D126" t="str">
        <f t="shared" si="3"/>
        <v>Morning</v>
      </c>
      <c r="E126">
        <f>HOUR(EV_Data[[#This Row],[Charging Start Time]])</f>
        <v>4</v>
      </c>
      <c r="F126" s="1">
        <v>44932.166666666664</v>
      </c>
      <c r="G126" s="1">
        <v>44932.197916666657</v>
      </c>
      <c r="H126">
        <v>45</v>
      </c>
      <c r="I126">
        <v>26.06</v>
      </c>
      <c r="J126" t="str">
        <f t="shared" si="4"/>
        <v>Medium</v>
      </c>
      <c r="K126" t="s">
        <v>22</v>
      </c>
      <c r="L126">
        <v>35</v>
      </c>
      <c r="M126">
        <v>47</v>
      </c>
      <c r="N126" t="str">
        <f t="shared" si="5"/>
        <v>Medium Cost</v>
      </c>
      <c r="O126">
        <v>9.23</v>
      </c>
      <c r="P126" t="s">
        <v>33</v>
      </c>
      <c r="Q126" t="s">
        <v>34</v>
      </c>
      <c r="R126" t="s">
        <v>44</v>
      </c>
      <c r="S126" t="s">
        <v>190</v>
      </c>
      <c r="T126" t="s">
        <v>27</v>
      </c>
      <c r="U126">
        <v>5</v>
      </c>
      <c r="V126">
        <v>2.4</v>
      </c>
      <c r="W126" t="s">
        <v>28</v>
      </c>
      <c r="X126" t="s">
        <v>68</v>
      </c>
    </row>
    <row r="127" spans="1:24" x14ac:dyDescent="0.3">
      <c r="A127" t="s">
        <v>1405</v>
      </c>
      <c r="B127" t="s">
        <v>92</v>
      </c>
      <c r="C127" t="s">
        <v>93</v>
      </c>
      <c r="D127" t="str">
        <f t="shared" si="3"/>
        <v>Morning</v>
      </c>
      <c r="E127">
        <f>HOUR(EV_Data[[#This Row],[Charging Start Time]])</f>
        <v>5</v>
      </c>
      <c r="F127" s="1">
        <v>44932.208333333336</v>
      </c>
      <c r="G127" s="1">
        <v>44932.242361111108</v>
      </c>
      <c r="H127">
        <v>49</v>
      </c>
      <c r="I127">
        <v>27.36</v>
      </c>
      <c r="J127" t="str">
        <f t="shared" si="4"/>
        <v>Medium</v>
      </c>
      <c r="K127" t="s">
        <v>55</v>
      </c>
      <c r="L127">
        <v>21</v>
      </c>
      <c r="M127">
        <v>53</v>
      </c>
      <c r="N127" t="str">
        <f t="shared" si="5"/>
        <v>Medium Cost</v>
      </c>
      <c r="O127">
        <v>11.58</v>
      </c>
      <c r="P127" t="s">
        <v>64</v>
      </c>
      <c r="Q127" t="s">
        <v>34</v>
      </c>
      <c r="R127" t="s">
        <v>56</v>
      </c>
      <c r="S127" t="s">
        <v>191</v>
      </c>
      <c r="T127" t="s">
        <v>46</v>
      </c>
      <c r="U127">
        <v>79</v>
      </c>
      <c r="V127">
        <v>3.4</v>
      </c>
      <c r="W127" t="s">
        <v>28</v>
      </c>
      <c r="X127" t="s">
        <v>68</v>
      </c>
    </row>
    <row r="128" spans="1:24" x14ac:dyDescent="0.3">
      <c r="A128" t="s">
        <v>1406</v>
      </c>
      <c r="B128" t="s">
        <v>30</v>
      </c>
      <c r="C128" t="s">
        <v>102</v>
      </c>
      <c r="D128" t="str">
        <f t="shared" si="3"/>
        <v>Morning</v>
      </c>
      <c r="E128">
        <f>HOUR(EV_Data[[#This Row],[Charging Start Time]])</f>
        <v>6</v>
      </c>
      <c r="F128" s="1">
        <v>44932.25</v>
      </c>
      <c r="G128" s="1">
        <v>44932.268750000003</v>
      </c>
      <c r="H128">
        <v>27</v>
      </c>
      <c r="I128">
        <v>28.22</v>
      </c>
      <c r="J128" t="str">
        <f t="shared" si="4"/>
        <v>Medium</v>
      </c>
      <c r="K128" t="s">
        <v>50</v>
      </c>
      <c r="L128">
        <v>30</v>
      </c>
      <c r="M128">
        <v>60</v>
      </c>
      <c r="N128" t="str">
        <f t="shared" si="5"/>
        <v>Medium Cost</v>
      </c>
      <c r="O128">
        <v>13.41</v>
      </c>
      <c r="P128" t="s">
        <v>23</v>
      </c>
      <c r="Q128" t="s">
        <v>48</v>
      </c>
      <c r="R128" t="s">
        <v>44</v>
      </c>
      <c r="S128" t="s">
        <v>192</v>
      </c>
      <c r="T128" t="s">
        <v>37</v>
      </c>
      <c r="U128">
        <v>57</v>
      </c>
      <c r="V128">
        <v>4</v>
      </c>
      <c r="W128" t="s">
        <v>28</v>
      </c>
      <c r="X128" t="s">
        <v>68</v>
      </c>
    </row>
    <row r="129" spans="1:24" x14ac:dyDescent="0.3">
      <c r="A129" t="s">
        <v>1407</v>
      </c>
      <c r="B129" t="s">
        <v>77</v>
      </c>
      <c r="C129" t="s">
        <v>78</v>
      </c>
      <c r="D129" t="str">
        <f t="shared" si="3"/>
        <v>Morning</v>
      </c>
      <c r="E129">
        <f>HOUR(EV_Data[[#This Row],[Charging Start Time]])</f>
        <v>7</v>
      </c>
      <c r="F129" s="1">
        <v>44932.291666666664</v>
      </c>
      <c r="G129" s="1">
        <v>44932.320833333331</v>
      </c>
      <c r="H129">
        <v>42</v>
      </c>
      <c r="I129">
        <v>13.49</v>
      </c>
      <c r="J129" t="str">
        <f t="shared" si="4"/>
        <v>Low</v>
      </c>
      <c r="K129" t="s">
        <v>32</v>
      </c>
      <c r="L129">
        <v>48</v>
      </c>
      <c r="M129">
        <v>86</v>
      </c>
      <c r="N129" t="str">
        <f t="shared" si="5"/>
        <v>Low Cost</v>
      </c>
      <c r="O129">
        <v>5.65</v>
      </c>
      <c r="P129" t="s">
        <v>64</v>
      </c>
      <c r="Q129" t="s">
        <v>48</v>
      </c>
      <c r="R129" t="s">
        <v>35</v>
      </c>
      <c r="S129" t="s">
        <v>193</v>
      </c>
      <c r="T129" t="s">
        <v>46</v>
      </c>
      <c r="U129">
        <v>6</v>
      </c>
      <c r="V129">
        <v>3.5</v>
      </c>
      <c r="W129" t="s">
        <v>38</v>
      </c>
      <c r="X129" t="s">
        <v>85</v>
      </c>
    </row>
    <row r="130" spans="1:24" x14ac:dyDescent="0.3">
      <c r="A130" t="s">
        <v>1408</v>
      </c>
      <c r="B130" t="s">
        <v>77</v>
      </c>
      <c r="C130" t="s">
        <v>78</v>
      </c>
      <c r="D130" t="str">
        <f t="shared" ref="D130:D193" si="6">IF(E130&lt;12,"Morning",IF(E130&lt;17,"Afternoon","Evening"))</f>
        <v>Morning</v>
      </c>
      <c r="E130">
        <f>HOUR(EV_Data[[#This Row],[Charging Start Time]])</f>
        <v>8</v>
      </c>
      <c r="F130" s="1">
        <v>44932.333333333336</v>
      </c>
      <c r="G130" s="1">
        <v>44932.381249999999</v>
      </c>
      <c r="H130">
        <v>69</v>
      </c>
      <c r="I130">
        <v>17.59</v>
      </c>
      <c r="J130" t="str">
        <f t="shared" ref="J130:J193" si="7">IF(I130&lt;20,"Low",IF(I130&lt;50,"Medium","High"))</f>
        <v>Low</v>
      </c>
      <c r="K130" t="s">
        <v>22</v>
      </c>
      <c r="L130">
        <v>8</v>
      </c>
      <c r="M130">
        <v>44</v>
      </c>
      <c r="N130" t="str">
        <f t="shared" ref="N130:N193" si="8">IF(O130&lt;8,"Low Cost",IF(O130&lt;17,"Medium Cost","High Cost"))</f>
        <v>Low Cost</v>
      </c>
      <c r="O130">
        <v>5</v>
      </c>
      <c r="P130" t="s">
        <v>64</v>
      </c>
      <c r="Q130" t="s">
        <v>48</v>
      </c>
      <c r="R130" t="s">
        <v>25</v>
      </c>
      <c r="S130" t="s">
        <v>194</v>
      </c>
      <c r="T130" t="s">
        <v>27</v>
      </c>
      <c r="U130">
        <v>68</v>
      </c>
      <c r="V130">
        <v>4.5999999999999996</v>
      </c>
      <c r="W130" t="s">
        <v>28</v>
      </c>
      <c r="X130" t="s">
        <v>68</v>
      </c>
    </row>
    <row r="131" spans="1:24" x14ac:dyDescent="0.3">
      <c r="A131" t="s">
        <v>1409</v>
      </c>
      <c r="B131" t="s">
        <v>92</v>
      </c>
      <c r="C131" t="s">
        <v>93</v>
      </c>
      <c r="D131" t="str">
        <f t="shared" si="6"/>
        <v>Morning</v>
      </c>
      <c r="E131">
        <f>HOUR(EV_Data[[#This Row],[Charging Start Time]])</f>
        <v>9</v>
      </c>
      <c r="F131" s="1">
        <v>44932.375</v>
      </c>
      <c r="G131" s="1">
        <v>44932.421527777777</v>
      </c>
      <c r="H131">
        <v>67</v>
      </c>
      <c r="I131">
        <v>36.78</v>
      </c>
      <c r="J131" t="str">
        <f t="shared" si="7"/>
        <v>Medium</v>
      </c>
      <c r="K131" t="s">
        <v>50</v>
      </c>
      <c r="L131">
        <v>62</v>
      </c>
      <c r="M131">
        <v>100</v>
      </c>
      <c r="N131" t="str">
        <f t="shared" si="8"/>
        <v>Medium Cost</v>
      </c>
      <c r="O131">
        <v>10.94</v>
      </c>
      <c r="P131" t="s">
        <v>43</v>
      </c>
      <c r="Q131" t="s">
        <v>58</v>
      </c>
      <c r="R131" t="s">
        <v>35</v>
      </c>
      <c r="S131" t="s">
        <v>195</v>
      </c>
      <c r="T131" t="s">
        <v>27</v>
      </c>
      <c r="U131">
        <v>36</v>
      </c>
      <c r="V131">
        <v>4.2</v>
      </c>
      <c r="W131" t="s">
        <v>38</v>
      </c>
    </row>
    <row r="132" spans="1:24" x14ac:dyDescent="0.3">
      <c r="A132" t="s">
        <v>1410</v>
      </c>
      <c r="B132" t="s">
        <v>92</v>
      </c>
      <c r="C132" t="s">
        <v>93</v>
      </c>
      <c r="D132" t="str">
        <f t="shared" si="6"/>
        <v>Morning</v>
      </c>
      <c r="E132">
        <f>HOUR(EV_Data[[#This Row],[Charging Start Time]])</f>
        <v>10</v>
      </c>
      <c r="F132" s="1">
        <v>44932.416666666664</v>
      </c>
      <c r="G132" s="1">
        <v>44932.446527777778</v>
      </c>
      <c r="H132">
        <v>43</v>
      </c>
      <c r="I132">
        <v>49.39</v>
      </c>
      <c r="J132" t="str">
        <f t="shared" si="7"/>
        <v>Medium</v>
      </c>
      <c r="K132" t="s">
        <v>22</v>
      </c>
      <c r="L132">
        <v>23</v>
      </c>
      <c r="M132">
        <v>48</v>
      </c>
      <c r="N132" t="str">
        <f t="shared" si="8"/>
        <v>Medium Cost</v>
      </c>
      <c r="O132">
        <v>10.19</v>
      </c>
      <c r="P132" t="s">
        <v>51</v>
      </c>
      <c r="Q132" t="s">
        <v>48</v>
      </c>
      <c r="R132" t="s">
        <v>44</v>
      </c>
      <c r="S132" t="s">
        <v>196</v>
      </c>
      <c r="T132" t="s">
        <v>60</v>
      </c>
      <c r="U132">
        <v>90</v>
      </c>
      <c r="V132">
        <v>4.8</v>
      </c>
      <c r="W132" t="s">
        <v>38</v>
      </c>
    </row>
    <row r="133" spans="1:24" x14ac:dyDescent="0.3">
      <c r="A133" t="s">
        <v>1411</v>
      </c>
      <c r="B133" t="s">
        <v>77</v>
      </c>
      <c r="C133" t="s">
        <v>78</v>
      </c>
      <c r="D133" t="str">
        <f t="shared" si="6"/>
        <v>Morning</v>
      </c>
      <c r="E133">
        <f>HOUR(EV_Data[[#This Row],[Charging Start Time]])</f>
        <v>11</v>
      </c>
      <c r="F133" s="1">
        <v>44932.458333333336</v>
      </c>
      <c r="G133" s="1">
        <v>44932.501388888893</v>
      </c>
      <c r="H133">
        <v>62</v>
      </c>
      <c r="I133">
        <v>30.57</v>
      </c>
      <c r="J133" t="str">
        <f t="shared" si="7"/>
        <v>Medium</v>
      </c>
      <c r="K133" t="s">
        <v>42</v>
      </c>
      <c r="L133">
        <v>57</v>
      </c>
      <c r="M133">
        <v>80</v>
      </c>
      <c r="N133" t="str">
        <f t="shared" si="8"/>
        <v>Medium Cost</v>
      </c>
      <c r="O133">
        <v>10.97</v>
      </c>
      <c r="P133" t="s">
        <v>64</v>
      </c>
      <c r="Q133" t="s">
        <v>58</v>
      </c>
      <c r="R133" t="s">
        <v>35</v>
      </c>
      <c r="S133" t="s">
        <v>197</v>
      </c>
      <c r="T133" t="s">
        <v>27</v>
      </c>
      <c r="U133">
        <v>61</v>
      </c>
      <c r="V133">
        <v>3.9</v>
      </c>
      <c r="W133" t="s">
        <v>38</v>
      </c>
      <c r="X133" t="s">
        <v>62</v>
      </c>
    </row>
    <row r="134" spans="1:24" x14ac:dyDescent="0.3">
      <c r="A134" t="s">
        <v>1412</v>
      </c>
      <c r="B134" t="s">
        <v>20</v>
      </c>
      <c r="C134" t="s">
        <v>21</v>
      </c>
      <c r="D134" t="str">
        <f t="shared" si="6"/>
        <v>Afternoon</v>
      </c>
      <c r="E134">
        <f>HOUR(EV_Data[[#This Row],[Charging Start Time]])</f>
        <v>12</v>
      </c>
      <c r="F134" s="1">
        <v>44932.5</v>
      </c>
      <c r="G134" s="1">
        <v>44932.500694444447</v>
      </c>
      <c r="H134">
        <v>1</v>
      </c>
      <c r="I134">
        <v>32.31</v>
      </c>
      <c r="J134" t="str">
        <f t="shared" si="7"/>
        <v>Medium</v>
      </c>
      <c r="K134" t="s">
        <v>42</v>
      </c>
      <c r="L134">
        <v>68</v>
      </c>
      <c r="M134">
        <v>96</v>
      </c>
      <c r="N134" t="str">
        <f t="shared" si="8"/>
        <v>Medium Cost</v>
      </c>
      <c r="O134">
        <v>15.97</v>
      </c>
      <c r="P134" t="s">
        <v>64</v>
      </c>
      <c r="Q134" t="s">
        <v>58</v>
      </c>
      <c r="R134" t="s">
        <v>44</v>
      </c>
      <c r="S134" t="s">
        <v>198</v>
      </c>
      <c r="T134" t="s">
        <v>60</v>
      </c>
      <c r="U134">
        <v>63</v>
      </c>
      <c r="V134">
        <v>3</v>
      </c>
      <c r="W134" t="s">
        <v>28</v>
      </c>
      <c r="X134" t="s">
        <v>68</v>
      </c>
    </row>
    <row r="135" spans="1:24" x14ac:dyDescent="0.3">
      <c r="A135" t="s">
        <v>1413</v>
      </c>
      <c r="B135" t="s">
        <v>30</v>
      </c>
      <c r="C135" t="s">
        <v>102</v>
      </c>
      <c r="D135" t="str">
        <f t="shared" si="6"/>
        <v>Afternoon</v>
      </c>
      <c r="E135">
        <f>HOUR(EV_Data[[#This Row],[Charging Start Time]])</f>
        <v>13</v>
      </c>
      <c r="F135" s="1">
        <v>44932.541666666664</v>
      </c>
      <c r="G135" s="1">
        <v>44932.572916666657</v>
      </c>
      <c r="H135">
        <v>45</v>
      </c>
      <c r="I135">
        <v>48.29</v>
      </c>
      <c r="J135" t="str">
        <f t="shared" si="7"/>
        <v>Medium</v>
      </c>
      <c r="K135" t="s">
        <v>22</v>
      </c>
      <c r="L135">
        <v>5</v>
      </c>
      <c r="M135">
        <v>29</v>
      </c>
      <c r="N135" t="str">
        <f t="shared" si="8"/>
        <v>High Cost</v>
      </c>
      <c r="O135">
        <v>22.85</v>
      </c>
      <c r="P135" t="s">
        <v>33</v>
      </c>
      <c r="Q135" t="s">
        <v>34</v>
      </c>
      <c r="R135" t="s">
        <v>56</v>
      </c>
      <c r="S135" t="s">
        <v>199</v>
      </c>
      <c r="T135" t="s">
        <v>46</v>
      </c>
      <c r="U135">
        <v>58</v>
      </c>
      <c r="V135">
        <v>4.2</v>
      </c>
      <c r="W135" t="s">
        <v>28</v>
      </c>
      <c r="X135" t="s">
        <v>68</v>
      </c>
    </row>
    <row r="136" spans="1:24" x14ac:dyDescent="0.3">
      <c r="A136" t="s">
        <v>1414</v>
      </c>
      <c r="B136" t="s">
        <v>126</v>
      </c>
      <c r="C136" t="s">
        <v>31</v>
      </c>
      <c r="D136" t="str">
        <f t="shared" si="6"/>
        <v>Afternoon</v>
      </c>
      <c r="E136">
        <f>HOUR(EV_Data[[#This Row],[Charging Start Time]])</f>
        <v>14</v>
      </c>
      <c r="F136" s="1">
        <v>44932.583333333336</v>
      </c>
      <c r="G136" s="1">
        <v>44932.634027777778</v>
      </c>
      <c r="H136">
        <v>73</v>
      </c>
      <c r="I136">
        <v>11.99</v>
      </c>
      <c r="J136" t="str">
        <f t="shared" si="7"/>
        <v>Low</v>
      </c>
      <c r="K136" t="s">
        <v>32</v>
      </c>
      <c r="L136">
        <v>26</v>
      </c>
      <c r="M136">
        <v>59</v>
      </c>
      <c r="N136" t="str">
        <f t="shared" si="8"/>
        <v>Low Cost</v>
      </c>
      <c r="O136">
        <v>4.5</v>
      </c>
      <c r="P136" t="s">
        <v>43</v>
      </c>
      <c r="Q136" t="s">
        <v>24</v>
      </c>
      <c r="R136" t="s">
        <v>25</v>
      </c>
      <c r="S136" t="s">
        <v>200</v>
      </c>
      <c r="T136" t="s">
        <v>46</v>
      </c>
      <c r="U136">
        <v>95</v>
      </c>
      <c r="V136">
        <v>2.6</v>
      </c>
      <c r="W136" t="s">
        <v>47</v>
      </c>
      <c r="X136" t="s">
        <v>29</v>
      </c>
    </row>
    <row r="137" spans="1:24" x14ac:dyDescent="0.3">
      <c r="A137" t="s">
        <v>1415</v>
      </c>
      <c r="B137" t="s">
        <v>126</v>
      </c>
      <c r="C137" t="s">
        <v>31</v>
      </c>
      <c r="D137" t="str">
        <f t="shared" si="6"/>
        <v>Afternoon</v>
      </c>
      <c r="E137">
        <f>HOUR(EV_Data[[#This Row],[Charging Start Time]])</f>
        <v>15</v>
      </c>
      <c r="F137" s="1">
        <v>44932.625</v>
      </c>
      <c r="G137" s="1">
        <v>44932.671527777777</v>
      </c>
      <c r="H137">
        <v>67</v>
      </c>
      <c r="I137">
        <v>26.29</v>
      </c>
      <c r="J137" t="str">
        <f t="shared" si="7"/>
        <v>Medium</v>
      </c>
      <c r="K137" t="s">
        <v>50</v>
      </c>
      <c r="L137">
        <v>40</v>
      </c>
      <c r="M137">
        <v>66</v>
      </c>
      <c r="N137" t="str">
        <f t="shared" si="8"/>
        <v>Low Cost</v>
      </c>
      <c r="O137">
        <v>5.85</v>
      </c>
      <c r="P137" t="s">
        <v>33</v>
      </c>
      <c r="Q137" t="s">
        <v>34</v>
      </c>
      <c r="R137" t="s">
        <v>35</v>
      </c>
      <c r="S137" t="s">
        <v>201</v>
      </c>
      <c r="T137" t="s">
        <v>60</v>
      </c>
      <c r="U137">
        <v>51</v>
      </c>
      <c r="V137">
        <v>1</v>
      </c>
      <c r="W137" t="s">
        <v>47</v>
      </c>
      <c r="X137" t="s">
        <v>29</v>
      </c>
    </row>
    <row r="138" spans="1:24" x14ac:dyDescent="0.3">
      <c r="A138" t="s">
        <v>1416</v>
      </c>
      <c r="B138" t="s">
        <v>40</v>
      </c>
      <c r="C138" t="s">
        <v>41</v>
      </c>
      <c r="D138" t="str">
        <f t="shared" si="6"/>
        <v>Afternoon</v>
      </c>
      <c r="E138">
        <f>HOUR(EV_Data[[#This Row],[Charging Start Time]])</f>
        <v>16</v>
      </c>
      <c r="F138" s="1">
        <v>44932.666666666664</v>
      </c>
      <c r="G138" s="1">
        <v>44932.713888888888</v>
      </c>
      <c r="H138">
        <v>68</v>
      </c>
      <c r="I138">
        <v>18.059999999999999</v>
      </c>
      <c r="J138" t="str">
        <f t="shared" si="7"/>
        <v>Low</v>
      </c>
      <c r="K138" t="s">
        <v>50</v>
      </c>
      <c r="L138">
        <v>13</v>
      </c>
      <c r="M138">
        <v>44</v>
      </c>
      <c r="N138" t="str">
        <f t="shared" si="8"/>
        <v>Medium Cost</v>
      </c>
      <c r="O138">
        <v>8.06</v>
      </c>
      <c r="P138" t="s">
        <v>43</v>
      </c>
      <c r="Q138" t="s">
        <v>58</v>
      </c>
      <c r="R138" t="s">
        <v>56</v>
      </c>
      <c r="S138" t="s">
        <v>202</v>
      </c>
      <c r="T138" t="s">
        <v>27</v>
      </c>
      <c r="U138">
        <v>13</v>
      </c>
      <c r="V138">
        <v>3.3</v>
      </c>
      <c r="W138" t="s">
        <v>28</v>
      </c>
      <c r="X138" t="s">
        <v>68</v>
      </c>
    </row>
    <row r="139" spans="1:24" x14ac:dyDescent="0.3">
      <c r="A139" t="s">
        <v>1417</v>
      </c>
      <c r="B139" t="s">
        <v>53</v>
      </c>
      <c r="C139" t="s">
        <v>54</v>
      </c>
      <c r="D139" t="str">
        <f t="shared" si="6"/>
        <v>Evening</v>
      </c>
      <c r="E139">
        <f>HOUR(EV_Data[[#This Row],[Charging Start Time]])</f>
        <v>17</v>
      </c>
      <c r="F139" s="1">
        <v>44932.708333333336</v>
      </c>
      <c r="G139" s="1">
        <v>44932.743750000001</v>
      </c>
      <c r="H139">
        <v>51</v>
      </c>
      <c r="I139">
        <v>42.59</v>
      </c>
      <c r="J139" t="str">
        <f t="shared" si="7"/>
        <v>Medium</v>
      </c>
      <c r="K139" t="s">
        <v>32</v>
      </c>
      <c r="L139">
        <v>55</v>
      </c>
      <c r="M139">
        <v>74</v>
      </c>
      <c r="N139" t="str">
        <f t="shared" si="8"/>
        <v>High Cost</v>
      </c>
      <c r="O139">
        <v>18.93</v>
      </c>
      <c r="P139" t="s">
        <v>64</v>
      </c>
      <c r="Q139" t="s">
        <v>48</v>
      </c>
      <c r="R139" t="s">
        <v>25</v>
      </c>
      <c r="S139" t="s">
        <v>203</v>
      </c>
      <c r="T139" t="s">
        <v>37</v>
      </c>
      <c r="U139">
        <v>56</v>
      </c>
      <c r="V139">
        <v>2.5</v>
      </c>
      <c r="W139" t="s">
        <v>38</v>
      </c>
      <c r="X139" t="s">
        <v>83</v>
      </c>
    </row>
    <row r="140" spans="1:24" x14ac:dyDescent="0.3">
      <c r="A140" t="s">
        <v>1418</v>
      </c>
      <c r="B140" t="s">
        <v>40</v>
      </c>
      <c r="C140" t="s">
        <v>41</v>
      </c>
      <c r="D140" t="str">
        <f t="shared" si="6"/>
        <v>Evening</v>
      </c>
      <c r="E140">
        <f>HOUR(EV_Data[[#This Row],[Charging Start Time]])</f>
        <v>18</v>
      </c>
      <c r="F140" s="1">
        <v>44932.75</v>
      </c>
      <c r="G140" s="1">
        <v>44932.790972222218</v>
      </c>
      <c r="H140">
        <v>59</v>
      </c>
      <c r="I140">
        <v>27.76</v>
      </c>
      <c r="J140" t="str">
        <f t="shared" si="7"/>
        <v>Medium</v>
      </c>
      <c r="K140" t="s">
        <v>22</v>
      </c>
      <c r="L140">
        <v>35</v>
      </c>
      <c r="M140">
        <v>72</v>
      </c>
      <c r="N140" t="str">
        <f t="shared" si="8"/>
        <v>Low Cost</v>
      </c>
      <c r="O140">
        <v>6.04</v>
      </c>
      <c r="P140" t="s">
        <v>43</v>
      </c>
      <c r="Q140" t="s">
        <v>24</v>
      </c>
      <c r="R140" t="s">
        <v>56</v>
      </c>
      <c r="S140" t="s">
        <v>204</v>
      </c>
      <c r="T140" t="s">
        <v>27</v>
      </c>
      <c r="U140">
        <v>16</v>
      </c>
      <c r="V140">
        <v>2.9</v>
      </c>
      <c r="W140" t="s">
        <v>47</v>
      </c>
      <c r="X140" t="s">
        <v>29</v>
      </c>
    </row>
    <row r="141" spans="1:24" x14ac:dyDescent="0.3">
      <c r="A141" t="s">
        <v>1419</v>
      </c>
      <c r="B141" t="s">
        <v>53</v>
      </c>
      <c r="C141" t="s">
        <v>54</v>
      </c>
      <c r="D141" t="str">
        <f t="shared" si="6"/>
        <v>Evening</v>
      </c>
      <c r="E141">
        <f>HOUR(EV_Data[[#This Row],[Charging Start Time]])</f>
        <v>19</v>
      </c>
      <c r="F141" s="1">
        <v>44932.791666666664</v>
      </c>
      <c r="G141" s="1">
        <v>44932.808333333327</v>
      </c>
      <c r="H141">
        <v>24</v>
      </c>
      <c r="I141">
        <v>21.89</v>
      </c>
      <c r="J141" t="str">
        <f t="shared" si="7"/>
        <v>Medium</v>
      </c>
      <c r="K141" t="s">
        <v>69</v>
      </c>
      <c r="L141">
        <v>11</v>
      </c>
      <c r="M141">
        <v>44</v>
      </c>
      <c r="N141" t="str">
        <f t="shared" si="8"/>
        <v>Low Cost</v>
      </c>
      <c r="O141">
        <v>6.11</v>
      </c>
      <c r="P141" t="s">
        <v>23</v>
      </c>
      <c r="Q141" t="s">
        <v>34</v>
      </c>
      <c r="R141" t="s">
        <v>25</v>
      </c>
      <c r="S141" t="s">
        <v>205</v>
      </c>
      <c r="T141" t="s">
        <v>46</v>
      </c>
      <c r="U141">
        <v>85</v>
      </c>
      <c r="V141">
        <v>4.0999999999999996</v>
      </c>
      <c r="W141" t="s">
        <v>47</v>
      </c>
      <c r="X141" t="s">
        <v>29</v>
      </c>
    </row>
    <row r="142" spans="1:24" x14ac:dyDescent="0.3">
      <c r="A142" t="s">
        <v>1420</v>
      </c>
      <c r="B142" t="s">
        <v>40</v>
      </c>
      <c r="C142" t="s">
        <v>41</v>
      </c>
      <c r="D142" t="str">
        <f t="shared" si="6"/>
        <v>Evening</v>
      </c>
      <c r="E142">
        <f>HOUR(EV_Data[[#This Row],[Charging Start Time]])</f>
        <v>20</v>
      </c>
      <c r="F142" s="1">
        <v>44932.833333333336</v>
      </c>
      <c r="G142" s="1">
        <v>44932.875694444447</v>
      </c>
      <c r="H142">
        <v>61</v>
      </c>
      <c r="I142">
        <v>23.63</v>
      </c>
      <c r="J142" t="str">
        <f t="shared" si="7"/>
        <v>Medium</v>
      </c>
      <c r="K142" t="s">
        <v>55</v>
      </c>
      <c r="L142">
        <v>16</v>
      </c>
      <c r="M142">
        <v>35</v>
      </c>
      <c r="N142" t="str">
        <f t="shared" si="8"/>
        <v>Medium Cost</v>
      </c>
      <c r="O142">
        <v>10.11</v>
      </c>
      <c r="P142" t="s">
        <v>64</v>
      </c>
      <c r="Q142" t="s">
        <v>48</v>
      </c>
      <c r="R142" t="s">
        <v>25</v>
      </c>
      <c r="S142" t="s">
        <v>206</v>
      </c>
      <c r="T142" t="s">
        <v>27</v>
      </c>
      <c r="U142">
        <v>87</v>
      </c>
      <c r="V142">
        <v>3.6</v>
      </c>
      <c r="W142" t="s">
        <v>47</v>
      </c>
      <c r="X142" t="s">
        <v>29</v>
      </c>
    </row>
    <row r="143" spans="1:24" x14ac:dyDescent="0.3">
      <c r="A143" t="s">
        <v>1421</v>
      </c>
      <c r="B143" t="s">
        <v>77</v>
      </c>
      <c r="C143" t="s">
        <v>78</v>
      </c>
      <c r="D143" t="str">
        <f t="shared" si="6"/>
        <v>Evening</v>
      </c>
      <c r="E143">
        <f>HOUR(EV_Data[[#This Row],[Charging Start Time]])</f>
        <v>21</v>
      </c>
      <c r="F143" s="1">
        <v>44932.875</v>
      </c>
      <c r="G143" s="1">
        <v>44932.917361111111</v>
      </c>
      <c r="H143">
        <v>61</v>
      </c>
      <c r="I143">
        <v>14.9</v>
      </c>
      <c r="J143" t="str">
        <f t="shared" si="7"/>
        <v>Low</v>
      </c>
      <c r="K143" t="s">
        <v>32</v>
      </c>
      <c r="L143">
        <v>66</v>
      </c>
      <c r="M143">
        <v>81</v>
      </c>
      <c r="N143" t="str">
        <f t="shared" si="8"/>
        <v>Low Cost</v>
      </c>
      <c r="O143">
        <v>5.92</v>
      </c>
      <c r="P143" t="s">
        <v>51</v>
      </c>
      <c r="Q143" t="s">
        <v>24</v>
      </c>
      <c r="R143" t="s">
        <v>44</v>
      </c>
      <c r="S143" t="s">
        <v>207</v>
      </c>
      <c r="T143" t="s">
        <v>46</v>
      </c>
      <c r="U143">
        <v>49</v>
      </c>
      <c r="V143">
        <v>4.8</v>
      </c>
      <c r="W143" t="s">
        <v>38</v>
      </c>
    </row>
    <row r="144" spans="1:24" x14ac:dyDescent="0.3">
      <c r="A144" t="s">
        <v>1422</v>
      </c>
      <c r="B144" t="s">
        <v>126</v>
      </c>
      <c r="C144" t="s">
        <v>31</v>
      </c>
      <c r="D144" t="str">
        <f t="shared" si="6"/>
        <v>Evening</v>
      </c>
      <c r="E144">
        <f>HOUR(EV_Data[[#This Row],[Charging Start Time]])</f>
        <v>22</v>
      </c>
      <c r="F144" s="1">
        <v>44932.916666666664</v>
      </c>
      <c r="G144" s="1">
        <v>44932.993055555547</v>
      </c>
      <c r="H144">
        <v>110</v>
      </c>
      <c r="I144">
        <v>12.52</v>
      </c>
      <c r="J144" t="str">
        <f t="shared" si="7"/>
        <v>Low</v>
      </c>
      <c r="K144" t="s">
        <v>32</v>
      </c>
      <c r="L144">
        <v>34</v>
      </c>
      <c r="M144">
        <v>58</v>
      </c>
      <c r="N144" t="str">
        <f t="shared" si="8"/>
        <v>Low Cost</v>
      </c>
      <c r="O144">
        <v>2.75</v>
      </c>
      <c r="P144" t="s">
        <v>23</v>
      </c>
      <c r="Q144" t="s">
        <v>34</v>
      </c>
      <c r="R144" t="s">
        <v>25</v>
      </c>
      <c r="S144" t="s">
        <v>208</v>
      </c>
      <c r="T144" t="s">
        <v>46</v>
      </c>
      <c r="U144">
        <v>83</v>
      </c>
      <c r="V144">
        <v>4.8</v>
      </c>
      <c r="W144" t="s">
        <v>38</v>
      </c>
      <c r="X144" t="s">
        <v>83</v>
      </c>
    </row>
    <row r="145" spans="1:24" x14ac:dyDescent="0.3">
      <c r="A145" t="s">
        <v>1423</v>
      </c>
      <c r="B145" t="s">
        <v>20</v>
      </c>
      <c r="C145" t="s">
        <v>21</v>
      </c>
      <c r="D145" t="str">
        <f t="shared" si="6"/>
        <v>Evening</v>
      </c>
      <c r="E145">
        <f>HOUR(EV_Data[[#This Row],[Charging Start Time]])</f>
        <v>23</v>
      </c>
      <c r="F145" s="1">
        <v>44932.958333333336</v>
      </c>
      <c r="G145" s="1">
        <v>44932.982638888891</v>
      </c>
      <c r="H145">
        <v>35</v>
      </c>
      <c r="I145">
        <v>16.350000000000001</v>
      </c>
      <c r="J145" t="str">
        <f t="shared" si="7"/>
        <v>Low</v>
      </c>
      <c r="K145" t="s">
        <v>55</v>
      </c>
      <c r="L145">
        <v>32</v>
      </c>
      <c r="M145">
        <v>46</v>
      </c>
      <c r="N145" t="str">
        <f t="shared" si="8"/>
        <v>Low Cost</v>
      </c>
      <c r="O145">
        <v>4.1100000000000003</v>
      </c>
      <c r="P145" t="s">
        <v>43</v>
      </c>
      <c r="Q145" t="s">
        <v>24</v>
      </c>
      <c r="R145" t="s">
        <v>44</v>
      </c>
      <c r="S145" t="s">
        <v>209</v>
      </c>
      <c r="T145" t="s">
        <v>27</v>
      </c>
      <c r="U145">
        <v>81</v>
      </c>
      <c r="V145">
        <v>1.7</v>
      </c>
      <c r="W145" t="s">
        <v>47</v>
      </c>
      <c r="X145" t="s">
        <v>29</v>
      </c>
    </row>
    <row r="146" spans="1:24" x14ac:dyDescent="0.3">
      <c r="A146" t="s">
        <v>1424</v>
      </c>
      <c r="B146" t="s">
        <v>20</v>
      </c>
      <c r="C146" t="s">
        <v>21</v>
      </c>
      <c r="D146" t="str">
        <f t="shared" si="6"/>
        <v>Morning</v>
      </c>
      <c r="E146">
        <f>HOUR(EV_Data[[#This Row],[Charging Start Time]])</f>
        <v>0</v>
      </c>
      <c r="F146" s="1">
        <v>44933</v>
      </c>
      <c r="G146" s="1">
        <v>44933.009722222218</v>
      </c>
      <c r="H146">
        <v>14</v>
      </c>
      <c r="I146">
        <v>31</v>
      </c>
      <c r="J146" t="str">
        <f t="shared" si="7"/>
        <v>Medium</v>
      </c>
      <c r="K146" t="s">
        <v>42</v>
      </c>
      <c r="L146">
        <v>37</v>
      </c>
      <c r="M146">
        <v>74</v>
      </c>
      <c r="N146" t="str">
        <f t="shared" si="8"/>
        <v>Low Cost</v>
      </c>
      <c r="O146">
        <v>7.5</v>
      </c>
      <c r="P146" t="s">
        <v>64</v>
      </c>
      <c r="Q146" t="s">
        <v>24</v>
      </c>
      <c r="R146" t="s">
        <v>25</v>
      </c>
      <c r="S146" t="s">
        <v>210</v>
      </c>
      <c r="T146" t="s">
        <v>60</v>
      </c>
      <c r="U146">
        <v>5</v>
      </c>
      <c r="V146">
        <v>3.3</v>
      </c>
      <c r="W146" t="s">
        <v>28</v>
      </c>
      <c r="X146" t="s">
        <v>68</v>
      </c>
    </row>
    <row r="147" spans="1:24" x14ac:dyDescent="0.3">
      <c r="A147" t="s">
        <v>1425</v>
      </c>
      <c r="B147" t="s">
        <v>53</v>
      </c>
      <c r="C147" t="s">
        <v>54</v>
      </c>
      <c r="D147" t="str">
        <f t="shared" si="6"/>
        <v>Morning</v>
      </c>
      <c r="E147">
        <f>HOUR(EV_Data[[#This Row],[Charging Start Time]])</f>
        <v>1</v>
      </c>
      <c r="F147" s="1">
        <v>44933.041666666664</v>
      </c>
      <c r="G147" s="1">
        <v>44933.061805555553</v>
      </c>
      <c r="H147">
        <v>29</v>
      </c>
      <c r="I147">
        <v>18.7</v>
      </c>
      <c r="J147" t="str">
        <f t="shared" si="7"/>
        <v>Low</v>
      </c>
      <c r="K147" t="s">
        <v>22</v>
      </c>
      <c r="L147">
        <v>29</v>
      </c>
      <c r="M147">
        <v>41</v>
      </c>
      <c r="N147" t="str">
        <f t="shared" si="8"/>
        <v>Low Cost</v>
      </c>
      <c r="O147">
        <v>6.95</v>
      </c>
      <c r="P147" t="s">
        <v>43</v>
      </c>
      <c r="Q147" t="s">
        <v>34</v>
      </c>
      <c r="R147" t="s">
        <v>25</v>
      </c>
      <c r="S147" t="s">
        <v>211</v>
      </c>
      <c r="T147" t="s">
        <v>46</v>
      </c>
      <c r="U147">
        <v>66</v>
      </c>
      <c r="V147">
        <v>2.1</v>
      </c>
      <c r="W147" t="s">
        <v>28</v>
      </c>
      <c r="X147" t="s">
        <v>68</v>
      </c>
    </row>
    <row r="148" spans="1:24" x14ac:dyDescent="0.3">
      <c r="A148" t="s">
        <v>1426</v>
      </c>
      <c r="B148" t="s">
        <v>71</v>
      </c>
      <c r="C148" t="s">
        <v>72</v>
      </c>
      <c r="D148" t="str">
        <f t="shared" si="6"/>
        <v>Morning</v>
      </c>
      <c r="E148">
        <f>HOUR(EV_Data[[#This Row],[Charging Start Time]])</f>
        <v>2</v>
      </c>
      <c r="F148" s="1">
        <v>44933.083333333336</v>
      </c>
      <c r="G148" s="1">
        <v>44933.118055555547</v>
      </c>
      <c r="H148">
        <v>50</v>
      </c>
      <c r="I148">
        <v>34.51</v>
      </c>
      <c r="J148" t="str">
        <f t="shared" si="7"/>
        <v>Medium</v>
      </c>
      <c r="K148" t="s">
        <v>50</v>
      </c>
      <c r="L148">
        <v>62</v>
      </c>
      <c r="M148">
        <v>76</v>
      </c>
      <c r="N148" t="str">
        <f t="shared" si="8"/>
        <v>Medium Cost</v>
      </c>
      <c r="O148">
        <v>14.15</v>
      </c>
      <c r="P148" t="s">
        <v>51</v>
      </c>
      <c r="Q148" t="s">
        <v>34</v>
      </c>
      <c r="R148" t="s">
        <v>44</v>
      </c>
      <c r="S148" t="s">
        <v>212</v>
      </c>
      <c r="T148" t="s">
        <v>37</v>
      </c>
      <c r="U148">
        <v>25</v>
      </c>
      <c r="V148">
        <v>4.3</v>
      </c>
      <c r="W148" t="s">
        <v>47</v>
      </c>
      <c r="X148" t="s">
        <v>29</v>
      </c>
    </row>
    <row r="149" spans="1:24" x14ac:dyDescent="0.3">
      <c r="A149" t="s">
        <v>1427</v>
      </c>
      <c r="B149" t="s">
        <v>40</v>
      </c>
      <c r="C149" t="s">
        <v>41</v>
      </c>
      <c r="D149" t="str">
        <f t="shared" si="6"/>
        <v>Morning</v>
      </c>
      <c r="E149">
        <f>HOUR(EV_Data[[#This Row],[Charging Start Time]])</f>
        <v>3</v>
      </c>
      <c r="F149" s="1">
        <v>44933.125</v>
      </c>
      <c r="G149" s="1">
        <v>44933.136805555558</v>
      </c>
      <c r="H149">
        <v>17</v>
      </c>
      <c r="I149">
        <v>36.75</v>
      </c>
      <c r="J149" t="str">
        <f t="shared" si="7"/>
        <v>Medium</v>
      </c>
      <c r="K149" t="s">
        <v>22</v>
      </c>
      <c r="L149">
        <v>42</v>
      </c>
      <c r="M149">
        <v>60</v>
      </c>
      <c r="N149" t="str">
        <f t="shared" si="8"/>
        <v>High Cost</v>
      </c>
      <c r="O149">
        <v>18.21</v>
      </c>
      <c r="P149" t="s">
        <v>64</v>
      </c>
      <c r="Q149" t="s">
        <v>34</v>
      </c>
      <c r="R149" t="s">
        <v>44</v>
      </c>
      <c r="S149" t="s">
        <v>213</v>
      </c>
      <c r="T149" t="s">
        <v>27</v>
      </c>
      <c r="U149">
        <v>92</v>
      </c>
      <c r="V149">
        <v>4</v>
      </c>
      <c r="W149" t="s">
        <v>38</v>
      </c>
    </row>
    <row r="150" spans="1:24" x14ac:dyDescent="0.3">
      <c r="A150" t="s">
        <v>1428</v>
      </c>
      <c r="B150" t="s">
        <v>71</v>
      </c>
      <c r="C150" t="s">
        <v>72</v>
      </c>
      <c r="D150" t="str">
        <f t="shared" si="6"/>
        <v>Morning</v>
      </c>
      <c r="E150">
        <f>HOUR(EV_Data[[#This Row],[Charging Start Time]])</f>
        <v>4</v>
      </c>
      <c r="F150" s="1">
        <v>44933.166666666664</v>
      </c>
      <c r="G150" s="1">
        <v>44933.1875</v>
      </c>
      <c r="H150">
        <v>30</v>
      </c>
      <c r="I150">
        <v>29.29</v>
      </c>
      <c r="J150" t="str">
        <f t="shared" si="7"/>
        <v>Medium</v>
      </c>
      <c r="K150" t="s">
        <v>22</v>
      </c>
      <c r="L150">
        <v>51</v>
      </c>
      <c r="M150">
        <v>77</v>
      </c>
      <c r="N150" t="str">
        <f t="shared" si="8"/>
        <v>Medium Cost</v>
      </c>
      <c r="O150">
        <v>9.9499999999999993</v>
      </c>
      <c r="P150" t="s">
        <v>33</v>
      </c>
      <c r="Q150" t="s">
        <v>24</v>
      </c>
      <c r="R150" t="s">
        <v>44</v>
      </c>
      <c r="S150" t="s">
        <v>214</v>
      </c>
      <c r="T150" t="s">
        <v>46</v>
      </c>
      <c r="U150">
        <v>64</v>
      </c>
      <c r="V150">
        <v>4</v>
      </c>
      <c r="W150" t="s">
        <v>38</v>
      </c>
      <c r="X150" t="s">
        <v>39</v>
      </c>
    </row>
    <row r="151" spans="1:24" x14ac:dyDescent="0.3">
      <c r="A151" t="s">
        <v>1429</v>
      </c>
      <c r="B151" t="s">
        <v>126</v>
      </c>
      <c r="C151" t="s">
        <v>31</v>
      </c>
      <c r="D151" t="str">
        <f t="shared" si="6"/>
        <v>Morning</v>
      </c>
      <c r="E151">
        <f>HOUR(EV_Data[[#This Row],[Charging Start Time]])</f>
        <v>5</v>
      </c>
      <c r="F151" s="1">
        <v>44933.208333333336</v>
      </c>
      <c r="G151" s="1">
        <v>44933.270833333343</v>
      </c>
      <c r="H151">
        <v>90</v>
      </c>
      <c r="I151">
        <v>17.64</v>
      </c>
      <c r="J151" t="str">
        <f t="shared" si="7"/>
        <v>Low</v>
      </c>
      <c r="K151" t="s">
        <v>42</v>
      </c>
      <c r="L151">
        <v>21</v>
      </c>
      <c r="M151">
        <v>35</v>
      </c>
      <c r="N151" t="str">
        <f t="shared" si="8"/>
        <v>Low Cost</v>
      </c>
      <c r="O151">
        <v>6.1</v>
      </c>
      <c r="P151" t="s">
        <v>43</v>
      </c>
      <c r="Q151" t="s">
        <v>34</v>
      </c>
      <c r="R151" t="s">
        <v>56</v>
      </c>
      <c r="S151" t="s">
        <v>215</v>
      </c>
      <c r="T151" t="s">
        <v>27</v>
      </c>
      <c r="U151">
        <v>7</v>
      </c>
      <c r="V151">
        <v>4.3</v>
      </c>
      <c r="W151" t="s">
        <v>38</v>
      </c>
      <c r="X151" t="s">
        <v>83</v>
      </c>
    </row>
    <row r="152" spans="1:24" x14ac:dyDescent="0.3">
      <c r="A152" t="s">
        <v>1430</v>
      </c>
      <c r="B152" t="s">
        <v>71</v>
      </c>
      <c r="C152" t="s">
        <v>72</v>
      </c>
      <c r="D152" t="str">
        <f t="shared" si="6"/>
        <v>Morning</v>
      </c>
      <c r="E152">
        <f>HOUR(EV_Data[[#This Row],[Charging Start Time]])</f>
        <v>6</v>
      </c>
      <c r="F152" s="1">
        <v>44933.25</v>
      </c>
      <c r="G152" s="1">
        <v>44933.250694444447</v>
      </c>
      <c r="H152">
        <v>1</v>
      </c>
      <c r="I152">
        <v>28.85</v>
      </c>
      <c r="J152" t="str">
        <f t="shared" si="7"/>
        <v>Medium</v>
      </c>
      <c r="K152" t="s">
        <v>69</v>
      </c>
      <c r="L152">
        <v>70</v>
      </c>
      <c r="M152">
        <v>100</v>
      </c>
      <c r="N152" t="str">
        <f t="shared" si="8"/>
        <v>Medium Cost</v>
      </c>
      <c r="O152">
        <v>10.4</v>
      </c>
      <c r="P152" t="s">
        <v>33</v>
      </c>
      <c r="Q152" t="s">
        <v>34</v>
      </c>
      <c r="R152" t="s">
        <v>44</v>
      </c>
      <c r="S152" t="s">
        <v>216</v>
      </c>
      <c r="T152" t="s">
        <v>46</v>
      </c>
      <c r="U152">
        <v>29</v>
      </c>
      <c r="V152">
        <v>4.3</v>
      </c>
      <c r="W152" t="s">
        <v>28</v>
      </c>
      <c r="X152" t="s">
        <v>68</v>
      </c>
    </row>
    <row r="153" spans="1:24" x14ac:dyDescent="0.3">
      <c r="A153" t="s">
        <v>1431</v>
      </c>
      <c r="B153" t="s">
        <v>126</v>
      </c>
      <c r="C153" t="s">
        <v>31</v>
      </c>
      <c r="D153" t="str">
        <f t="shared" si="6"/>
        <v>Morning</v>
      </c>
      <c r="E153">
        <f>HOUR(EV_Data[[#This Row],[Charging Start Time]])</f>
        <v>7</v>
      </c>
      <c r="F153" s="1">
        <v>44933.291666666664</v>
      </c>
      <c r="G153" s="1">
        <v>44933.292361111111</v>
      </c>
      <c r="H153">
        <v>1</v>
      </c>
      <c r="I153">
        <v>47.77</v>
      </c>
      <c r="J153" t="str">
        <f t="shared" si="7"/>
        <v>Medium</v>
      </c>
      <c r="K153" t="s">
        <v>42</v>
      </c>
      <c r="L153">
        <v>67</v>
      </c>
      <c r="M153">
        <v>95</v>
      </c>
      <c r="N153" t="str">
        <f t="shared" si="8"/>
        <v>Medium Cost</v>
      </c>
      <c r="O153">
        <v>13.99</v>
      </c>
      <c r="P153" t="s">
        <v>64</v>
      </c>
      <c r="Q153" t="s">
        <v>24</v>
      </c>
      <c r="R153" t="s">
        <v>25</v>
      </c>
      <c r="S153" t="s">
        <v>217</v>
      </c>
      <c r="T153" t="s">
        <v>60</v>
      </c>
      <c r="U153">
        <v>41</v>
      </c>
      <c r="V153">
        <v>1.4</v>
      </c>
      <c r="W153" t="s">
        <v>38</v>
      </c>
      <c r="X153" t="s">
        <v>39</v>
      </c>
    </row>
    <row r="154" spans="1:24" x14ac:dyDescent="0.3">
      <c r="A154" t="s">
        <v>1432</v>
      </c>
      <c r="B154" t="s">
        <v>40</v>
      </c>
      <c r="C154" t="s">
        <v>41</v>
      </c>
      <c r="D154" t="str">
        <f t="shared" si="6"/>
        <v>Morning</v>
      </c>
      <c r="E154">
        <f>HOUR(EV_Data[[#This Row],[Charging Start Time]])</f>
        <v>8</v>
      </c>
      <c r="F154" s="1">
        <v>44933.333333333336</v>
      </c>
      <c r="G154" s="1">
        <v>44933.379861111112</v>
      </c>
      <c r="H154">
        <v>67</v>
      </c>
      <c r="I154">
        <v>41.86</v>
      </c>
      <c r="J154" t="str">
        <f t="shared" si="7"/>
        <v>Medium</v>
      </c>
      <c r="K154" t="s">
        <v>22</v>
      </c>
      <c r="L154">
        <v>29</v>
      </c>
      <c r="M154">
        <v>56</v>
      </c>
      <c r="N154" t="str">
        <f t="shared" si="8"/>
        <v>Medium Cost</v>
      </c>
      <c r="O154">
        <v>14.59</v>
      </c>
      <c r="P154" t="s">
        <v>51</v>
      </c>
      <c r="Q154" t="s">
        <v>34</v>
      </c>
      <c r="R154" t="s">
        <v>25</v>
      </c>
      <c r="S154" t="s">
        <v>112</v>
      </c>
      <c r="T154" t="s">
        <v>27</v>
      </c>
      <c r="U154">
        <v>33</v>
      </c>
      <c r="V154">
        <v>4.2</v>
      </c>
      <c r="W154" t="s">
        <v>38</v>
      </c>
    </row>
    <row r="155" spans="1:24" x14ac:dyDescent="0.3">
      <c r="A155" t="s">
        <v>1433</v>
      </c>
      <c r="B155" t="s">
        <v>20</v>
      </c>
      <c r="C155" t="s">
        <v>21</v>
      </c>
      <c r="D155" t="str">
        <f t="shared" si="6"/>
        <v>Morning</v>
      </c>
      <c r="E155">
        <f>HOUR(EV_Data[[#This Row],[Charging Start Time]])</f>
        <v>9</v>
      </c>
      <c r="F155" s="1">
        <v>44933.375</v>
      </c>
      <c r="G155" s="1">
        <v>44933.427083333343</v>
      </c>
      <c r="H155">
        <v>75</v>
      </c>
      <c r="I155">
        <v>34.340000000000003</v>
      </c>
      <c r="J155" t="str">
        <f t="shared" si="7"/>
        <v>Medium</v>
      </c>
      <c r="K155" t="s">
        <v>50</v>
      </c>
      <c r="L155">
        <v>33</v>
      </c>
      <c r="M155">
        <v>48</v>
      </c>
      <c r="N155" t="str">
        <f t="shared" si="8"/>
        <v>Low Cost</v>
      </c>
      <c r="O155">
        <v>7.31</v>
      </c>
      <c r="P155" t="s">
        <v>51</v>
      </c>
      <c r="Q155" t="s">
        <v>24</v>
      </c>
      <c r="R155" t="s">
        <v>44</v>
      </c>
      <c r="S155" t="s">
        <v>218</v>
      </c>
      <c r="T155" t="s">
        <v>27</v>
      </c>
      <c r="U155">
        <v>93</v>
      </c>
      <c r="V155">
        <v>4.7</v>
      </c>
      <c r="W155" t="s">
        <v>28</v>
      </c>
      <c r="X155" t="s">
        <v>68</v>
      </c>
    </row>
    <row r="156" spans="1:24" x14ac:dyDescent="0.3">
      <c r="A156" t="s">
        <v>1434</v>
      </c>
      <c r="B156" t="s">
        <v>53</v>
      </c>
      <c r="C156" t="s">
        <v>54</v>
      </c>
      <c r="D156" t="str">
        <f t="shared" si="6"/>
        <v>Morning</v>
      </c>
      <c r="E156">
        <f>HOUR(EV_Data[[#This Row],[Charging Start Time]])</f>
        <v>10</v>
      </c>
      <c r="F156" s="1">
        <v>44933.416666666664</v>
      </c>
      <c r="G156" s="1">
        <v>44933.478472222218</v>
      </c>
      <c r="H156">
        <v>89</v>
      </c>
      <c r="I156">
        <v>33.619999999999997</v>
      </c>
      <c r="J156" t="str">
        <f t="shared" si="7"/>
        <v>Medium</v>
      </c>
      <c r="K156" t="s">
        <v>32</v>
      </c>
      <c r="L156">
        <v>77</v>
      </c>
      <c r="M156">
        <v>100</v>
      </c>
      <c r="N156" t="str">
        <f t="shared" si="8"/>
        <v>Medium Cost</v>
      </c>
      <c r="O156">
        <v>9.61</v>
      </c>
      <c r="P156" t="s">
        <v>51</v>
      </c>
      <c r="Q156" t="s">
        <v>24</v>
      </c>
      <c r="R156" t="s">
        <v>35</v>
      </c>
      <c r="S156" t="s">
        <v>219</v>
      </c>
      <c r="T156" t="s">
        <v>46</v>
      </c>
      <c r="U156">
        <v>64</v>
      </c>
      <c r="V156">
        <v>1.1000000000000001</v>
      </c>
      <c r="W156" t="s">
        <v>47</v>
      </c>
      <c r="X156" t="s">
        <v>29</v>
      </c>
    </row>
    <row r="157" spans="1:24" x14ac:dyDescent="0.3">
      <c r="A157" t="s">
        <v>1435</v>
      </c>
      <c r="B157" t="s">
        <v>71</v>
      </c>
      <c r="C157" t="s">
        <v>72</v>
      </c>
      <c r="D157" t="str">
        <f t="shared" si="6"/>
        <v>Morning</v>
      </c>
      <c r="E157">
        <f>HOUR(EV_Data[[#This Row],[Charging Start Time]])</f>
        <v>11</v>
      </c>
      <c r="F157" s="1">
        <v>44933.458333333336</v>
      </c>
      <c r="G157" s="1">
        <v>44933.466666666667</v>
      </c>
      <c r="H157">
        <v>12</v>
      </c>
      <c r="I157">
        <v>39.700000000000003</v>
      </c>
      <c r="J157" t="str">
        <f t="shared" si="7"/>
        <v>Medium</v>
      </c>
      <c r="K157" t="s">
        <v>22</v>
      </c>
      <c r="L157">
        <v>9</v>
      </c>
      <c r="M157">
        <v>39</v>
      </c>
      <c r="N157" t="str">
        <f t="shared" si="8"/>
        <v>Medium Cost</v>
      </c>
      <c r="O157">
        <v>16.98</v>
      </c>
      <c r="P157" t="s">
        <v>64</v>
      </c>
      <c r="Q157" t="s">
        <v>48</v>
      </c>
      <c r="R157" t="s">
        <v>25</v>
      </c>
      <c r="S157" t="s">
        <v>220</v>
      </c>
      <c r="T157" t="s">
        <v>60</v>
      </c>
      <c r="U157">
        <v>58</v>
      </c>
      <c r="V157">
        <v>4.9000000000000004</v>
      </c>
      <c r="W157" t="s">
        <v>38</v>
      </c>
      <c r="X157" t="s">
        <v>83</v>
      </c>
    </row>
    <row r="158" spans="1:24" x14ac:dyDescent="0.3">
      <c r="A158" t="s">
        <v>1436</v>
      </c>
      <c r="B158" t="s">
        <v>40</v>
      </c>
      <c r="C158" t="s">
        <v>41</v>
      </c>
      <c r="D158" t="str">
        <f t="shared" si="6"/>
        <v>Afternoon</v>
      </c>
      <c r="E158">
        <f>HOUR(EV_Data[[#This Row],[Charging Start Time]])</f>
        <v>12</v>
      </c>
      <c r="F158" s="1">
        <v>44933.5</v>
      </c>
      <c r="G158" s="1">
        <v>44933.550694444442</v>
      </c>
      <c r="H158">
        <v>73</v>
      </c>
      <c r="I158">
        <v>38.82</v>
      </c>
      <c r="J158" t="str">
        <f t="shared" si="7"/>
        <v>Medium</v>
      </c>
      <c r="K158" t="s">
        <v>55</v>
      </c>
      <c r="L158">
        <v>30</v>
      </c>
      <c r="M158">
        <v>63</v>
      </c>
      <c r="N158" t="str">
        <f t="shared" si="8"/>
        <v>Medium Cost</v>
      </c>
      <c r="O158">
        <v>9.99</v>
      </c>
      <c r="P158" t="s">
        <v>23</v>
      </c>
      <c r="Q158" t="s">
        <v>48</v>
      </c>
      <c r="R158" t="s">
        <v>35</v>
      </c>
      <c r="S158" t="s">
        <v>221</v>
      </c>
      <c r="T158" t="s">
        <v>46</v>
      </c>
      <c r="U158">
        <v>22</v>
      </c>
      <c r="V158">
        <v>2.2000000000000002</v>
      </c>
      <c r="W158" t="s">
        <v>38</v>
      </c>
      <c r="X158" t="s">
        <v>62</v>
      </c>
    </row>
    <row r="159" spans="1:24" x14ac:dyDescent="0.3">
      <c r="A159" t="s">
        <v>1437</v>
      </c>
      <c r="B159" t="s">
        <v>20</v>
      </c>
      <c r="C159" t="s">
        <v>21</v>
      </c>
      <c r="D159" t="str">
        <f t="shared" si="6"/>
        <v>Afternoon</v>
      </c>
      <c r="E159">
        <f>HOUR(EV_Data[[#This Row],[Charging Start Time]])</f>
        <v>13</v>
      </c>
      <c r="F159" s="1">
        <v>44933.541666666664</v>
      </c>
      <c r="G159" s="1">
        <v>44933.604861111111</v>
      </c>
      <c r="H159">
        <v>91</v>
      </c>
      <c r="I159">
        <v>44.66</v>
      </c>
      <c r="J159" t="str">
        <f t="shared" si="7"/>
        <v>Medium</v>
      </c>
      <c r="K159" t="s">
        <v>69</v>
      </c>
      <c r="L159">
        <v>79</v>
      </c>
      <c r="M159">
        <v>100</v>
      </c>
      <c r="N159" t="str">
        <f t="shared" si="8"/>
        <v>High Cost</v>
      </c>
      <c r="O159">
        <v>17.62</v>
      </c>
      <c r="P159" t="s">
        <v>51</v>
      </c>
      <c r="Q159" t="s">
        <v>58</v>
      </c>
      <c r="R159" t="s">
        <v>25</v>
      </c>
      <c r="S159" t="s">
        <v>222</v>
      </c>
      <c r="T159" t="s">
        <v>46</v>
      </c>
      <c r="U159">
        <v>39</v>
      </c>
      <c r="V159">
        <v>2.4</v>
      </c>
      <c r="W159" t="s">
        <v>28</v>
      </c>
      <c r="X159" t="s">
        <v>68</v>
      </c>
    </row>
    <row r="160" spans="1:24" x14ac:dyDescent="0.3">
      <c r="A160" t="s">
        <v>1438</v>
      </c>
      <c r="B160" t="s">
        <v>77</v>
      </c>
      <c r="C160" t="s">
        <v>78</v>
      </c>
      <c r="D160" t="str">
        <f t="shared" si="6"/>
        <v>Afternoon</v>
      </c>
      <c r="E160">
        <f>HOUR(EV_Data[[#This Row],[Charging Start Time]])</f>
        <v>14</v>
      </c>
      <c r="F160" s="1">
        <v>44933.583333333336</v>
      </c>
      <c r="G160" s="1">
        <v>44933.621527777781</v>
      </c>
      <c r="H160">
        <v>55</v>
      </c>
      <c r="I160">
        <v>37.659999999999997</v>
      </c>
      <c r="J160" t="str">
        <f t="shared" si="7"/>
        <v>Medium</v>
      </c>
      <c r="K160" t="s">
        <v>50</v>
      </c>
      <c r="L160">
        <v>57</v>
      </c>
      <c r="M160">
        <v>78</v>
      </c>
      <c r="N160" t="str">
        <f t="shared" si="8"/>
        <v>Medium Cost</v>
      </c>
      <c r="O160">
        <v>13.33</v>
      </c>
      <c r="P160" t="s">
        <v>51</v>
      </c>
      <c r="Q160" t="s">
        <v>58</v>
      </c>
      <c r="R160" t="s">
        <v>56</v>
      </c>
      <c r="S160" t="s">
        <v>223</v>
      </c>
      <c r="T160" t="s">
        <v>46</v>
      </c>
      <c r="U160">
        <v>15</v>
      </c>
      <c r="V160">
        <v>4.5</v>
      </c>
      <c r="W160" t="s">
        <v>38</v>
      </c>
    </row>
    <row r="161" spans="1:24" x14ac:dyDescent="0.3">
      <c r="A161" t="s">
        <v>1439</v>
      </c>
      <c r="B161" t="s">
        <v>30</v>
      </c>
      <c r="C161" t="s">
        <v>102</v>
      </c>
      <c r="D161" t="str">
        <f t="shared" si="6"/>
        <v>Afternoon</v>
      </c>
      <c r="E161">
        <f>HOUR(EV_Data[[#This Row],[Charging Start Time]])</f>
        <v>15</v>
      </c>
      <c r="F161" s="1">
        <v>44933.625</v>
      </c>
      <c r="G161" s="1">
        <v>44933.663194444453</v>
      </c>
      <c r="H161">
        <v>55</v>
      </c>
      <c r="I161">
        <v>11.76</v>
      </c>
      <c r="J161" t="str">
        <f t="shared" si="7"/>
        <v>Low</v>
      </c>
      <c r="K161" t="s">
        <v>32</v>
      </c>
      <c r="L161">
        <v>49</v>
      </c>
      <c r="M161">
        <v>70</v>
      </c>
      <c r="N161" t="str">
        <f t="shared" si="8"/>
        <v>Low Cost</v>
      </c>
      <c r="O161">
        <v>2.37</v>
      </c>
      <c r="P161" t="s">
        <v>43</v>
      </c>
      <c r="Q161" t="s">
        <v>48</v>
      </c>
      <c r="R161" t="s">
        <v>25</v>
      </c>
      <c r="S161" t="s">
        <v>224</v>
      </c>
      <c r="T161" t="s">
        <v>46</v>
      </c>
      <c r="U161">
        <v>90</v>
      </c>
      <c r="V161">
        <v>4.0999999999999996</v>
      </c>
      <c r="W161" t="s">
        <v>28</v>
      </c>
      <c r="X161" t="s">
        <v>68</v>
      </c>
    </row>
    <row r="162" spans="1:24" x14ac:dyDescent="0.3">
      <c r="A162" t="s">
        <v>1440</v>
      </c>
      <c r="B162" t="s">
        <v>20</v>
      </c>
      <c r="C162" t="s">
        <v>21</v>
      </c>
      <c r="D162" t="str">
        <f t="shared" si="6"/>
        <v>Afternoon</v>
      </c>
      <c r="E162">
        <f>HOUR(EV_Data[[#This Row],[Charging Start Time]])</f>
        <v>16</v>
      </c>
      <c r="F162" s="1">
        <v>44933.666666666664</v>
      </c>
      <c r="G162" s="1">
        <v>44933.673611111109</v>
      </c>
      <c r="H162">
        <v>10</v>
      </c>
      <c r="I162">
        <v>41.99</v>
      </c>
      <c r="J162" t="str">
        <f t="shared" si="7"/>
        <v>Medium</v>
      </c>
      <c r="K162" t="s">
        <v>22</v>
      </c>
      <c r="L162">
        <v>42</v>
      </c>
      <c r="M162">
        <v>64</v>
      </c>
      <c r="N162" t="str">
        <f t="shared" si="8"/>
        <v>Medium Cost</v>
      </c>
      <c r="O162">
        <v>13.12</v>
      </c>
      <c r="P162" t="s">
        <v>23</v>
      </c>
      <c r="Q162" t="s">
        <v>24</v>
      </c>
      <c r="R162" t="s">
        <v>56</v>
      </c>
      <c r="S162" t="s">
        <v>225</v>
      </c>
      <c r="T162" t="s">
        <v>60</v>
      </c>
      <c r="U162">
        <v>86</v>
      </c>
      <c r="V162">
        <v>3.7</v>
      </c>
      <c r="W162" t="s">
        <v>38</v>
      </c>
      <c r="X162" t="s">
        <v>85</v>
      </c>
    </row>
    <row r="163" spans="1:24" x14ac:dyDescent="0.3">
      <c r="A163" t="s">
        <v>1441</v>
      </c>
      <c r="B163" t="s">
        <v>77</v>
      </c>
      <c r="C163" t="s">
        <v>78</v>
      </c>
      <c r="D163" t="str">
        <f t="shared" si="6"/>
        <v>Evening</v>
      </c>
      <c r="E163">
        <f>HOUR(EV_Data[[#This Row],[Charging Start Time]])</f>
        <v>17</v>
      </c>
      <c r="F163" s="1">
        <v>44933.708333333336</v>
      </c>
      <c r="G163" s="1">
        <v>44933.752083333333</v>
      </c>
      <c r="H163">
        <v>63</v>
      </c>
      <c r="I163">
        <v>30.54</v>
      </c>
      <c r="J163" t="str">
        <f t="shared" si="7"/>
        <v>Medium</v>
      </c>
      <c r="K163" t="s">
        <v>42</v>
      </c>
      <c r="L163">
        <v>69</v>
      </c>
      <c r="M163">
        <v>88</v>
      </c>
      <c r="N163" t="str">
        <f t="shared" si="8"/>
        <v>Medium Cost</v>
      </c>
      <c r="O163">
        <v>13.09</v>
      </c>
      <c r="P163" t="s">
        <v>51</v>
      </c>
      <c r="Q163" t="s">
        <v>24</v>
      </c>
      <c r="R163" t="s">
        <v>56</v>
      </c>
      <c r="S163" t="s">
        <v>226</v>
      </c>
      <c r="T163" t="s">
        <v>60</v>
      </c>
      <c r="U163">
        <v>2</v>
      </c>
      <c r="V163">
        <v>3.9</v>
      </c>
      <c r="W163" t="s">
        <v>47</v>
      </c>
      <c r="X163" t="s">
        <v>29</v>
      </c>
    </row>
    <row r="164" spans="1:24" x14ac:dyDescent="0.3">
      <c r="A164" t="s">
        <v>1442</v>
      </c>
      <c r="B164" t="s">
        <v>40</v>
      </c>
      <c r="C164" t="s">
        <v>41</v>
      </c>
      <c r="D164" t="str">
        <f t="shared" si="6"/>
        <v>Evening</v>
      </c>
      <c r="E164">
        <f>HOUR(EV_Data[[#This Row],[Charging Start Time]])</f>
        <v>18</v>
      </c>
      <c r="F164" s="1">
        <v>44933.75</v>
      </c>
      <c r="G164" s="1">
        <v>44933.797222222223</v>
      </c>
      <c r="H164">
        <v>68</v>
      </c>
      <c r="I164">
        <v>43.72</v>
      </c>
      <c r="J164" t="str">
        <f t="shared" si="7"/>
        <v>Medium</v>
      </c>
      <c r="K164" t="s">
        <v>50</v>
      </c>
      <c r="L164">
        <v>16</v>
      </c>
      <c r="M164">
        <v>36</v>
      </c>
      <c r="N164" t="str">
        <f t="shared" si="8"/>
        <v>High Cost</v>
      </c>
      <c r="O164">
        <v>17.66</v>
      </c>
      <c r="P164" t="s">
        <v>64</v>
      </c>
      <c r="Q164" t="s">
        <v>48</v>
      </c>
      <c r="R164" t="s">
        <v>25</v>
      </c>
      <c r="S164" t="s">
        <v>227</v>
      </c>
      <c r="T164" t="s">
        <v>60</v>
      </c>
      <c r="U164">
        <v>32</v>
      </c>
      <c r="V164">
        <v>3.7</v>
      </c>
      <c r="W164" t="s">
        <v>47</v>
      </c>
      <c r="X164" t="s">
        <v>29</v>
      </c>
    </row>
    <row r="165" spans="1:24" x14ac:dyDescent="0.3">
      <c r="A165" t="s">
        <v>1443</v>
      </c>
      <c r="B165" t="s">
        <v>92</v>
      </c>
      <c r="C165" t="s">
        <v>93</v>
      </c>
      <c r="D165" t="str">
        <f t="shared" si="6"/>
        <v>Evening</v>
      </c>
      <c r="E165">
        <f>HOUR(EV_Data[[#This Row],[Charging Start Time]])</f>
        <v>19</v>
      </c>
      <c r="F165" s="1">
        <v>44933.791666666664</v>
      </c>
      <c r="G165" s="1">
        <v>44933.836805555547</v>
      </c>
      <c r="H165">
        <v>65</v>
      </c>
      <c r="I165">
        <v>41.54</v>
      </c>
      <c r="J165" t="str">
        <f t="shared" si="7"/>
        <v>Medium</v>
      </c>
      <c r="K165" t="s">
        <v>50</v>
      </c>
      <c r="L165">
        <v>58</v>
      </c>
      <c r="M165">
        <v>92</v>
      </c>
      <c r="N165" t="str">
        <f t="shared" si="8"/>
        <v>Medium Cost</v>
      </c>
      <c r="O165">
        <v>14.66</v>
      </c>
      <c r="P165" t="s">
        <v>64</v>
      </c>
      <c r="Q165" t="s">
        <v>58</v>
      </c>
      <c r="R165" t="s">
        <v>35</v>
      </c>
      <c r="S165" t="s">
        <v>228</v>
      </c>
      <c r="T165" t="s">
        <v>60</v>
      </c>
      <c r="U165">
        <v>81</v>
      </c>
      <c r="V165">
        <v>4.4000000000000004</v>
      </c>
      <c r="W165" t="s">
        <v>38</v>
      </c>
      <c r="X165" t="s">
        <v>62</v>
      </c>
    </row>
    <row r="166" spans="1:24" x14ac:dyDescent="0.3">
      <c r="A166" t="s">
        <v>1444</v>
      </c>
      <c r="B166" t="s">
        <v>126</v>
      </c>
      <c r="C166" t="s">
        <v>31</v>
      </c>
      <c r="D166" t="str">
        <f t="shared" si="6"/>
        <v>Evening</v>
      </c>
      <c r="E166">
        <f>HOUR(EV_Data[[#This Row],[Charging Start Time]])</f>
        <v>20</v>
      </c>
      <c r="F166" s="1">
        <v>44933.833333333336</v>
      </c>
      <c r="G166" s="1">
        <v>44933.878472222219</v>
      </c>
      <c r="H166">
        <v>65</v>
      </c>
      <c r="I166">
        <v>8.4499999999999993</v>
      </c>
      <c r="J166" t="str">
        <f t="shared" si="7"/>
        <v>Low</v>
      </c>
      <c r="K166" t="s">
        <v>55</v>
      </c>
      <c r="L166">
        <v>72</v>
      </c>
      <c r="M166">
        <v>100</v>
      </c>
      <c r="N166" t="str">
        <f t="shared" si="8"/>
        <v>Low Cost</v>
      </c>
      <c r="O166">
        <v>2.2599999999999998</v>
      </c>
      <c r="P166" t="s">
        <v>43</v>
      </c>
      <c r="Q166" t="s">
        <v>24</v>
      </c>
      <c r="R166" t="s">
        <v>25</v>
      </c>
      <c r="S166" t="s">
        <v>229</v>
      </c>
      <c r="T166" t="s">
        <v>27</v>
      </c>
      <c r="U166">
        <v>64</v>
      </c>
      <c r="V166">
        <v>4.2</v>
      </c>
      <c r="W166" t="s">
        <v>47</v>
      </c>
      <c r="X166" t="s">
        <v>29</v>
      </c>
    </row>
    <row r="167" spans="1:24" x14ac:dyDescent="0.3">
      <c r="A167" t="s">
        <v>1445</v>
      </c>
      <c r="B167" t="s">
        <v>77</v>
      </c>
      <c r="C167" t="s">
        <v>78</v>
      </c>
      <c r="D167" t="str">
        <f t="shared" si="6"/>
        <v>Evening</v>
      </c>
      <c r="E167">
        <f>HOUR(EV_Data[[#This Row],[Charging Start Time]])</f>
        <v>21</v>
      </c>
      <c r="F167" s="1">
        <v>44933.875</v>
      </c>
      <c r="G167" s="1">
        <v>44933.904861111107</v>
      </c>
      <c r="H167">
        <v>43</v>
      </c>
      <c r="I167">
        <v>10.62</v>
      </c>
      <c r="J167" t="str">
        <f t="shared" si="7"/>
        <v>Low</v>
      </c>
      <c r="K167" t="s">
        <v>32</v>
      </c>
      <c r="L167">
        <v>23</v>
      </c>
      <c r="M167">
        <v>57</v>
      </c>
      <c r="N167" t="str">
        <f t="shared" si="8"/>
        <v>Low Cost</v>
      </c>
      <c r="O167">
        <v>5.3</v>
      </c>
      <c r="P167" t="s">
        <v>23</v>
      </c>
      <c r="Q167" t="s">
        <v>34</v>
      </c>
      <c r="R167" t="s">
        <v>56</v>
      </c>
      <c r="S167" t="s">
        <v>230</v>
      </c>
      <c r="T167" t="s">
        <v>27</v>
      </c>
      <c r="U167">
        <v>2</v>
      </c>
      <c r="V167">
        <v>3.5</v>
      </c>
      <c r="W167" t="s">
        <v>28</v>
      </c>
      <c r="X167" t="s">
        <v>68</v>
      </c>
    </row>
    <row r="168" spans="1:24" x14ac:dyDescent="0.3">
      <c r="A168" t="s">
        <v>1446</v>
      </c>
      <c r="B168" t="s">
        <v>30</v>
      </c>
      <c r="C168" t="s">
        <v>102</v>
      </c>
      <c r="D168" t="str">
        <f t="shared" si="6"/>
        <v>Evening</v>
      </c>
      <c r="E168">
        <f>HOUR(EV_Data[[#This Row],[Charging Start Time]])</f>
        <v>22</v>
      </c>
      <c r="F168" s="1">
        <v>44933.916666666664</v>
      </c>
      <c r="G168" s="1">
        <v>44933.955555555563</v>
      </c>
      <c r="H168">
        <v>56</v>
      </c>
      <c r="I168">
        <v>36.75</v>
      </c>
      <c r="J168" t="str">
        <f t="shared" si="7"/>
        <v>Medium</v>
      </c>
      <c r="K168" t="s">
        <v>42</v>
      </c>
      <c r="L168">
        <v>70</v>
      </c>
      <c r="M168">
        <v>83</v>
      </c>
      <c r="N168" t="str">
        <f t="shared" si="8"/>
        <v>Medium Cost</v>
      </c>
      <c r="O168">
        <v>9.64</v>
      </c>
      <c r="P168" t="s">
        <v>23</v>
      </c>
      <c r="Q168" t="s">
        <v>24</v>
      </c>
      <c r="R168" t="s">
        <v>44</v>
      </c>
      <c r="S168" t="s">
        <v>231</v>
      </c>
      <c r="T168" t="s">
        <v>27</v>
      </c>
      <c r="U168">
        <v>83</v>
      </c>
      <c r="V168">
        <v>2.4</v>
      </c>
      <c r="W168" t="s">
        <v>47</v>
      </c>
      <c r="X168" t="s">
        <v>29</v>
      </c>
    </row>
    <row r="169" spans="1:24" x14ac:dyDescent="0.3">
      <c r="A169" t="s">
        <v>1447</v>
      </c>
      <c r="B169" t="s">
        <v>20</v>
      </c>
      <c r="C169" t="s">
        <v>21</v>
      </c>
      <c r="D169" t="str">
        <f t="shared" si="6"/>
        <v>Evening</v>
      </c>
      <c r="E169">
        <f>HOUR(EV_Data[[#This Row],[Charging Start Time]])</f>
        <v>23</v>
      </c>
      <c r="F169" s="1">
        <v>44933.958333333336</v>
      </c>
      <c r="G169" s="1">
        <v>44934.01458333333</v>
      </c>
      <c r="H169">
        <v>81</v>
      </c>
      <c r="I169">
        <v>36.43</v>
      </c>
      <c r="J169" t="str">
        <f t="shared" si="7"/>
        <v>Medium</v>
      </c>
      <c r="K169" t="s">
        <v>55</v>
      </c>
      <c r="L169">
        <v>36</v>
      </c>
      <c r="M169">
        <v>72</v>
      </c>
      <c r="N169" t="str">
        <f t="shared" si="8"/>
        <v>Medium Cost</v>
      </c>
      <c r="O169">
        <v>8.43</v>
      </c>
      <c r="P169" t="s">
        <v>64</v>
      </c>
      <c r="Q169" t="s">
        <v>24</v>
      </c>
      <c r="R169" t="s">
        <v>44</v>
      </c>
      <c r="S169" t="s">
        <v>232</v>
      </c>
      <c r="T169" t="s">
        <v>46</v>
      </c>
      <c r="U169">
        <v>51</v>
      </c>
      <c r="V169">
        <v>2.8</v>
      </c>
      <c r="W169" t="s">
        <v>28</v>
      </c>
      <c r="X169" t="s">
        <v>68</v>
      </c>
    </row>
    <row r="170" spans="1:24" x14ac:dyDescent="0.3">
      <c r="A170" t="s">
        <v>1448</v>
      </c>
      <c r="B170" t="s">
        <v>30</v>
      </c>
      <c r="C170" t="s">
        <v>102</v>
      </c>
      <c r="D170" t="str">
        <f t="shared" si="6"/>
        <v>Morning</v>
      </c>
      <c r="E170">
        <f>HOUR(EV_Data[[#This Row],[Charging Start Time]])</f>
        <v>0</v>
      </c>
      <c r="F170" s="1">
        <v>44934</v>
      </c>
      <c r="G170" s="1">
        <v>44934.059027777781</v>
      </c>
      <c r="H170">
        <v>85</v>
      </c>
      <c r="I170">
        <v>40.5</v>
      </c>
      <c r="J170" t="str">
        <f t="shared" si="7"/>
        <v>Medium</v>
      </c>
      <c r="K170" t="s">
        <v>69</v>
      </c>
      <c r="L170">
        <v>63</v>
      </c>
      <c r="M170">
        <v>90</v>
      </c>
      <c r="N170" t="str">
        <f t="shared" si="8"/>
        <v>Medium Cost</v>
      </c>
      <c r="O170">
        <v>10.84</v>
      </c>
      <c r="P170" t="s">
        <v>51</v>
      </c>
      <c r="Q170" t="s">
        <v>58</v>
      </c>
      <c r="R170" t="s">
        <v>25</v>
      </c>
      <c r="S170" t="s">
        <v>233</v>
      </c>
      <c r="T170" t="s">
        <v>37</v>
      </c>
      <c r="U170">
        <v>3</v>
      </c>
      <c r="V170">
        <v>2.1</v>
      </c>
      <c r="W170" t="s">
        <v>28</v>
      </c>
      <c r="X170" t="s">
        <v>68</v>
      </c>
    </row>
    <row r="171" spans="1:24" x14ac:dyDescent="0.3">
      <c r="A171" t="s">
        <v>1449</v>
      </c>
      <c r="B171" t="s">
        <v>20</v>
      </c>
      <c r="C171" t="s">
        <v>21</v>
      </c>
      <c r="D171" t="str">
        <f t="shared" si="6"/>
        <v>Morning</v>
      </c>
      <c r="E171">
        <f>HOUR(EV_Data[[#This Row],[Charging Start Time]])</f>
        <v>1</v>
      </c>
      <c r="F171" s="1">
        <v>44934.041666666664</v>
      </c>
      <c r="G171" s="1">
        <v>44934.083333333343</v>
      </c>
      <c r="H171">
        <v>60</v>
      </c>
      <c r="I171">
        <v>29.3</v>
      </c>
      <c r="J171" t="str">
        <f t="shared" si="7"/>
        <v>Medium</v>
      </c>
      <c r="K171" t="s">
        <v>55</v>
      </c>
      <c r="L171">
        <v>53</v>
      </c>
      <c r="M171">
        <v>81</v>
      </c>
      <c r="N171" t="str">
        <f t="shared" si="8"/>
        <v>Medium Cost</v>
      </c>
      <c r="O171">
        <v>14.55</v>
      </c>
      <c r="P171" t="s">
        <v>23</v>
      </c>
      <c r="Q171" t="s">
        <v>24</v>
      </c>
      <c r="R171" t="s">
        <v>35</v>
      </c>
      <c r="S171" t="s">
        <v>234</v>
      </c>
      <c r="T171" t="s">
        <v>37</v>
      </c>
      <c r="U171">
        <v>19</v>
      </c>
      <c r="V171">
        <v>2.9</v>
      </c>
      <c r="W171" t="s">
        <v>28</v>
      </c>
      <c r="X171" t="s">
        <v>68</v>
      </c>
    </row>
    <row r="172" spans="1:24" x14ac:dyDescent="0.3">
      <c r="A172" t="s">
        <v>1450</v>
      </c>
      <c r="B172" t="s">
        <v>20</v>
      </c>
      <c r="C172" t="s">
        <v>21</v>
      </c>
      <c r="D172" t="str">
        <f t="shared" si="6"/>
        <v>Morning</v>
      </c>
      <c r="E172">
        <f>HOUR(EV_Data[[#This Row],[Charging Start Time]])</f>
        <v>2</v>
      </c>
      <c r="F172" s="1">
        <v>44934.083333333336</v>
      </c>
      <c r="G172" s="1">
        <v>44934.115277777782</v>
      </c>
      <c r="H172">
        <v>46</v>
      </c>
      <c r="I172">
        <v>37.869999999999997</v>
      </c>
      <c r="J172" t="str">
        <f t="shared" si="7"/>
        <v>Medium</v>
      </c>
      <c r="K172" t="s">
        <v>42</v>
      </c>
      <c r="L172">
        <v>35</v>
      </c>
      <c r="M172">
        <v>65</v>
      </c>
      <c r="N172" t="str">
        <f t="shared" si="8"/>
        <v>Medium Cost</v>
      </c>
      <c r="O172">
        <v>12.91</v>
      </c>
      <c r="P172" t="s">
        <v>33</v>
      </c>
      <c r="Q172" t="s">
        <v>34</v>
      </c>
      <c r="R172" t="s">
        <v>56</v>
      </c>
      <c r="S172" t="s">
        <v>125</v>
      </c>
      <c r="T172" t="s">
        <v>27</v>
      </c>
      <c r="U172">
        <v>24</v>
      </c>
      <c r="V172">
        <v>1.7</v>
      </c>
      <c r="W172" t="s">
        <v>28</v>
      </c>
      <c r="X172" t="s">
        <v>68</v>
      </c>
    </row>
    <row r="173" spans="1:24" x14ac:dyDescent="0.3">
      <c r="A173" t="s">
        <v>1451</v>
      </c>
      <c r="B173" t="s">
        <v>71</v>
      </c>
      <c r="C173" t="s">
        <v>72</v>
      </c>
      <c r="D173" t="str">
        <f t="shared" si="6"/>
        <v>Morning</v>
      </c>
      <c r="E173">
        <f>HOUR(EV_Data[[#This Row],[Charging Start Time]])</f>
        <v>3</v>
      </c>
      <c r="F173" s="1">
        <v>44934.125</v>
      </c>
      <c r="G173" s="1">
        <v>44934.15902777778</v>
      </c>
      <c r="H173">
        <v>49</v>
      </c>
      <c r="I173">
        <v>47.47</v>
      </c>
      <c r="J173" t="str">
        <f t="shared" si="7"/>
        <v>Medium</v>
      </c>
      <c r="K173" t="s">
        <v>42</v>
      </c>
      <c r="L173">
        <v>52</v>
      </c>
      <c r="M173">
        <v>71</v>
      </c>
      <c r="N173" t="str">
        <f t="shared" si="8"/>
        <v>High Cost</v>
      </c>
      <c r="O173">
        <v>21.59</v>
      </c>
      <c r="P173" t="s">
        <v>33</v>
      </c>
      <c r="Q173" t="s">
        <v>58</v>
      </c>
      <c r="R173" t="s">
        <v>56</v>
      </c>
      <c r="S173" t="s">
        <v>235</v>
      </c>
      <c r="T173" t="s">
        <v>37</v>
      </c>
      <c r="U173">
        <v>92</v>
      </c>
      <c r="V173">
        <v>1.6</v>
      </c>
      <c r="W173" t="s">
        <v>28</v>
      </c>
      <c r="X173" t="s">
        <v>68</v>
      </c>
    </row>
    <row r="174" spans="1:24" x14ac:dyDescent="0.3">
      <c r="A174" t="s">
        <v>1452</v>
      </c>
      <c r="B174" t="s">
        <v>20</v>
      </c>
      <c r="C174" t="s">
        <v>21</v>
      </c>
      <c r="D174" t="str">
        <f t="shared" si="6"/>
        <v>Morning</v>
      </c>
      <c r="E174">
        <f>HOUR(EV_Data[[#This Row],[Charging Start Time]])</f>
        <v>4</v>
      </c>
      <c r="F174" s="1">
        <v>44934.166666666664</v>
      </c>
      <c r="G174" s="1">
        <v>44934.206250000003</v>
      </c>
      <c r="H174">
        <v>57</v>
      </c>
      <c r="I174">
        <v>31.02</v>
      </c>
      <c r="J174" t="str">
        <f t="shared" si="7"/>
        <v>Medium</v>
      </c>
      <c r="K174" t="s">
        <v>55</v>
      </c>
      <c r="L174">
        <v>64</v>
      </c>
      <c r="M174">
        <v>83</v>
      </c>
      <c r="N174" t="str">
        <f t="shared" si="8"/>
        <v>Medium Cost</v>
      </c>
      <c r="O174">
        <v>11.6</v>
      </c>
      <c r="P174" t="s">
        <v>64</v>
      </c>
      <c r="Q174" t="s">
        <v>48</v>
      </c>
      <c r="R174" t="s">
        <v>56</v>
      </c>
      <c r="S174" t="s">
        <v>236</v>
      </c>
      <c r="T174" t="s">
        <v>27</v>
      </c>
      <c r="U174">
        <v>100</v>
      </c>
      <c r="V174">
        <v>4</v>
      </c>
      <c r="W174" t="s">
        <v>38</v>
      </c>
      <c r="X174" t="s">
        <v>85</v>
      </c>
    </row>
    <row r="175" spans="1:24" x14ac:dyDescent="0.3">
      <c r="A175" t="s">
        <v>1453</v>
      </c>
      <c r="B175" t="s">
        <v>20</v>
      </c>
      <c r="C175" t="s">
        <v>21</v>
      </c>
      <c r="D175" t="str">
        <f t="shared" si="6"/>
        <v>Morning</v>
      </c>
      <c r="E175">
        <f>HOUR(EV_Data[[#This Row],[Charging Start Time]])</f>
        <v>5</v>
      </c>
      <c r="F175" s="1">
        <v>44934.208333333336</v>
      </c>
      <c r="G175" s="1">
        <v>44934.240972222222</v>
      </c>
      <c r="H175">
        <v>47</v>
      </c>
      <c r="I175">
        <v>32.81</v>
      </c>
      <c r="J175" t="str">
        <f t="shared" si="7"/>
        <v>Medium</v>
      </c>
      <c r="K175" t="s">
        <v>50</v>
      </c>
      <c r="L175">
        <v>9</v>
      </c>
      <c r="M175">
        <v>33</v>
      </c>
      <c r="N175" t="str">
        <f t="shared" si="8"/>
        <v>Medium Cost</v>
      </c>
      <c r="O175">
        <v>9.9700000000000006</v>
      </c>
      <c r="P175" t="s">
        <v>64</v>
      </c>
      <c r="Q175" t="s">
        <v>48</v>
      </c>
      <c r="R175" t="s">
        <v>44</v>
      </c>
      <c r="S175" t="s">
        <v>237</v>
      </c>
      <c r="T175" t="s">
        <v>37</v>
      </c>
      <c r="U175">
        <v>3</v>
      </c>
      <c r="V175">
        <v>4.5999999999999996</v>
      </c>
      <c r="W175" t="s">
        <v>38</v>
      </c>
    </row>
    <row r="176" spans="1:24" x14ac:dyDescent="0.3">
      <c r="A176" t="s">
        <v>1454</v>
      </c>
      <c r="B176" t="s">
        <v>126</v>
      </c>
      <c r="C176" t="s">
        <v>31</v>
      </c>
      <c r="D176" t="str">
        <f t="shared" si="6"/>
        <v>Morning</v>
      </c>
      <c r="E176">
        <f>HOUR(EV_Data[[#This Row],[Charging Start Time]])</f>
        <v>6</v>
      </c>
      <c r="F176" s="1">
        <v>44934.25</v>
      </c>
      <c r="G176" s="1">
        <v>44934.275000000001</v>
      </c>
      <c r="H176">
        <v>36</v>
      </c>
      <c r="I176">
        <v>22.83</v>
      </c>
      <c r="J176" t="str">
        <f t="shared" si="7"/>
        <v>Medium</v>
      </c>
      <c r="K176" t="s">
        <v>22</v>
      </c>
      <c r="L176">
        <v>20</v>
      </c>
      <c r="M176">
        <v>57</v>
      </c>
      <c r="N176" t="str">
        <f t="shared" si="8"/>
        <v>Medium Cost</v>
      </c>
      <c r="O176">
        <v>8.17</v>
      </c>
      <c r="P176" t="s">
        <v>33</v>
      </c>
      <c r="Q176" t="s">
        <v>34</v>
      </c>
      <c r="R176" t="s">
        <v>44</v>
      </c>
      <c r="S176" t="s">
        <v>238</v>
      </c>
      <c r="T176" t="s">
        <v>60</v>
      </c>
      <c r="U176">
        <v>29</v>
      </c>
      <c r="V176">
        <v>1</v>
      </c>
      <c r="W176" t="s">
        <v>28</v>
      </c>
      <c r="X176" t="s">
        <v>68</v>
      </c>
    </row>
    <row r="177" spans="1:24" x14ac:dyDescent="0.3">
      <c r="A177" t="s">
        <v>1455</v>
      </c>
      <c r="B177" t="s">
        <v>92</v>
      </c>
      <c r="C177" t="s">
        <v>93</v>
      </c>
      <c r="D177" t="str">
        <f t="shared" si="6"/>
        <v>Morning</v>
      </c>
      <c r="E177">
        <f>HOUR(EV_Data[[#This Row],[Charging Start Time]])</f>
        <v>7</v>
      </c>
      <c r="F177" s="1">
        <v>44934.291666666664</v>
      </c>
      <c r="G177" s="1">
        <v>44934.332638888889</v>
      </c>
      <c r="H177">
        <v>59</v>
      </c>
      <c r="I177">
        <v>11.58</v>
      </c>
      <c r="J177" t="str">
        <f t="shared" si="7"/>
        <v>Low</v>
      </c>
      <c r="K177" t="s">
        <v>22</v>
      </c>
      <c r="L177">
        <v>67</v>
      </c>
      <c r="M177">
        <v>99</v>
      </c>
      <c r="N177" t="str">
        <f t="shared" si="8"/>
        <v>Low Cost</v>
      </c>
      <c r="O177">
        <v>3.3</v>
      </c>
      <c r="P177" t="s">
        <v>43</v>
      </c>
      <c r="Q177" t="s">
        <v>58</v>
      </c>
      <c r="R177" t="s">
        <v>25</v>
      </c>
      <c r="S177" t="s">
        <v>239</v>
      </c>
      <c r="T177" t="s">
        <v>60</v>
      </c>
      <c r="U177">
        <v>26</v>
      </c>
      <c r="V177">
        <v>1.5</v>
      </c>
      <c r="W177" t="s">
        <v>38</v>
      </c>
      <c r="X177" t="s">
        <v>83</v>
      </c>
    </row>
    <row r="178" spans="1:24" x14ac:dyDescent="0.3">
      <c r="A178" t="s">
        <v>1456</v>
      </c>
      <c r="B178" t="s">
        <v>30</v>
      </c>
      <c r="C178" t="s">
        <v>102</v>
      </c>
      <c r="D178" t="str">
        <f t="shared" si="6"/>
        <v>Morning</v>
      </c>
      <c r="E178">
        <f>HOUR(EV_Data[[#This Row],[Charging Start Time]])</f>
        <v>8</v>
      </c>
      <c r="F178" s="1">
        <v>44934.333333333336</v>
      </c>
      <c r="G178" s="1">
        <v>44934.368055555547</v>
      </c>
      <c r="H178">
        <v>50</v>
      </c>
      <c r="I178">
        <v>48.85</v>
      </c>
      <c r="J178" t="str">
        <f t="shared" si="7"/>
        <v>Medium</v>
      </c>
      <c r="K178" t="s">
        <v>42</v>
      </c>
      <c r="L178">
        <v>49</v>
      </c>
      <c r="M178">
        <v>61</v>
      </c>
      <c r="N178" t="str">
        <f t="shared" si="8"/>
        <v>Medium Cost</v>
      </c>
      <c r="O178">
        <v>10.27</v>
      </c>
      <c r="P178" t="s">
        <v>51</v>
      </c>
      <c r="Q178" t="s">
        <v>34</v>
      </c>
      <c r="R178" t="s">
        <v>25</v>
      </c>
      <c r="S178" t="s">
        <v>199</v>
      </c>
      <c r="T178" t="s">
        <v>60</v>
      </c>
      <c r="U178">
        <v>23</v>
      </c>
      <c r="V178">
        <v>1.1000000000000001</v>
      </c>
      <c r="W178" t="s">
        <v>38</v>
      </c>
      <c r="X178" t="s">
        <v>85</v>
      </c>
    </row>
    <row r="179" spans="1:24" x14ac:dyDescent="0.3">
      <c r="A179" t="s">
        <v>1457</v>
      </c>
      <c r="B179" t="s">
        <v>92</v>
      </c>
      <c r="C179" t="s">
        <v>93</v>
      </c>
      <c r="D179" t="str">
        <f t="shared" si="6"/>
        <v>Morning</v>
      </c>
      <c r="E179">
        <f>HOUR(EV_Data[[#This Row],[Charging Start Time]])</f>
        <v>9</v>
      </c>
      <c r="F179" s="1">
        <v>44934.375</v>
      </c>
      <c r="G179" s="1">
        <v>44934.408333333333</v>
      </c>
      <c r="H179">
        <v>48</v>
      </c>
      <c r="I179">
        <v>39.42</v>
      </c>
      <c r="J179" t="str">
        <f t="shared" si="7"/>
        <v>Medium</v>
      </c>
      <c r="K179" t="s">
        <v>42</v>
      </c>
      <c r="L179">
        <v>77</v>
      </c>
      <c r="M179">
        <v>94</v>
      </c>
      <c r="N179" t="str">
        <f t="shared" si="8"/>
        <v>High Cost</v>
      </c>
      <c r="O179">
        <v>19.16</v>
      </c>
      <c r="P179" t="s">
        <v>51</v>
      </c>
      <c r="Q179" t="s">
        <v>34</v>
      </c>
      <c r="R179" t="s">
        <v>56</v>
      </c>
      <c r="S179" t="s">
        <v>240</v>
      </c>
      <c r="T179" t="s">
        <v>46</v>
      </c>
      <c r="U179">
        <v>10</v>
      </c>
      <c r="V179">
        <v>1</v>
      </c>
      <c r="W179" t="s">
        <v>47</v>
      </c>
      <c r="X179" t="s">
        <v>29</v>
      </c>
    </row>
    <row r="180" spans="1:24" x14ac:dyDescent="0.3">
      <c r="A180" t="s">
        <v>1458</v>
      </c>
      <c r="B180" t="s">
        <v>92</v>
      </c>
      <c r="C180" t="s">
        <v>93</v>
      </c>
      <c r="D180" t="str">
        <f t="shared" si="6"/>
        <v>Morning</v>
      </c>
      <c r="E180">
        <f>HOUR(EV_Data[[#This Row],[Charging Start Time]])</f>
        <v>10</v>
      </c>
      <c r="F180" s="1">
        <v>44934.416666666664</v>
      </c>
      <c r="G180" s="1">
        <v>44934.455555555563</v>
      </c>
      <c r="H180">
        <v>56</v>
      </c>
      <c r="I180">
        <v>39.46</v>
      </c>
      <c r="J180" t="str">
        <f t="shared" si="7"/>
        <v>Medium</v>
      </c>
      <c r="K180" t="s">
        <v>22</v>
      </c>
      <c r="L180">
        <v>18</v>
      </c>
      <c r="M180">
        <v>38</v>
      </c>
      <c r="N180" t="str">
        <f t="shared" si="8"/>
        <v>Medium Cost</v>
      </c>
      <c r="O180">
        <v>14.55</v>
      </c>
      <c r="P180" t="s">
        <v>33</v>
      </c>
      <c r="Q180" t="s">
        <v>34</v>
      </c>
      <c r="R180" t="s">
        <v>25</v>
      </c>
      <c r="S180" t="s">
        <v>241</v>
      </c>
      <c r="T180" t="s">
        <v>27</v>
      </c>
      <c r="U180">
        <v>90</v>
      </c>
      <c r="V180">
        <v>2.5</v>
      </c>
      <c r="W180" t="s">
        <v>28</v>
      </c>
      <c r="X180" t="s">
        <v>68</v>
      </c>
    </row>
    <row r="181" spans="1:24" x14ac:dyDescent="0.3">
      <c r="A181" t="s">
        <v>1459</v>
      </c>
      <c r="B181" t="s">
        <v>53</v>
      </c>
      <c r="C181" t="s">
        <v>54</v>
      </c>
      <c r="D181" t="str">
        <f t="shared" si="6"/>
        <v>Morning</v>
      </c>
      <c r="E181">
        <f>HOUR(EV_Data[[#This Row],[Charging Start Time]])</f>
        <v>11</v>
      </c>
      <c r="F181" s="1">
        <v>44934.458333333336</v>
      </c>
      <c r="G181" s="1">
        <v>44934.486805555563</v>
      </c>
      <c r="H181">
        <v>41</v>
      </c>
      <c r="I181">
        <v>39.28</v>
      </c>
      <c r="J181" t="str">
        <f t="shared" si="7"/>
        <v>Medium</v>
      </c>
      <c r="K181" t="s">
        <v>69</v>
      </c>
      <c r="L181">
        <v>49</v>
      </c>
      <c r="M181">
        <v>63</v>
      </c>
      <c r="N181" t="str">
        <f t="shared" si="8"/>
        <v>Medium Cost</v>
      </c>
      <c r="O181">
        <v>9.18</v>
      </c>
      <c r="P181" t="s">
        <v>51</v>
      </c>
      <c r="Q181" t="s">
        <v>34</v>
      </c>
      <c r="R181" t="s">
        <v>56</v>
      </c>
      <c r="S181" t="s">
        <v>242</v>
      </c>
      <c r="T181" t="s">
        <v>27</v>
      </c>
      <c r="U181">
        <v>82</v>
      </c>
      <c r="V181">
        <v>1.6</v>
      </c>
      <c r="W181" t="s">
        <v>28</v>
      </c>
      <c r="X181" t="s">
        <v>68</v>
      </c>
    </row>
    <row r="182" spans="1:24" x14ac:dyDescent="0.3">
      <c r="A182" t="s">
        <v>1460</v>
      </c>
      <c r="B182" t="s">
        <v>92</v>
      </c>
      <c r="C182" t="s">
        <v>93</v>
      </c>
      <c r="D182" t="str">
        <f t="shared" si="6"/>
        <v>Afternoon</v>
      </c>
      <c r="E182">
        <f>HOUR(EV_Data[[#This Row],[Charging Start Time]])</f>
        <v>12</v>
      </c>
      <c r="F182" s="1">
        <v>44934.5</v>
      </c>
      <c r="G182" s="1">
        <v>44934.540277777778</v>
      </c>
      <c r="H182">
        <v>58</v>
      </c>
      <c r="I182">
        <v>40.46</v>
      </c>
      <c r="J182" t="str">
        <f t="shared" si="7"/>
        <v>Medium</v>
      </c>
      <c r="K182" t="s">
        <v>50</v>
      </c>
      <c r="L182">
        <v>60</v>
      </c>
      <c r="M182">
        <v>80</v>
      </c>
      <c r="N182" t="str">
        <f t="shared" si="8"/>
        <v>High Cost</v>
      </c>
      <c r="O182">
        <v>17.18</v>
      </c>
      <c r="P182" t="s">
        <v>43</v>
      </c>
      <c r="Q182" t="s">
        <v>34</v>
      </c>
      <c r="R182" t="s">
        <v>44</v>
      </c>
      <c r="S182" t="s">
        <v>243</v>
      </c>
      <c r="T182" t="s">
        <v>37</v>
      </c>
      <c r="U182">
        <v>8</v>
      </c>
      <c r="V182">
        <v>4.4000000000000004</v>
      </c>
      <c r="W182" t="s">
        <v>38</v>
      </c>
      <c r="X182" t="s">
        <v>83</v>
      </c>
    </row>
    <row r="183" spans="1:24" x14ac:dyDescent="0.3">
      <c r="A183" t="s">
        <v>1461</v>
      </c>
      <c r="B183" t="s">
        <v>30</v>
      </c>
      <c r="C183" t="s">
        <v>102</v>
      </c>
      <c r="D183" t="str">
        <f t="shared" si="6"/>
        <v>Afternoon</v>
      </c>
      <c r="E183">
        <f>HOUR(EV_Data[[#This Row],[Charging Start Time]])</f>
        <v>13</v>
      </c>
      <c r="F183" s="1">
        <v>44934.541666666664</v>
      </c>
      <c r="G183" s="1">
        <v>44934.564583333333</v>
      </c>
      <c r="H183">
        <v>33</v>
      </c>
      <c r="I183">
        <v>38.29</v>
      </c>
      <c r="J183" t="str">
        <f t="shared" si="7"/>
        <v>Medium</v>
      </c>
      <c r="K183" t="s">
        <v>69</v>
      </c>
      <c r="L183">
        <v>51</v>
      </c>
      <c r="M183">
        <v>78</v>
      </c>
      <c r="N183" t="str">
        <f t="shared" si="8"/>
        <v>High Cost</v>
      </c>
      <c r="O183">
        <v>18.670000000000002</v>
      </c>
      <c r="P183" t="s">
        <v>33</v>
      </c>
      <c r="Q183" t="s">
        <v>58</v>
      </c>
      <c r="R183" t="s">
        <v>44</v>
      </c>
      <c r="S183" t="s">
        <v>244</v>
      </c>
      <c r="T183" t="s">
        <v>46</v>
      </c>
      <c r="U183">
        <v>45</v>
      </c>
      <c r="V183">
        <v>4.0999999999999996</v>
      </c>
      <c r="W183" t="s">
        <v>38</v>
      </c>
      <c r="X183" t="s">
        <v>39</v>
      </c>
    </row>
    <row r="184" spans="1:24" x14ac:dyDescent="0.3">
      <c r="A184" t="s">
        <v>1462</v>
      </c>
      <c r="B184" t="s">
        <v>71</v>
      </c>
      <c r="C184" t="s">
        <v>72</v>
      </c>
      <c r="D184" t="str">
        <f t="shared" si="6"/>
        <v>Afternoon</v>
      </c>
      <c r="E184">
        <f>HOUR(EV_Data[[#This Row],[Charging Start Time]])</f>
        <v>14</v>
      </c>
      <c r="F184" s="1">
        <v>44934.583333333336</v>
      </c>
      <c r="G184" s="1">
        <v>44934.607638888891</v>
      </c>
      <c r="H184">
        <v>35</v>
      </c>
      <c r="I184">
        <v>19</v>
      </c>
      <c r="J184" t="str">
        <f t="shared" si="7"/>
        <v>Low</v>
      </c>
      <c r="K184" t="s">
        <v>69</v>
      </c>
      <c r="L184">
        <v>34</v>
      </c>
      <c r="M184">
        <v>68</v>
      </c>
      <c r="N184" t="str">
        <f t="shared" si="8"/>
        <v>Medium Cost</v>
      </c>
      <c r="O184">
        <v>8.92</v>
      </c>
      <c r="P184" t="s">
        <v>23</v>
      </c>
      <c r="Q184" t="s">
        <v>34</v>
      </c>
      <c r="R184" t="s">
        <v>44</v>
      </c>
      <c r="S184" t="s">
        <v>143</v>
      </c>
      <c r="T184" t="s">
        <v>46</v>
      </c>
      <c r="U184">
        <v>44</v>
      </c>
      <c r="V184">
        <v>2.1</v>
      </c>
      <c r="W184" t="s">
        <v>47</v>
      </c>
      <c r="X184" t="s">
        <v>29</v>
      </c>
    </row>
    <row r="185" spans="1:24" x14ac:dyDescent="0.3">
      <c r="A185" t="s">
        <v>1463</v>
      </c>
      <c r="B185" t="s">
        <v>92</v>
      </c>
      <c r="C185" t="s">
        <v>93</v>
      </c>
      <c r="D185" t="str">
        <f t="shared" si="6"/>
        <v>Afternoon</v>
      </c>
      <c r="E185">
        <f>HOUR(EV_Data[[#This Row],[Charging Start Time]])</f>
        <v>15</v>
      </c>
      <c r="F185" s="1">
        <v>44934.625</v>
      </c>
      <c r="G185" s="1">
        <v>44934.63958333333</v>
      </c>
      <c r="H185">
        <v>21</v>
      </c>
      <c r="I185">
        <v>36.93</v>
      </c>
      <c r="J185" t="str">
        <f t="shared" si="7"/>
        <v>Medium</v>
      </c>
      <c r="K185" t="s">
        <v>55</v>
      </c>
      <c r="L185">
        <v>65</v>
      </c>
      <c r="M185">
        <v>98</v>
      </c>
      <c r="N185" t="str">
        <f t="shared" si="8"/>
        <v>Medium Cost</v>
      </c>
      <c r="O185">
        <v>10.119999999999999</v>
      </c>
      <c r="P185" t="s">
        <v>33</v>
      </c>
      <c r="Q185" t="s">
        <v>24</v>
      </c>
      <c r="R185" t="s">
        <v>56</v>
      </c>
      <c r="S185" t="s">
        <v>245</v>
      </c>
      <c r="T185" t="s">
        <v>60</v>
      </c>
      <c r="U185">
        <v>40</v>
      </c>
      <c r="V185">
        <v>3.3</v>
      </c>
      <c r="W185" t="s">
        <v>38</v>
      </c>
      <c r="X185" t="s">
        <v>62</v>
      </c>
    </row>
    <row r="186" spans="1:24" x14ac:dyDescent="0.3">
      <c r="A186" t="s">
        <v>1464</v>
      </c>
      <c r="B186" t="s">
        <v>40</v>
      </c>
      <c r="C186" t="s">
        <v>41</v>
      </c>
      <c r="D186" t="str">
        <f t="shared" si="6"/>
        <v>Afternoon</v>
      </c>
      <c r="E186">
        <f>HOUR(EV_Data[[#This Row],[Charging Start Time]])</f>
        <v>16</v>
      </c>
      <c r="F186" s="1">
        <v>44934.666666666664</v>
      </c>
      <c r="G186" s="1">
        <v>44934.699305555558</v>
      </c>
      <c r="H186">
        <v>47</v>
      </c>
      <c r="I186">
        <v>9.83</v>
      </c>
      <c r="J186" t="str">
        <f t="shared" si="7"/>
        <v>Low</v>
      </c>
      <c r="K186" t="s">
        <v>42</v>
      </c>
      <c r="L186">
        <v>18</v>
      </c>
      <c r="M186">
        <v>56</v>
      </c>
      <c r="N186" t="str">
        <f t="shared" si="8"/>
        <v>Low Cost</v>
      </c>
      <c r="O186">
        <v>2.0499999999999998</v>
      </c>
      <c r="P186" t="s">
        <v>43</v>
      </c>
      <c r="Q186" t="s">
        <v>24</v>
      </c>
      <c r="R186" t="s">
        <v>25</v>
      </c>
      <c r="S186" t="s">
        <v>246</v>
      </c>
      <c r="T186" t="s">
        <v>46</v>
      </c>
      <c r="U186">
        <v>41</v>
      </c>
      <c r="V186">
        <v>1.1000000000000001</v>
      </c>
      <c r="W186" t="s">
        <v>38</v>
      </c>
    </row>
    <row r="187" spans="1:24" x14ac:dyDescent="0.3">
      <c r="A187" t="s">
        <v>1465</v>
      </c>
      <c r="B187" t="s">
        <v>40</v>
      </c>
      <c r="C187" t="s">
        <v>41</v>
      </c>
      <c r="D187" t="str">
        <f t="shared" si="6"/>
        <v>Evening</v>
      </c>
      <c r="E187">
        <f>HOUR(EV_Data[[#This Row],[Charging Start Time]])</f>
        <v>17</v>
      </c>
      <c r="F187" s="1">
        <v>44934.708333333336</v>
      </c>
      <c r="G187" s="1">
        <v>44934.768750000003</v>
      </c>
      <c r="H187">
        <v>87</v>
      </c>
      <c r="I187">
        <v>20.79</v>
      </c>
      <c r="J187" t="str">
        <f t="shared" si="7"/>
        <v>Medium</v>
      </c>
      <c r="K187" t="s">
        <v>32</v>
      </c>
      <c r="L187">
        <v>22</v>
      </c>
      <c r="M187">
        <v>38</v>
      </c>
      <c r="N187" t="str">
        <f t="shared" si="8"/>
        <v>Low Cost</v>
      </c>
      <c r="O187">
        <v>5.26</v>
      </c>
      <c r="P187" t="s">
        <v>23</v>
      </c>
      <c r="Q187" t="s">
        <v>48</v>
      </c>
      <c r="R187" t="s">
        <v>35</v>
      </c>
      <c r="S187" t="s">
        <v>247</v>
      </c>
      <c r="T187" t="s">
        <v>37</v>
      </c>
      <c r="U187">
        <v>29</v>
      </c>
      <c r="V187">
        <v>4</v>
      </c>
      <c r="W187" t="s">
        <v>47</v>
      </c>
      <c r="X187" t="s">
        <v>29</v>
      </c>
    </row>
    <row r="188" spans="1:24" x14ac:dyDescent="0.3">
      <c r="A188" t="s">
        <v>1466</v>
      </c>
      <c r="B188" t="s">
        <v>40</v>
      </c>
      <c r="C188" t="s">
        <v>41</v>
      </c>
      <c r="D188" t="str">
        <f t="shared" si="6"/>
        <v>Evening</v>
      </c>
      <c r="E188">
        <f>HOUR(EV_Data[[#This Row],[Charging Start Time]])</f>
        <v>18</v>
      </c>
      <c r="F188" s="1">
        <v>44934.75</v>
      </c>
      <c r="G188" s="1">
        <v>44934.782638888893</v>
      </c>
      <c r="H188">
        <v>47</v>
      </c>
      <c r="I188">
        <v>37.6</v>
      </c>
      <c r="J188" t="str">
        <f t="shared" si="7"/>
        <v>Medium</v>
      </c>
      <c r="K188" t="s">
        <v>42</v>
      </c>
      <c r="L188">
        <v>73</v>
      </c>
      <c r="M188">
        <v>100</v>
      </c>
      <c r="N188" t="str">
        <f t="shared" si="8"/>
        <v>Medium Cost</v>
      </c>
      <c r="O188">
        <v>9.57</v>
      </c>
      <c r="P188" t="s">
        <v>51</v>
      </c>
      <c r="Q188" t="s">
        <v>24</v>
      </c>
      <c r="R188" t="s">
        <v>35</v>
      </c>
      <c r="S188" t="s">
        <v>248</v>
      </c>
      <c r="T188" t="s">
        <v>27</v>
      </c>
      <c r="U188">
        <v>77</v>
      </c>
      <c r="V188">
        <v>4.0999999999999996</v>
      </c>
      <c r="W188" t="s">
        <v>47</v>
      </c>
      <c r="X188" t="s">
        <v>29</v>
      </c>
    </row>
    <row r="189" spans="1:24" x14ac:dyDescent="0.3">
      <c r="A189" t="s">
        <v>1467</v>
      </c>
      <c r="B189" t="s">
        <v>53</v>
      </c>
      <c r="C189" t="s">
        <v>54</v>
      </c>
      <c r="D189" t="str">
        <f t="shared" si="6"/>
        <v>Evening</v>
      </c>
      <c r="E189">
        <f>HOUR(EV_Data[[#This Row],[Charging Start Time]])</f>
        <v>19</v>
      </c>
      <c r="F189" s="1">
        <v>44934.791666666664</v>
      </c>
      <c r="G189" s="1">
        <v>44934.834027777782</v>
      </c>
      <c r="H189">
        <v>61</v>
      </c>
      <c r="I189">
        <v>22.97</v>
      </c>
      <c r="J189" t="str">
        <f t="shared" si="7"/>
        <v>Medium</v>
      </c>
      <c r="K189" t="s">
        <v>22</v>
      </c>
      <c r="L189">
        <v>72</v>
      </c>
      <c r="M189">
        <v>100</v>
      </c>
      <c r="N189" t="str">
        <f t="shared" si="8"/>
        <v>Low Cost</v>
      </c>
      <c r="O189">
        <v>6.9</v>
      </c>
      <c r="P189" t="s">
        <v>33</v>
      </c>
      <c r="Q189" t="s">
        <v>58</v>
      </c>
      <c r="R189" t="s">
        <v>44</v>
      </c>
      <c r="S189" t="s">
        <v>249</v>
      </c>
      <c r="T189" t="s">
        <v>27</v>
      </c>
      <c r="U189">
        <v>21</v>
      </c>
      <c r="V189">
        <v>3.1</v>
      </c>
      <c r="W189" t="s">
        <v>38</v>
      </c>
      <c r="X189" t="s">
        <v>39</v>
      </c>
    </row>
    <row r="190" spans="1:24" x14ac:dyDescent="0.3">
      <c r="A190" t="s">
        <v>1468</v>
      </c>
      <c r="B190" t="s">
        <v>40</v>
      </c>
      <c r="C190" t="s">
        <v>41</v>
      </c>
      <c r="D190" t="str">
        <f t="shared" si="6"/>
        <v>Evening</v>
      </c>
      <c r="E190">
        <f>HOUR(EV_Data[[#This Row],[Charging Start Time]])</f>
        <v>20</v>
      </c>
      <c r="F190" s="1">
        <v>44934.833333333336</v>
      </c>
      <c r="G190" s="1">
        <v>44934.888194444437</v>
      </c>
      <c r="H190">
        <v>79</v>
      </c>
      <c r="I190">
        <v>43.51</v>
      </c>
      <c r="J190" t="str">
        <f t="shared" si="7"/>
        <v>Medium</v>
      </c>
      <c r="K190" t="s">
        <v>69</v>
      </c>
      <c r="L190">
        <v>44</v>
      </c>
      <c r="M190">
        <v>66</v>
      </c>
      <c r="N190" t="str">
        <f t="shared" si="8"/>
        <v>Medium Cost</v>
      </c>
      <c r="O190">
        <v>15.79</v>
      </c>
      <c r="P190" t="s">
        <v>43</v>
      </c>
      <c r="Q190" t="s">
        <v>34</v>
      </c>
      <c r="R190" t="s">
        <v>35</v>
      </c>
      <c r="S190" t="s">
        <v>250</v>
      </c>
      <c r="T190" t="s">
        <v>60</v>
      </c>
      <c r="U190">
        <v>30</v>
      </c>
      <c r="V190">
        <v>1.4</v>
      </c>
      <c r="W190" t="s">
        <v>47</v>
      </c>
      <c r="X190" t="s">
        <v>29</v>
      </c>
    </row>
    <row r="191" spans="1:24" x14ac:dyDescent="0.3">
      <c r="A191" t="s">
        <v>1469</v>
      </c>
      <c r="B191" t="s">
        <v>126</v>
      </c>
      <c r="C191" t="s">
        <v>31</v>
      </c>
      <c r="D191" t="str">
        <f t="shared" si="6"/>
        <v>Evening</v>
      </c>
      <c r="E191">
        <f>HOUR(EV_Data[[#This Row],[Charging Start Time]])</f>
        <v>21</v>
      </c>
      <c r="F191" s="1">
        <v>44934.875</v>
      </c>
      <c r="G191" s="1">
        <v>44934.914583333331</v>
      </c>
      <c r="H191">
        <v>57</v>
      </c>
      <c r="I191">
        <v>28.31</v>
      </c>
      <c r="J191" t="str">
        <f t="shared" si="7"/>
        <v>Medium</v>
      </c>
      <c r="K191" t="s">
        <v>22</v>
      </c>
      <c r="L191">
        <v>41</v>
      </c>
      <c r="M191">
        <v>64</v>
      </c>
      <c r="N191" t="str">
        <f t="shared" si="8"/>
        <v>Medium Cost</v>
      </c>
      <c r="O191">
        <v>9.34</v>
      </c>
      <c r="P191" t="s">
        <v>33</v>
      </c>
      <c r="Q191" t="s">
        <v>34</v>
      </c>
      <c r="R191" t="s">
        <v>35</v>
      </c>
      <c r="S191" t="s">
        <v>251</v>
      </c>
      <c r="T191" t="s">
        <v>60</v>
      </c>
      <c r="U191">
        <v>28</v>
      </c>
      <c r="V191">
        <v>3.8</v>
      </c>
      <c r="W191" t="s">
        <v>47</v>
      </c>
      <c r="X191" t="s">
        <v>29</v>
      </c>
    </row>
    <row r="192" spans="1:24" x14ac:dyDescent="0.3">
      <c r="A192" t="s">
        <v>1470</v>
      </c>
      <c r="B192" t="s">
        <v>20</v>
      </c>
      <c r="C192" t="s">
        <v>21</v>
      </c>
      <c r="D192" t="str">
        <f t="shared" si="6"/>
        <v>Evening</v>
      </c>
      <c r="E192">
        <f>HOUR(EV_Data[[#This Row],[Charging Start Time]])</f>
        <v>22</v>
      </c>
      <c r="F192" s="1">
        <v>44934.916666666664</v>
      </c>
      <c r="G192" s="1">
        <v>44934.991666666669</v>
      </c>
      <c r="H192">
        <v>108</v>
      </c>
      <c r="I192">
        <v>42.59</v>
      </c>
      <c r="J192" t="str">
        <f t="shared" si="7"/>
        <v>Medium</v>
      </c>
      <c r="K192" t="s">
        <v>50</v>
      </c>
      <c r="L192">
        <v>27</v>
      </c>
      <c r="M192">
        <v>41</v>
      </c>
      <c r="N192" t="str">
        <f t="shared" si="8"/>
        <v>High Cost</v>
      </c>
      <c r="O192">
        <v>19.7</v>
      </c>
      <c r="P192" t="s">
        <v>23</v>
      </c>
      <c r="Q192" t="s">
        <v>58</v>
      </c>
      <c r="R192" t="s">
        <v>56</v>
      </c>
      <c r="S192" t="s">
        <v>252</v>
      </c>
      <c r="T192" t="s">
        <v>46</v>
      </c>
      <c r="U192">
        <v>76</v>
      </c>
      <c r="V192">
        <v>4.0999999999999996</v>
      </c>
      <c r="W192" t="s">
        <v>28</v>
      </c>
      <c r="X192" t="s">
        <v>68</v>
      </c>
    </row>
    <row r="193" spans="1:24" x14ac:dyDescent="0.3">
      <c r="A193" t="s">
        <v>1471</v>
      </c>
      <c r="B193" t="s">
        <v>71</v>
      </c>
      <c r="C193" t="s">
        <v>72</v>
      </c>
      <c r="D193" t="str">
        <f t="shared" si="6"/>
        <v>Evening</v>
      </c>
      <c r="E193">
        <f>HOUR(EV_Data[[#This Row],[Charging Start Time]])</f>
        <v>23</v>
      </c>
      <c r="F193" s="1">
        <v>44934.958333333336</v>
      </c>
      <c r="G193" s="1">
        <v>44934.993055555547</v>
      </c>
      <c r="H193">
        <v>50</v>
      </c>
      <c r="I193">
        <v>25.82</v>
      </c>
      <c r="J193" t="str">
        <f t="shared" si="7"/>
        <v>Medium</v>
      </c>
      <c r="K193" t="s">
        <v>50</v>
      </c>
      <c r="L193">
        <v>66</v>
      </c>
      <c r="M193">
        <v>100</v>
      </c>
      <c r="N193" t="str">
        <f t="shared" si="8"/>
        <v>Low Cost</v>
      </c>
      <c r="O193">
        <v>6.1</v>
      </c>
      <c r="P193" t="s">
        <v>33</v>
      </c>
      <c r="Q193" t="s">
        <v>48</v>
      </c>
      <c r="R193" t="s">
        <v>44</v>
      </c>
      <c r="S193" t="s">
        <v>253</v>
      </c>
      <c r="T193" t="s">
        <v>37</v>
      </c>
      <c r="U193">
        <v>33</v>
      </c>
      <c r="V193">
        <v>3.1</v>
      </c>
      <c r="W193" t="s">
        <v>38</v>
      </c>
      <c r="X193" t="s">
        <v>62</v>
      </c>
    </row>
    <row r="194" spans="1:24" x14ac:dyDescent="0.3">
      <c r="A194" t="s">
        <v>1472</v>
      </c>
      <c r="B194" t="s">
        <v>77</v>
      </c>
      <c r="C194" t="s">
        <v>78</v>
      </c>
      <c r="D194" t="str">
        <f t="shared" ref="D194:D257" si="9">IF(E194&lt;12,"Morning",IF(E194&lt;17,"Afternoon","Evening"))</f>
        <v>Morning</v>
      </c>
      <c r="E194">
        <f>HOUR(EV_Data[[#This Row],[Charging Start Time]])</f>
        <v>0</v>
      </c>
      <c r="F194" s="1">
        <v>44935</v>
      </c>
      <c r="G194" s="1">
        <v>44935.073611111111</v>
      </c>
      <c r="H194">
        <v>106</v>
      </c>
      <c r="I194">
        <v>43.45</v>
      </c>
      <c r="J194" t="str">
        <f t="shared" ref="J194:J257" si="10">IF(I194&lt;20,"Low",IF(I194&lt;50,"Medium","High"))</f>
        <v>Medium</v>
      </c>
      <c r="K194" t="s">
        <v>55</v>
      </c>
      <c r="L194">
        <v>12</v>
      </c>
      <c r="M194">
        <v>35</v>
      </c>
      <c r="N194" t="str">
        <f t="shared" ref="N194:N257" si="11">IF(O194&lt;8,"Low Cost",IF(O194&lt;17,"Medium Cost","High Cost"))</f>
        <v>Medium Cost</v>
      </c>
      <c r="O194">
        <v>11.1</v>
      </c>
      <c r="P194" t="s">
        <v>23</v>
      </c>
      <c r="Q194" t="s">
        <v>58</v>
      </c>
      <c r="R194" t="s">
        <v>25</v>
      </c>
      <c r="S194" t="s">
        <v>254</v>
      </c>
      <c r="T194" t="s">
        <v>27</v>
      </c>
      <c r="U194">
        <v>49</v>
      </c>
      <c r="V194">
        <v>2.1</v>
      </c>
      <c r="W194" t="s">
        <v>47</v>
      </c>
      <c r="X194" t="s">
        <v>29</v>
      </c>
    </row>
    <row r="195" spans="1:24" x14ac:dyDescent="0.3">
      <c r="A195" t="s">
        <v>1473</v>
      </c>
      <c r="B195" t="s">
        <v>20</v>
      </c>
      <c r="C195" t="s">
        <v>21</v>
      </c>
      <c r="D195" t="str">
        <f t="shared" si="9"/>
        <v>Morning</v>
      </c>
      <c r="E195">
        <f>HOUR(EV_Data[[#This Row],[Charging Start Time]])</f>
        <v>1</v>
      </c>
      <c r="F195" s="1">
        <v>44935.041666666664</v>
      </c>
      <c r="G195" s="1">
        <v>44935.058333333327</v>
      </c>
      <c r="H195">
        <v>24</v>
      </c>
      <c r="I195">
        <v>31.17</v>
      </c>
      <c r="J195" t="str">
        <f t="shared" si="10"/>
        <v>Medium</v>
      </c>
      <c r="K195" t="s">
        <v>32</v>
      </c>
      <c r="L195">
        <v>72</v>
      </c>
      <c r="M195">
        <v>92</v>
      </c>
      <c r="N195" t="str">
        <f t="shared" si="11"/>
        <v>Medium Cost</v>
      </c>
      <c r="O195">
        <v>10.24</v>
      </c>
      <c r="P195" t="s">
        <v>43</v>
      </c>
      <c r="Q195" t="s">
        <v>24</v>
      </c>
      <c r="R195" t="s">
        <v>25</v>
      </c>
      <c r="S195" t="s">
        <v>255</v>
      </c>
      <c r="T195" t="s">
        <v>27</v>
      </c>
      <c r="U195">
        <v>68</v>
      </c>
      <c r="V195">
        <v>3.7</v>
      </c>
      <c r="W195" t="s">
        <v>28</v>
      </c>
      <c r="X195" t="s">
        <v>68</v>
      </c>
    </row>
    <row r="196" spans="1:24" x14ac:dyDescent="0.3">
      <c r="A196" t="s">
        <v>1474</v>
      </c>
      <c r="B196" t="s">
        <v>71</v>
      </c>
      <c r="C196" t="s">
        <v>72</v>
      </c>
      <c r="D196" t="str">
        <f t="shared" si="9"/>
        <v>Morning</v>
      </c>
      <c r="E196">
        <f>HOUR(EV_Data[[#This Row],[Charging Start Time]])</f>
        <v>2</v>
      </c>
      <c r="F196" s="1">
        <v>44935.083333333336</v>
      </c>
      <c r="G196" s="1">
        <v>44935.120138888888</v>
      </c>
      <c r="H196">
        <v>53</v>
      </c>
      <c r="I196">
        <v>35.58</v>
      </c>
      <c r="J196" t="str">
        <f t="shared" si="10"/>
        <v>Medium</v>
      </c>
      <c r="K196" t="s">
        <v>55</v>
      </c>
      <c r="L196">
        <v>65</v>
      </c>
      <c r="M196">
        <v>94</v>
      </c>
      <c r="N196" t="str">
        <f t="shared" si="11"/>
        <v>Medium Cost</v>
      </c>
      <c r="O196">
        <v>10.47</v>
      </c>
      <c r="P196" t="s">
        <v>33</v>
      </c>
      <c r="Q196" t="s">
        <v>48</v>
      </c>
      <c r="R196" t="s">
        <v>25</v>
      </c>
      <c r="S196" t="s">
        <v>256</v>
      </c>
      <c r="T196" t="s">
        <v>27</v>
      </c>
      <c r="U196">
        <v>89</v>
      </c>
      <c r="V196">
        <v>2</v>
      </c>
      <c r="W196" t="s">
        <v>28</v>
      </c>
      <c r="X196" t="s">
        <v>68</v>
      </c>
    </row>
    <row r="197" spans="1:24" x14ac:dyDescent="0.3">
      <c r="A197" t="s">
        <v>1475</v>
      </c>
      <c r="B197" t="s">
        <v>92</v>
      </c>
      <c r="C197" t="s">
        <v>93</v>
      </c>
      <c r="D197" t="str">
        <f t="shared" si="9"/>
        <v>Morning</v>
      </c>
      <c r="E197">
        <f>HOUR(EV_Data[[#This Row],[Charging Start Time]])</f>
        <v>3</v>
      </c>
      <c r="F197" s="1">
        <v>44935.125</v>
      </c>
      <c r="G197" s="1">
        <v>44935.147916666669</v>
      </c>
      <c r="H197">
        <v>33</v>
      </c>
      <c r="I197">
        <v>17.73</v>
      </c>
      <c r="J197" t="str">
        <f t="shared" si="10"/>
        <v>Low</v>
      </c>
      <c r="K197" t="s">
        <v>42</v>
      </c>
      <c r="L197">
        <v>39</v>
      </c>
      <c r="M197">
        <v>65</v>
      </c>
      <c r="N197" t="str">
        <f t="shared" si="11"/>
        <v>Low Cost</v>
      </c>
      <c r="O197">
        <v>6.47</v>
      </c>
      <c r="P197" t="s">
        <v>33</v>
      </c>
      <c r="Q197" t="s">
        <v>34</v>
      </c>
      <c r="R197" t="s">
        <v>44</v>
      </c>
      <c r="S197" t="s">
        <v>257</v>
      </c>
      <c r="T197" t="s">
        <v>27</v>
      </c>
      <c r="U197">
        <v>32</v>
      </c>
      <c r="V197">
        <v>1.6</v>
      </c>
      <c r="W197" t="s">
        <v>28</v>
      </c>
      <c r="X197" t="s">
        <v>68</v>
      </c>
    </row>
    <row r="198" spans="1:24" x14ac:dyDescent="0.3">
      <c r="A198" t="s">
        <v>1476</v>
      </c>
      <c r="B198" t="s">
        <v>20</v>
      </c>
      <c r="C198" t="s">
        <v>21</v>
      </c>
      <c r="D198" t="str">
        <f t="shared" si="9"/>
        <v>Morning</v>
      </c>
      <c r="E198">
        <f>HOUR(EV_Data[[#This Row],[Charging Start Time]])</f>
        <v>4</v>
      </c>
      <c r="F198" s="1">
        <v>44935.166666666664</v>
      </c>
      <c r="G198" s="1">
        <v>44935.215277777781</v>
      </c>
      <c r="H198">
        <v>70</v>
      </c>
      <c r="I198">
        <v>15.51</v>
      </c>
      <c r="J198" t="str">
        <f t="shared" si="10"/>
        <v>Low</v>
      </c>
      <c r="K198" t="s">
        <v>42</v>
      </c>
      <c r="L198">
        <v>52</v>
      </c>
      <c r="M198">
        <v>80</v>
      </c>
      <c r="N198" t="str">
        <f t="shared" si="11"/>
        <v>Low Cost</v>
      </c>
      <c r="O198">
        <v>4.82</v>
      </c>
      <c r="P198" t="s">
        <v>51</v>
      </c>
      <c r="Q198" t="s">
        <v>48</v>
      </c>
      <c r="R198" t="s">
        <v>56</v>
      </c>
      <c r="S198" t="s">
        <v>196</v>
      </c>
      <c r="T198" t="s">
        <v>46</v>
      </c>
      <c r="U198">
        <v>28</v>
      </c>
      <c r="V198">
        <v>1.6</v>
      </c>
      <c r="W198" t="s">
        <v>28</v>
      </c>
      <c r="X198" t="s">
        <v>68</v>
      </c>
    </row>
    <row r="199" spans="1:24" x14ac:dyDescent="0.3">
      <c r="A199" t="s">
        <v>1477</v>
      </c>
      <c r="B199" t="s">
        <v>77</v>
      </c>
      <c r="C199" t="s">
        <v>78</v>
      </c>
      <c r="D199" t="str">
        <f t="shared" si="9"/>
        <v>Morning</v>
      </c>
      <c r="E199">
        <f>HOUR(EV_Data[[#This Row],[Charging Start Time]])</f>
        <v>5</v>
      </c>
      <c r="F199" s="1">
        <v>44935.208333333336</v>
      </c>
      <c r="G199" s="1">
        <v>44935.230555555558</v>
      </c>
      <c r="H199">
        <v>32</v>
      </c>
      <c r="I199">
        <v>8.9700000000000006</v>
      </c>
      <c r="J199" t="str">
        <f t="shared" si="10"/>
        <v>Low</v>
      </c>
      <c r="K199" t="s">
        <v>42</v>
      </c>
      <c r="L199">
        <v>10</v>
      </c>
      <c r="M199">
        <v>38</v>
      </c>
      <c r="N199" t="str">
        <f t="shared" si="11"/>
        <v>Low Cost</v>
      </c>
      <c r="O199">
        <v>4.04</v>
      </c>
      <c r="P199" t="s">
        <v>43</v>
      </c>
      <c r="Q199" t="s">
        <v>48</v>
      </c>
      <c r="R199" t="s">
        <v>25</v>
      </c>
      <c r="S199" t="s">
        <v>258</v>
      </c>
      <c r="T199" t="s">
        <v>46</v>
      </c>
      <c r="U199">
        <v>3</v>
      </c>
      <c r="V199">
        <v>3.2</v>
      </c>
      <c r="W199" t="s">
        <v>38</v>
      </c>
      <c r="X199" t="s">
        <v>39</v>
      </c>
    </row>
    <row r="200" spans="1:24" x14ac:dyDescent="0.3">
      <c r="A200" t="s">
        <v>1478</v>
      </c>
      <c r="B200" t="s">
        <v>53</v>
      </c>
      <c r="C200" t="s">
        <v>54</v>
      </c>
      <c r="D200" t="str">
        <f t="shared" si="9"/>
        <v>Morning</v>
      </c>
      <c r="E200">
        <f>HOUR(EV_Data[[#This Row],[Charging Start Time]])</f>
        <v>6</v>
      </c>
      <c r="F200" s="1">
        <v>44935.25</v>
      </c>
      <c r="G200" s="1">
        <v>44935.290972222218</v>
      </c>
      <c r="H200">
        <v>59</v>
      </c>
      <c r="I200">
        <v>33.44</v>
      </c>
      <c r="J200" t="str">
        <f t="shared" si="10"/>
        <v>Medium</v>
      </c>
      <c r="K200" t="s">
        <v>22</v>
      </c>
      <c r="L200">
        <v>74</v>
      </c>
      <c r="M200">
        <v>90</v>
      </c>
      <c r="N200" t="str">
        <f t="shared" si="11"/>
        <v>Medium Cost</v>
      </c>
      <c r="O200">
        <v>12.53</v>
      </c>
      <c r="P200" t="s">
        <v>43</v>
      </c>
      <c r="Q200" t="s">
        <v>24</v>
      </c>
      <c r="R200" t="s">
        <v>25</v>
      </c>
      <c r="S200" t="s">
        <v>144</v>
      </c>
      <c r="T200" t="s">
        <v>46</v>
      </c>
      <c r="U200">
        <v>86</v>
      </c>
      <c r="V200">
        <v>3.1</v>
      </c>
      <c r="W200" t="s">
        <v>28</v>
      </c>
      <c r="X200" t="s">
        <v>68</v>
      </c>
    </row>
    <row r="201" spans="1:24" x14ac:dyDescent="0.3">
      <c r="A201" t="s">
        <v>1479</v>
      </c>
      <c r="B201" t="s">
        <v>30</v>
      </c>
      <c r="C201" t="s">
        <v>102</v>
      </c>
      <c r="D201" t="str">
        <f t="shared" si="9"/>
        <v>Morning</v>
      </c>
      <c r="E201">
        <f>HOUR(EV_Data[[#This Row],[Charging Start Time]])</f>
        <v>7</v>
      </c>
      <c r="F201" s="1">
        <v>44935.291666666664</v>
      </c>
      <c r="G201" s="1">
        <v>44935.303472222222</v>
      </c>
      <c r="H201">
        <v>17</v>
      </c>
      <c r="I201">
        <v>8.5</v>
      </c>
      <c r="J201" t="str">
        <f t="shared" si="10"/>
        <v>Low</v>
      </c>
      <c r="K201" t="s">
        <v>69</v>
      </c>
      <c r="L201">
        <v>56</v>
      </c>
      <c r="M201">
        <v>80</v>
      </c>
      <c r="N201" t="str">
        <f t="shared" si="11"/>
        <v>Low Cost</v>
      </c>
      <c r="O201">
        <v>3.77</v>
      </c>
      <c r="P201" t="s">
        <v>23</v>
      </c>
      <c r="Q201" t="s">
        <v>58</v>
      </c>
      <c r="R201" t="s">
        <v>56</v>
      </c>
      <c r="S201" t="s">
        <v>259</v>
      </c>
      <c r="T201" t="s">
        <v>27</v>
      </c>
      <c r="U201">
        <v>57</v>
      </c>
      <c r="V201">
        <v>3.6</v>
      </c>
      <c r="W201" t="s">
        <v>28</v>
      </c>
      <c r="X201" t="s">
        <v>68</v>
      </c>
    </row>
    <row r="202" spans="1:24" x14ac:dyDescent="0.3">
      <c r="A202" t="s">
        <v>1480</v>
      </c>
      <c r="B202" t="s">
        <v>20</v>
      </c>
      <c r="C202" t="s">
        <v>21</v>
      </c>
      <c r="D202" t="str">
        <f t="shared" si="9"/>
        <v>Morning</v>
      </c>
      <c r="E202">
        <f>HOUR(EV_Data[[#This Row],[Charging Start Time]])</f>
        <v>8</v>
      </c>
      <c r="F202" s="1">
        <v>44935.333333333336</v>
      </c>
      <c r="G202" s="1">
        <v>44935.347916666673</v>
      </c>
      <c r="H202">
        <v>21</v>
      </c>
      <c r="I202">
        <v>23.66</v>
      </c>
      <c r="J202" t="str">
        <f t="shared" si="10"/>
        <v>Medium</v>
      </c>
      <c r="K202" t="s">
        <v>55</v>
      </c>
      <c r="L202">
        <v>26</v>
      </c>
      <c r="M202">
        <v>52</v>
      </c>
      <c r="N202" t="str">
        <f t="shared" si="11"/>
        <v>Low Cost</v>
      </c>
      <c r="O202">
        <v>4.74</v>
      </c>
      <c r="P202" t="s">
        <v>23</v>
      </c>
      <c r="Q202" t="s">
        <v>34</v>
      </c>
      <c r="R202" t="s">
        <v>44</v>
      </c>
      <c r="S202" t="s">
        <v>260</v>
      </c>
      <c r="T202" t="s">
        <v>27</v>
      </c>
      <c r="U202">
        <v>88</v>
      </c>
      <c r="V202">
        <v>2.8</v>
      </c>
      <c r="W202" t="s">
        <v>38</v>
      </c>
      <c r="X202" t="s">
        <v>39</v>
      </c>
    </row>
    <row r="203" spans="1:24" x14ac:dyDescent="0.3">
      <c r="A203" t="s">
        <v>1481</v>
      </c>
      <c r="B203" t="s">
        <v>53</v>
      </c>
      <c r="C203" t="s">
        <v>54</v>
      </c>
      <c r="D203" t="str">
        <f t="shared" si="9"/>
        <v>Morning</v>
      </c>
      <c r="E203">
        <f>HOUR(EV_Data[[#This Row],[Charging Start Time]])</f>
        <v>9</v>
      </c>
      <c r="F203" s="1">
        <v>44935.375</v>
      </c>
      <c r="G203" s="1">
        <v>44935.408333333333</v>
      </c>
      <c r="H203">
        <v>48</v>
      </c>
      <c r="I203">
        <v>8.82</v>
      </c>
      <c r="J203" t="str">
        <f t="shared" si="10"/>
        <v>Low</v>
      </c>
      <c r="K203" t="s">
        <v>22</v>
      </c>
      <c r="L203">
        <v>54</v>
      </c>
      <c r="M203">
        <v>91</v>
      </c>
      <c r="N203" t="str">
        <f t="shared" si="11"/>
        <v>Low Cost</v>
      </c>
      <c r="O203">
        <v>3.89</v>
      </c>
      <c r="P203" t="s">
        <v>64</v>
      </c>
      <c r="Q203" t="s">
        <v>58</v>
      </c>
      <c r="R203" t="s">
        <v>35</v>
      </c>
      <c r="S203" t="s">
        <v>261</v>
      </c>
      <c r="T203" t="s">
        <v>37</v>
      </c>
      <c r="U203">
        <v>57</v>
      </c>
      <c r="V203">
        <v>1.8</v>
      </c>
      <c r="W203" t="s">
        <v>28</v>
      </c>
      <c r="X203" t="s">
        <v>68</v>
      </c>
    </row>
    <row r="204" spans="1:24" x14ac:dyDescent="0.3">
      <c r="A204" t="s">
        <v>1482</v>
      </c>
      <c r="B204" t="s">
        <v>77</v>
      </c>
      <c r="C204" t="s">
        <v>78</v>
      </c>
      <c r="D204" t="str">
        <f t="shared" si="9"/>
        <v>Morning</v>
      </c>
      <c r="E204">
        <f>HOUR(EV_Data[[#This Row],[Charging Start Time]])</f>
        <v>10</v>
      </c>
      <c r="F204" s="1">
        <v>44935.416666666664</v>
      </c>
      <c r="G204" s="1">
        <v>44935.486111111109</v>
      </c>
      <c r="H204">
        <v>100</v>
      </c>
      <c r="I204">
        <v>42.5</v>
      </c>
      <c r="J204" t="str">
        <f t="shared" si="10"/>
        <v>Medium</v>
      </c>
      <c r="K204" t="s">
        <v>42</v>
      </c>
      <c r="L204">
        <v>40</v>
      </c>
      <c r="M204">
        <v>65</v>
      </c>
      <c r="N204" t="str">
        <f t="shared" si="11"/>
        <v>Medium Cost</v>
      </c>
      <c r="O204">
        <v>16.579999999999998</v>
      </c>
      <c r="P204" t="s">
        <v>51</v>
      </c>
      <c r="Q204" t="s">
        <v>34</v>
      </c>
      <c r="R204" t="s">
        <v>25</v>
      </c>
      <c r="S204" t="s">
        <v>262</v>
      </c>
      <c r="T204" t="s">
        <v>37</v>
      </c>
      <c r="U204">
        <v>66</v>
      </c>
      <c r="V204">
        <v>2.4</v>
      </c>
      <c r="W204" t="s">
        <v>47</v>
      </c>
      <c r="X204" t="s">
        <v>29</v>
      </c>
    </row>
    <row r="205" spans="1:24" x14ac:dyDescent="0.3">
      <c r="A205" t="s">
        <v>1483</v>
      </c>
      <c r="B205" t="s">
        <v>53</v>
      </c>
      <c r="C205" t="s">
        <v>54</v>
      </c>
      <c r="D205" t="str">
        <f t="shared" si="9"/>
        <v>Morning</v>
      </c>
      <c r="E205">
        <f>HOUR(EV_Data[[#This Row],[Charging Start Time]])</f>
        <v>11</v>
      </c>
      <c r="F205" s="1">
        <v>44935.458333333336</v>
      </c>
      <c r="G205" s="1">
        <v>44935.49722222222</v>
      </c>
      <c r="H205">
        <v>56</v>
      </c>
      <c r="I205">
        <v>9.4700000000000006</v>
      </c>
      <c r="J205" t="str">
        <f t="shared" si="10"/>
        <v>Low</v>
      </c>
      <c r="K205" t="s">
        <v>42</v>
      </c>
      <c r="L205">
        <v>26</v>
      </c>
      <c r="M205">
        <v>56</v>
      </c>
      <c r="N205" t="str">
        <f t="shared" si="11"/>
        <v>Low Cost</v>
      </c>
      <c r="O205">
        <v>2.0299999999999998</v>
      </c>
      <c r="P205" t="s">
        <v>23</v>
      </c>
      <c r="Q205" t="s">
        <v>34</v>
      </c>
      <c r="R205" t="s">
        <v>56</v>
      </c>
      <c r="S205" t="s">
        <v>263</v>
      </c>
      <c r="T205" t="s">
        <v>60</v>
      </c>
      <c r="U205">
        <v>68</v>
      </c>
      <c r="V205">
        <v>2.2000000000000002</v>
      </c>
      <c r="W205" t="s">
        <v>28</v>
      </c>
      <c r="X205" t="s">
        <v>68</v>
      </c>
    </row>
    <row r="206" spans="1:24" x14ac:dyDescent="0.3">
      <c r="A206" t="s">
        <v>1484</v>
      </c>
      <c r="B206" t="s">
        <v>40</v>
      </c>
      <c r="C206" t="s">
        <v>41</v>
      </c>
      <c r="D206" t="str">
        <f t="shared" si="9"/>
        <v>Afternoon</v>
      </c>
      <c r="E206">
        <f>HOUR(EV_Data[[#This Row],[Charging Start Time]])</f>
        <v>12</v>
      </c>
      <c r="F206" s="1">
        <v>44935.5</v>
      </c>
      <c r="G206" s="1">
        <v>44935.51666666667</v>
      </c>
      <c r="H206">
        <v>24</v>
      </c>
      <c r="I206">
        <v>47.58</v>
      </c>
      <c r="J206" t="str">
        <f t="shared" si="10"/>
        <v>Medium</v>
      </c>
      <c r="K206" t="s">
        <v>69</v>
      </c>
      <c r="L206">
        <v>65</v>
      </c>
      <c r="M206">
        <v>92</v>
      </c>
      <c r="N206" t="str">
        <f t="shared" si="11"/>
        <v>High Cost</v>
      </c>
      <c r="O206">
        <v>19.62</v>
      </c>
      <c r="P206" t="s">
        <v>64</v>
      </c>
      <c r="Q206" t="s">
        <v>24</v>
      </c>
      <c r="R206" t="s">
        <v>44</v>
      </c>
      <c r="S206" t="s">
        <v>264</v>
      </c>
      <c r="T206" t="s">
        <v>60</v>
      </c>
      <c r="U206">
        <v>49</v>
      </c>
      <c r="V206">
        <v>4.5999999999999996</v>
      </c>
      <c r="W206" t="s">
        <v>28</v>
      </c>
      <c r="X206" t="s">
        <v>68</v>
      </c>
    </row>
    <row r="207" spans="1:24" x14ac:dyDescent="0.3">
      <c r="A207" t="s">
        <v>1485</v>
      </c>
      <c r="B207" t="s">
        <v>92</v>
      </c>
      <c r="C207" t="s">
        <v>93</v>
      </c>
      <c r="D207" t="str">
        <f t="shared" si="9"/>
        <v>Afternoon</v>
      </c>
      <c r="E207">
        <f>HOUR(EV_Data[[#This Row],[Charging Start Time]])</f>
        <v>13</v>
      </c>
      <c r="F207" s="1">
        <v>44935.541666666664</v>
      </c>
      <c r="G207" s="1">
        <v>44935.589583333327</v>
      </c>
      <c r="H207">
        <v>69</v>
      </c>
      <c r="I207">
        <v>28.89</v>
      </c>
      <c r="J207" t="str">
        <f t="shared" si="10"/>
        <v>Medium</v>
      </c>
      <c r="K207" t="s">
        <v>55</v>
      </c>
      <c r="L207">
        <v>61</v>
      </c>
      <c r="M207">
        <v>76</v>
      </c>
      <c r="N207" t="str">
        <f t="shared" si="11"/>
        <v>Medium Cost</v>
      </c>
      <c r="O207">
        <v>13.4</v>
      </c>
      <c r="P207" t="s">
        <v>33</v>
      </c>
      <c r="Q207" t="s">
        <v>24</v>
      </c>
      <c r="R207" t="s">
        <v>25</v>
      </c>
      <c r="S207" t="s">
        <v>265</v>
      </c>
      <c r="T207" t="s">
        <v>37</v>
      </c>
      <c r="U207">
        <v>30</v>
      </c>
      <c r="V207">
        <v>3</v>
      </c>
      <c r="W207" t="s">
        <v>47</v>
      </c>
      <c r="X207" t="s">
        <v>29</v>
      </c>
    </row>
    <row r="208" spans="1:24" x14ac:dyDescent="0.3">
      <c r="A208" t="s">
        <v>1486</v>
      </c>
      <c r="B208" t="s">
        <v>92</v>
      </c>
      <c r="C208" t="s">
        <v>93</v>
      </c>
      <c r="D208" t="str">
        <f t="shared" si="9"/>
        <v>Afternoon</v>
      </c>
      <c r="E208">
        <f>HOUR(EV_Data[[#This Row],[Charging Start Time]])</f>
        <v>14</v>
      </c>
      <c r="F208" s="1">
        <v>44935.583333333336</v>
      </c>
      <c r="G208" s="1">
        <v>44935.625</v>
      </c>
      <c r="H208">
        <v>60</v>
      </c>
      <c r="I208">
        <v>6.74</v>
      </c>
      <c r="J208" t="str">
        <f t="shared" si="10"/>
        <v>Low</v>
      </c>
      <c r="K208" t="s">
        <v>42</v>
      </c>
      <c r="L208">
        <v>38</v>
      </c>
      <c r="M208">
        <v>63</v>
      </c>
      <c r="N208" t="str">
        <f t="shared" si="11"/>
        <v>Low Cost</v>
      </c>
      <c r="O208">
        <v>2.96</v>
      </c>
      <c r="P208" t="s">
        <v>64</v>
      </c>
      <c r="Q208" t="s">
        <v>34</v>
      </c>
      <c r="R208" t="s">
        <v>56</v>
      </c>
      <c r="S208" t="s">
        <v>266</v>
      </c>
      <c r="T208" t="s">
        <v>27</v>
      </c>
      <c r="U208">
        <v>15</v>
      </c>
      <c r="V208">
        <v>2.2000000000000002</v>
      </c>
      <c r="W208" t="s">
        <v>38</v>
      </c>
      <c r="X208" t="s">
        <v>62</v>
      </c>
    </row>
    <row r="209" spans="1:24" x14ac:dyDescent="0.3">
      <c r="A209" t="s">
        <v>1487</v>
      </c>
      <c r="B209" t="s">
        <v>92</v>
      </c>
      <c r="C209" t="s">
        <v>93</v>
      </c>
      <c r="D209" t="str">
        <f t="shared" si="9"/>
        <v>Afternoon</v>
      </c>
      <c r="E209">
        <f>HOUR(EV_Data[[#This Row],[Charging Start Time]])</f>
        <v>15</v>
      </c>
      <c r="F209" s="1">
        <v>44935.625</v>
      </c>
      <c r="G209" s="1">
        <v>44935.669444444437</v>
      </c>
      <c r="H209">
        <v>64</v>
      </c>
      <c r="I209">
        <v>24.69</v>
      </c>
      <c r="J209" t="str">
        <f t="shared" si="10"/>
        <v>Medium</v>
      </c>
      <c r="K209" t="s">
        <v>50</v>
      </c>
      <c r="L209">
        <v>36</v>
      </c>
      <c r="M209">
        <v>75</v>
      </c>
      <c r="N209" t="str">
        <f t="shared" si="11"/>
        <v>Low Cost</v>
      </c>
      <c r="O209">
        <v>5.78</v>
      </c>
      <c r="P209" t="s">
        <v>23</v>
      </c>
      <c r="Q209" t="s">
        <v>48</v>
      </c>
      <c r="R209" t="s">
        <v>56</v>
      </c>
      <c r="S209" t="s">
        <v>267</v>
      </c>
      <c r="T209" t="s">
        <v>27</v>
      </c>
      <c r="U209">
        <v>5</v>
      </c>
      <c r="V209">
        <v>1.4</v>
      </c>
      <c r="W209" t="s">
        <v>28</v>
      </c>
      <c r="X209" t="s">
        <v>68</v>
      </c>
    </row>
    <row r="210" spans="1:24" x14ac:dyDescent="0.3">
      <c r="A210" t="s">
        <v>1488</v>
      </c>
      <c r="B210" t="s">
        <v>77</v>
      </c>
      <c r="C210" t="s">
        <v>78</v>
      </c>
      <c r="D210" t="str">
        <f t="shared" si="9"/>
        <v>Afternoon</v>
      </c>
      <c r="E210">
        <f>HOUR(EV_Data[[#This Row],[Charging Start Time]])</f>
        <v>16</v>
      </c>
      <c r="F210" s="1">
        <v>44935.666666666664</v>
      </c>
      <c r="G210" s="1">
        <v>44935.691666666673</v>
      </c>
      <c r="H210">
        <v>36</v>
      </c>
      <c r="I210">
        <v>7.97</v>
      </c>
      <c r="J210" t="str">
        <f t="shared" si="10"/>
        <v>Low</v>
      </c>
      <c r="K210" t="s">
        <v>50</v>
      </c>
      <c r="L210">
        <v>17</v>
      </c>
      <c r="M210">
        <v>28</v>
      </c>
      <c r="N210" t="str">
        <f t="shared" si="11"/>
        <v>Low Cost</v>
      </c>
      <c r="O210">
        <v>1.85</v>
      </c>
      <c r="P210" t="s">
        <v>33</v>
      </c>
      <c r="Q210" t="s">
        <v>34</v>
      </c>
      <c r="R210" t="s">
        <v>25</v>
      </c>
      <c r="S210" t="s">
        <v>268</v>
      </c>
      <c r="T210" t="s">
        <v>27</v>
      </c>
      <c r="U210">
        <v>37</v>
      </c>
      <c r="V210">
        <v>4.4000000000000004</v>
      </c>
      <c r="W210" t="s">
        <v>47</v>
      </c>
      <c r="X210" t="s">
        <v>29</v>
      </c>
    </row>
    <row r="211" spans="1:24" x14ac:dyDescent="0.3">
      <c r="A211" t="s">
        <v>1489</v>
      </c>
      <c r="B211" t="s">
        <v>71</v>
      </c>
      <c r="C211" t="s">
        <v>72</v>
      </c>
      <c r="D211" t="str">
        <f t="shared" si="9"/>
        <v>Evening</v>
      </c>
      <c r="E211">
        <f>HOUR(EV_Data[[#This Row],[Charging Start Time]])</f>
        <v>17</v>
      </c>
      <c r="F211" s="1">
        <v>44935.708333333336</v>
      </c>
      <c r="G211" s="1">
        <v>44935.719444444447</v>
      </c>
      <c r="H211">
        <v>16</v>
      </c>
      <c r="I211">
        <v>5.67</v>
      </c>
      <c r="J211" t="str">
        <f t="shared" si="10"/>
        <v>Low</v>
      </c>
      <c r="K211" t="s">
        <v>50</v>
      </c>
      <c r="L211">
        <v>61</v>
      </c>
      <c r="M211">
        <v>83</v>
      </c>
      <c r="N211" t="str">
        <f t="shared" si="11"/>
        <v>Low Cost</v>
      </c>
      <c r="O211">
        <v>2.2400000000000002</v>
      </c>
      <c r="P211" t="s">
        <v>64</v>
      </c>
      <c r="Q211" t="s">
        <v>48</v>
      </c>
      <c r="R211" t="s">
        <v>35</v>
      </c>
      <c r="S211" t="s">
        <v>269</v>
      </c>
      <c r="T211" t="s">
        <v>37</v>
      </c>
      <c r="U211">
        <v>3</v>
      </c>
      <c r="V211">
        <v>2.2000000000000002</v>
      </c>
      <c r="W211" t="s">
        <v>28</v>
      </c>
      <c r="X211" t="s">
        <v>68</v>
      </c>
    </row>
    <row r="212" spans="1:24" x14ac:dyDescent="0.3">
      <c r="A212" t="s">
        <v>1490</v>
      </c>
      <c r="B212" t="s">
        <v>20</v>
      </c>
      <c r="C212" t="s">
        <v>21</v>
      </c>
      <c r="D212" t="str">
        <f t="shared" si="9"/>
        <v>Evening</v>
      </c>
      <c r="E212">
        <f>HOUR(EV_Data[[#This Row],[Charging Start Time]])</f>
        <v>18</v>
      </c>
      <c r="F212" s="1">
        <v>44935.75</v>
      </c>
      <c r="G212" s="1">
        <v>44935.801388888889</v>
      </c>
      <c r="H212">
        <v>74</v>
      </c>
      <c r="I212">
        <v>26.16</v>
      </c>
      <c r="J212" t="str">
        <f t="shared" si="10"/>
        <v>Medium</v>
      </c>
      <c r="K212" t="s">
        <v>50</v>
      </c>
      <c r="L212">
        <v>25</v>
      </c>
      <c r="M212">
        <v>58</v>
      </c>
      <c r="N212" t="str">
        <f t="shared" si="11"/>
        <v>Medium Cost</v>
      </c>
      <c r="O212">
        <v>9.1300000000000008</v>
      </c>
      <c r="P212" t="s">
        <v>43</v>
      </c>
      <c r="Q212" t="s">
        <v>48</v>
      </c>
      <c r="R212" t="s">
        <v>35</v>
      </c>
      <c r="S212" t="s">
        <v>270</v>
      </c>
      <c r="T212" t="s">
        <v>46</v>
      </c>
      <c r="U212">
        <v>56</v>
      </c>
      <c r="V212">
        <v>3.2</v>
      </c>
      <c r="W212" t="s">
        <v>47</v>
      </c>
      <c r="X212" t="s">
        <v>29</v>
      </c>
    </row>
    <row r="213" spans="1:24" x14ac:dyDescent="0.3">
      <c r="A213" t="s">
        <v>1491</v>
      </c>
      <c r="B213" t="s">
        <v>126</v>
      </c>
      <c r="C213" t="s">
        <v>31</v>
      </c>
      <c r="D213" t="str">
        <f t="shared" si="9"/>
        <v>Evening</v>
      </c>
      <c r="E213">
        <f>HOUR(EV_Data[[#This Row],[Charging Start Time]])</f>
        <v>19</v>
      </c>
      <c r="F213" s="1">
        <v>44935.791666666664</v>
      </c>
      <c r="G213" s="1">
        <v>44935.843055555553</v>
      </c>
      <c r="H213">
        <v>74</v>
      </c>
      <c r="I213">
        <v>10.71</v>
      </c>
      <c r="J213" t="str">
        <f t="shared" si="10"/>
        <v>Low</v>
      </c>
      <c r="K213" t="s">
        <v>22</v>
      </c>
      <c r="L213">
        <v>65</v>
      </c>
      <c r="M213">
        <v>100</v>
      </c>
      <c r="N213" t="str">
        <f t="shared" si="11"/>
        <v>Low Cost</v>
      </c>
      <c r="O213">
        <v>4.57</v>
      </c>
      <c r="P213" t="s">
        <v>64</v>
      </c>
      <c r="Q213" t="s">
        <v>24</v>
      </c>
      <c r="R213" t="s">
        <v>56</v>
      </c>
      <c r="S213" t="s">
        <v>271</v>
      </c>
      <c r="T213" t="s">
        <v>60</v>
      </c>
      <c r="U213">
        <v>46</v>
      </c>
      <c r="V213">
        <v>3.7</v>
      </c>
      <c r="W213" t="s">
        <v>38</v>
      </c>
      <c r="X213" t="s">
        <v>85</v>
      </c>
    </row>
    <row r="214" spans="1:24" x14ac:dyDescent="0.3">
      <c r="A214" t="s">
        <v>1492</v>
      </c>
      <c r="B214" t="s">
        <v>71</v>
      </c>
      <c r="C214" t="s">
        <v>72</v>
      </c>
      <c r="D214" t="str">
        <f t="shared" si="9"/>
        <v>Evening</v>
      </c>
      <c r="E214">
        <f>HOUR(EV_Data[[#This Row],[Charging Start Time]])</f>
        <v>20</v>
      </c>
      <c r="F214" s="1">
        <v>44935.833333333336</v>
      </c>
      <c r="G214" s="1">
        <v>44935.916666666657</v>
      </c>
      <c r="H214">
        <v>120</v>
      </c>
      <c r="I214">
        <v>23.24</v>
      </c>
      <c r="J214" t="str">
        <f t="shared" si="10"/>
        <v>Medium</v>
      </c>
      <c r="K214" t="s">
        <v>55</v>
      </c>
      <c r="L214">
        <v>62</v>
      </c>
      <c r="M214">
        <v>97</v>
      </c>
      <c r="N214" t="str">
        <f t="shared" si="11"/>
        <v>Low Cost</v>
      </c>
      <c r="O214">
        <v>7.68</v>
      </c>
      <c r="P214" t="s">
        <v>33</v>
      </c>
      <c r="Q214" t="s">
        <v>58</v>
      </c>
      <c r="R214" t="s">
        <v>25</v>
      </c>
      <c r="S214" t="s">
        <v>272</v>
      </c>
      <c r="T214" t="s">
        <v>37</v>
      </c>
      <c r="U214">
        <v>57</v>
      </c>
      <c r="V214">
        <v>2.1</v>
      </c>
      <c r="W214" t="s">
        <v>47</v>
      </c>
      <c r="X214" t="s">
        <v>29</v>
      </c>
    </row>
    <row r="215" spans="1:24" x14ac:dyDescent="0.3">
      <c r="A215" t="s">
        <v>1493</v>
      </c>
      <c r="B215" t="s">
        <v>30</v>
      </c>
      <c r="C215" t="s">
        <v>102</v>
      </c>
      <c r="D215" t="str">
        <f t="shared" si="9"/>
        <v>Evening</v>
      </c>
      <c r="E215">
        <f>HOUR(EV_Data[[#This Row],[Charging Start Time]])</f>
        <v>21</v>
      </c>
      <c r="F215" s="1">
        <v>44935.875</v>
      </c>
      <c r="G215" s="1">
        <v>44935.899305555547</v>
      </c>
      <c r="H215">
        <v>35</v>
      </c>
      <c r="I215">
        <v>13.54</v>
      </c>
      <c r="J215" t="str">
        <f t="shared" si="10"/>
        <v>Low</v>
      </c>
      <c r="K215" t="s">
        <v>22</v>
      </c>
      <c r="L215">
        <v>39</v>
      </c>
      <c r="M215">
        <v>51</v>
      </c>
      <c r="N215" t="str">
        <f t="shared" si="11"/>
        <v>Low Cost</v>
      </c>
      <c r="O215">
        <v>5.95</v>
      </c>
      <c r="P215" t="s">
        <v>51</v>
      </c>
      <c r="Q215" t="s">
        <v>58</v>
      </c>
      <c r="R215" t="s">
        <v>35</v>
      </c>
      <c r="S215" t="s">
        <v>273</v>
      </c>
      <c r="T215" t="s">
        <v>27</v>
      </c>
      <c r="U215">
        <v>14</v>
      </c>
      <c r="V215">
        <v>5</v>
      </c>
      <c r="W215" t="s">
        <v>47</v>
      </c>
      <c r="X215" t="s">
        <v>29</v>
      </c>
    </row>
    <row r="216" spans="1:24" x14ac:dyDescent="0.3">
      <c r="A216" t="s">
        <v>1494</v>
      </c>
      <c r="B216" t="s">
        <v>20</v>
      </c>
      <c r="C216" t="s">
        <v>21</v>
      </c>
      <c r="D216" t="str">
        <f t="shared" si="9"/>
        <v>Evening</v>
      </c>
      <c r="E216">
        <f>HOUR(EV_Data[[#This Row],[Charging Start Time]])</f>
        <v>22</v>
      </c>
      <c r="F216" s="1">
        <v>44935.916666666664</v>
      </c>
      <c r="G216" s="1">
        <v>44935.917361111111</v>
      </c>
      <c r="H216">
        <v>1</v>
      </c>
      <c r="I216">
        <v>28</v>
      </c>
      <c r="J216" t="str">
        <f t="shared" si="10"/>
        <v>Medium</v>
      </c>
      <c r="K216" t="s">
        <v>32</v>
      </c>
      <c r="L216">
        <v>76</v>
      </c>
      <c r="M216">
        <v>100</v>
      </c>
      <c r="N216" t="str">
        <f t="shared" si="11"/>
        <v>Medium Cost</v>
      </c>
      <c r="O216">
        <v>12.53</v>
      </c>
      <c r="P216" t="s">
        <v>64</v>
      </c>
      <c r="Q216" t="s">
        <v>24</v>
      </c>
      <c r="R216" t="s">
        <v>35</v>
      </c>
      <c r="S216" t="s">
        <v>223</v>
      </c>
      <c r="T216" t="s">
        <v>46</v>
      </c>
      <c r="U216">
        <v>71</v>
      </c>
      <c r="V216">
        <v>2.1</v>
      </c>
      <c r="W216" t="s">
        <v>28</v>
      </c>
      <c r="X216" t="s">
        <v>68</v>
      </c>
    </row>
    <row r="217" spans="1:24" x14ac:dyDescent="0.3">
      <c r="A217" t="s">
        <v>1495</v>
      </c>
      <c r="B217" t="s">
        <v>77</v>
      </c>
      <c r="C217" t="s">
        <v>78</v>
      </c>
      <c r="D217" t="str">
        <f t="shared" si="9"/>
        <v>Evening</v>
      </c>
      <c r="E217">
        <f>HOUR(EV_Data[[#This Row],[Charging Start Time]])</f>
        <v>23</v>
      </c>
      <c r="F217" s="1">
        <v>44935.958333333336</v>
      </c>
      <c r="G217" s="1">
        <v>44935.988888888889</v>
      </c>
      <c r="H217">
        <v>44</v>
      </c>
      <c r="I217">
        <v>23.18</v>
      </c>
      <c r="J217" t="str">
        <f t="shared" si="10"/>
        <v>Medium</v>
      </c>
      <c r="K217" t="s">
        <v>50</v>
      </c>
      <c r="L217">
        <v>57</v>
      </c>
      <c r="M217">
        <v>68</v>
      </c>
      <c r="N217" t="str">
        <f t="shared" si="11"/>
        <v>Low Cost</v>
      </c>
      <c r="O217">
        <v>7.76</v>
      </c>
      <c r="P217" t="s">
        <v>64</v>
      </c>
      <c r="Q217" t="s">
        <v>48</v>
      </c>
      <c r="R217" t="s">
        <v>44</v>
      </c>
      <c r="S217" t="s">
        <v>274</v>
      </c>
      <c r="T217" t="s">
        <v>46</v>
      </c>
      <c r="U217">
        <v>5</v>
      </c>
      <c r="V217">
        <v>1.1000000000000001</v>
      </c>
      <c r="W217" t="s">
        <v>38</v>
      </c>
      <c r="X217" t="s">
        <v>83</v>
      </c>
    </row>
    <row r="218" spans="1:24" x14ac:dyDescent="0.3">
      <c r="A218" t="s">
        <v>1496</v>
      </c>
      <c r="B218" t="s">
        <v>40</v>
      </c>
      <c r="C218" t="s">
        <v>41</v>
      </c>
      <c r="D218" t="str">
        <f t="shared" si="9"/>
        <v>Morning</v>
      </c>
      <c r="E218">
        <f>HOUR(EV_Data[[#This Row],[Charging Start Time]])</f>
        <v>0</v>
      </c>
      <c r="F218" s="1">
        <v>44936</v>
      </c>
      <c r="G218" s="1">
        <v>44936.022916666669</v>
      </c>
      <c r="H218">
        <v>33</v>
      </c>
      <c r="I218">
        <v>43.49</v>
      </c>
      <c r="J218" t="str">
        <f t="shared" si="10"/>
        <v>Medium</v>
      </c>
      <c r="K218" t="s">
        <v>55</v>
      </c>
      <c r="L218">
        <v>70</v>
      </c>
      <c r="M218">
        <v>100</v>
      </c>
      <c r="N218" t="str">
        <f t="shared" si="11"/>
        <v>Medium Cost</v>
      </c>
      <c r="O218">
        <v>14.62</v>
      </c>
      <c r="P218" t="s">
        <v>51</v>
      </c>
      <c r="Q218" t="s">
        <v>58</v>
      </c>
      <c r="R218" t="s">
        <v>56</v>
      </c>
      <c r="S218" t="s">
        <v>275</v>
      </c>
      <c r="T218" t="s">
        <v>60</v>
      </c>
      <c r="U218">
        <v>58</v>
      </c>
      <c r="V218">
        <v>3.4</v>
      </c>
      <c r="W218" t="s">
        <v>28</v>
      </c>
      <c r="X218" t="s">
        <v>68</v>
      </c>
    </row>
    <row r="219" spans="1:24" x14ac:dyDescent="0.3">
      <c r="A219" t="s">
        <v>1497</v>
      </c>
      <c r="B219" t="s">
        <v>20</v>
      </c>
      <c r="C219" t="s">
        <v>21</v>
      </c>
      <c r="D219" t="str">
        <f t="shared" si="9"/>
        <v>Morning</v>
      </c>
      <c r="E219">
        <f>HOUR(EV_Data[[#This Row],[Charging Start Time]])</f>
        <v>1</v>
      </c>
      <c r="F219" s="1">
        <v>44936.041666666664</v>
      </c>
      <c r="G219" s="1">
        <v>44936.120138888888</v>
      </c>
      <c r="H219">
        <v>113</v>
      </c>
      <c r="I219">
        <v>5.67</v>
      </c>
      <c r="J219" t="str">
        <f t="shared" si="10"/>
        <v>Low</v>
      </c>
      <c r="K219" t="s">
        <v>69</v>
      </c>
      <c r="L219">
        <v>11</v>
      </c>
      <c r="M219">
        <v>21</v>
      </c>
      <c r="N219" t="str">
        <f t="shared" si="11"/>
        <v>Low Cost</v>
      </c>
      <c r="O219">
        <v>2.29</v>
      </c>
      <c r="P219" t="s">
        <v>43</v>
      </c>
      <c r="Q219" t="s">
        <v>58</v>
      </c>
      <c r="R219" t="s">
        <v>35</v>
      </c>
      <c r="S219" t="s">
        <v>276</v>
      </c>
      <c r="T219" t="s">
        <v>27</v>
      </c>
      <c r="U219">
        <v>13</v>
      </c>
      <c r="V219">
        <v>2.5</v>
      </c>
      <c r="W219" t="s">
        <v>28</v>
      </c>
      <c r="X219" t="s">
        <v>68</v>
      </c>
    </row>
    <row r="220" spans="1:24" x14ac:dyDescent="0.3">
      <c r="A220" t="s">
        <v>1498</v>
      </c>
      <c r="B220" t="s">
        <v>53</v>
      </c>
      <c r="C220" t="s">
        <v>54</v>
      </c>
      <c r="D220" t="str">
        <f t="shared" si="9"/>
        <v>Morning</v>
      </c>
      <c r="E220">
        <f>HOUR(EV_Data[[#This Row],[Charging Start Time]])</f>
        <v>2</v>
      </c>
      <c r="F220" s="1">
        <v>44936.083333333336</v>
      </c>
      <c r="G220" s="1">
        <v>44936.157638888893</v>
      </c>
      <c r="H220">
        <v>107</v>
      </c>
      <c r="I220">
        <v>46.54</v>
      </c>
      <c r="J220" t="str">
        <f t="shared" si="10"/>
        <v>Medium</v>
      </c>
      <c r="K220" t="s">
        <v>32</v>
      </c>
      <c r="L220">
        <v>54</v>
      </c>
      <c r="M220">
        <v>85</v>
      </c>
      <c r="N220" t="str">
        <f t="shared" si="11"/>
        <v>High Cost</v>
      </c>
      <c r="O220">
        <v>19.53</v>
      </c>
      <c r="P220" t="s">
        <v>51</v>
      </c>
      <c r="Q220" t="s">
        <v>58</v>
      </c>
      <c r="R220" t="s">
        <v>44</v>
      </c>
      <c r="S220" t="s">
        <v>277</v>
      </c>
      <c r="T220" t="s">
        <v>46</v>
      </c>
      <c r="U220">
        <v>6</v>
      </c>
      <c r="V220">
        <v>4.8</v>
      </c>
      <c r="W220" t="s">
        <v>28</v>
      </c>
      <c r="X220" t="s">
        <v>68</v>
      </c>
    </row>
    <row r="221" spans="1:24" x14ac:dyDescent="0.3">
      <c r="A221" t="s">
        <v>1499</v>
      </c>
      <c r="B221" t="s">
        <v>53</v>
      </c>
      <c r="C221" t="s">
        <v>54</v>
      </c>
      <c r="D221" t="str">
        <f t="shared" si="9"/>
        <v>Morning</v>
      </c>
      <c r="E221">
        <f>HOUR(EV_Data[[#This Row],[Charging Start Time]])</f>
        <v>3</v>
      </c>
      <c r="F221" s="1">
        <v>44936.125</v>
      </c>
      <c r="G221" s="1">
        <v>44936.125694444447</v>
      </c>
      <c r="H221">
        <v>1</v>
      </c>
      <c r="I221">
        <v>20.88</v>
      </c>
      <c r="J221" t="str">
        <f t="shared" si="10"/>
        <v>Medium</v>
      </c>
      <c r="K221" t="s">
        <v>42</v>
      </c>
      <c r="L221">
        <v>26</v>
      </c>
      <c r="M221">
        <v>40</v>
      </c>
      <c r="N221" t="str">
        <f t="shared" si="11"/>
        <v>Medium Cost</v>
      </c>
      <c r="O221">
        <v>9.6300000000000008</v>
      </c>
      <c r="P221" t="s">
        <v>33</v>
      </c>
      <c r="Q221" t="s">
        <v>34</v>
      </c>
      <c r="R221" t="s">
        <v>56</v>
      </c>
      <c r="S221" t="s">
        <v>278</v>
      </c>
      <c r="T221" t="s">
        <v>37</v>
      </c>
      <c r="U221">
        <v>5</v>
      </c>
      <c r="V221">
        <v>1.2</v>
      </c>
      <c r="W221" t="s">
        <v>47</v>
      </c>
      <c r="X221" t="s">
        <v>29</v>
      </c>
    </row>
    <row r="222" spans="1:24" x14ac:dyDescent="0.3">
      <c r="A222" t="s">
        <v>1500</v>
      </c>
      <c r="B222" t="s">
        <v>20</v>
      </c>
      <c r="C222" t="s">
        <v>21</v>
      </c>
      <c r="D222" t="str">
        <f t="shared" si="9"/>
        <v>Morning</v>
      </c>
      <c r="E222">
        <f>HOUR(EV_Data[[#This Row],[Charging Start Time]])</f>
        <v>4</v>
      </c>
      <c r="F222" s="1">
        <v>44936.166666666664</v>
      </c>
      <c r="G222" s="1">
        <v>44936.218055555553</v>
      </c>
      <c r="H222">
        <v>74</v>
      </c>
      <c r="I222">
        <v>28.6</v>
      </c>
      <c r="J222" t="str">
        <f t="shared" si="10"/>
        <v>Medium</v>
      </c>
      <c r="K222" t="s">
        <v>69</v>
      </c>
      <c r="L222">
        <v>5</v>
      </c>
      <c r="M222">
        <v>23</v>
      </c>
      <c r="N222" t="str">
        <f t="shared" si="11"/>
        <v>Medium Cost</v>
      </c>
      <c r="O222">
        <v>14.25</v>
      </c>
      <c r="P222" t="s">
        <v>23</v>
      </c>
      <c r="Q222" t="s">
        <v>24</v>
      </c>
      <c r="R222" t="s">
        <v>44</v>
      </c>
      <c r="S222" t="s">
        <v>279</v>
      </c>
      <c r="T222" t="s">
        <v>37</v>
      </c>
      <c r="U222">
        <v>50</v>
      </c>
      <c r="V222">
        <v>3.4</v>
      </c>
      <c r="W222" t="s">
        <v>28</v>
      </c>
      <c r="X222" t="s">
        <v>68</v>
      </c>
    </row>
    <row r="223" spans="1:24" x14ac:dyDescent="0.3">
      <c r="A223" t="s">
        <v>1501</v>
      </c>
      <c r="B223" t="s">
        <v>40</v>
      </c>
      <c r="C223" t="s">
        <v>41</v>
      </c>
      <c r="D223" t="str">
        <f t="shared" si="9"/>
        <v>Morning</v>
      </c>
      <c r="E223">
        <f>HOUR(EV_Data[[#This Row],[Charging Start Time]])</f>
        <v>5</v>
      </c>
      <c r="F223" s="1">
        <v>44936.208333333336</v>
      </c>
      <c r="G223" s="1">
        <v>44936.294444444437</v>
      </c>
      <c r="H223">
        <v>124</v>
      </c>
      <c r="I223">
        <v>44.96</v>
      </c>
      <c r="J223" t="str">
        <f t="shared" si="10"/>
        <v>Medium</v>
      </c>
      <c r="K223" t="s">
        <v>69</v>
      </c>
      <c r="L223">
        <v>11</v>
      </c>
      <c r="M223">
        <v>25</v>
      </c>
      <c r="N223" t="str">
        <f t="shared" si="11"/>
        <v>High Cost</v>
      </c>
      <c r="O223">
        <v>20.78</v>
      </c>
      <c r="P223" t="s">
        <v>43</v>
      </c>
      <c r="Q223" t="s">
        <v>24</v>
      </c>
      <c r="R223" t="s">
        <v>44</v>
      </c>
      <c r="S223" t="s">
        <v>280</v>
      </c>
      <c r="T223" t="s">
        <v>46</v>
      </c>
      <c r="U223">
        <v>68</v>
      </c>
      <c r="V223">
        <v>4.0999999999999996</v>
      </c>
      <c r="W223" t="s">
        <v>47</v>
      </c>
      <c r="X223" t="s">
        <v>29</v>
      </c>
    </row>
    <row r="224" spans="1:24" x14ac:dyDescent="0.3">
      <c r="A224" t="s">
        <v>1502</v>
      </c>
      <c r="B224" t="s">
        <v>30</v>
      </c>
      <c r="C224" t="s">
        <v>102</v>
      </c>
      <c r="D224" t="str">
        <f t="shared" si="9"/>
        <v>Morning</v>
      </c>
      <c r="E224">
        <f>HOUR(EV_Data[[#This Row],[Charging Start Time]])</f>
        <v>6</v>
      </c>
      <c r="F224" s="1">
        <v>44936.25</v>
      </c>
      <c r="G224" s="1">
        <v>44936.28125</v>
      </c>
      <c r="H224">
        <v>45</v>
      </c>
      <c r="I224">
        <v>24.15</v>
      </c>
      <c r="J224" t="str">
        <f t="shared" si="10"/>
        <v>Medium</v>
      </c>
      <c r="K224" t="s">
        <v>32</v>
      </c>
      <c r="L224">
        <v>64</v>
      </c>
      <c r="M224">
        <v>99</v>
      </c>
      <c r="N224" t="str">
        <f t="shared" si="11"/>
        <v>Medium Cost</v>
      </c>
      <c r="O224">
        <v>10.7</v>
      </c>
      <c r="P224" t="s">
        <v>23</v>
      </c>
      <c r="Q224" t="s">
        <v>48</v>
      </c>
      <c r="R224" t="s">
        <v>35</v>
      </c>
      <c r="S224" t="s">
        <v>281</v>
      </c>
      <c r="T224" t="s">
        <v>60</v>
      </c>
      <c r="U224">
        <v>96</v>
      </c>
      <c r="V224">
        <v>1.8</v>
      </c>
      <c r="W224" t="s">
        <v>28</v>
      </c>
      <c r="X224" t="s">
        <v>68</v>
      </c>
    </row>
    <row r="225" spans="1:24" x14ac:dyDescent="0.3">
      <c r="A225" t="s">
        <v>1503</v>
      </c>
      <c r="B225" t="s">
        <v>40</v>
      </c>
      <c r="C225" t="s">
        <v>41</v>
      </c>
      <c r="D225" t="str">
        <f t="shared" si="9"/>
        <v>Morning</v>
      </c>
      <c r="E225">
        <f>HOUR(EV_Data[[#This Row],[Charging Start Time]])</f>
        <v>7</v>
      </c>
      <c r="F225" s="1">
        <v>44936.291666666664</v>
      </c>
      <c r="G225" s="1">
        <v>44936.318749999999</v>
      </c>
      <c r="H225">
        <v>39</v>
      </c>
      <c r="I225">
        <v>26.1</v>
      </c>
      <c r="J225" t="str">
        <f t="shared" si="10"/>
        <v>Medium</v>
      </c>
      <c r="K225" t="s">
        <v>32</v>
      </c>
      <c r="L225">
        <v>66</v>
      </c>
      <c r="M225">
        <v>90</v>
      </c>
      <c r="N225" t="str">
        <f t="shared" si="11"/>
        <v>Low Cost</v>
      </c>
      <c r="O225">
        <v>7.99</v>
      </c>
      <c r="P225" t="s">
        <v>33</v>
      </c>
      <c r="Q225" t="s">
        <v>34</v>
      </c>
      <c r="R225" t="s">
        <v>25</v>
      </c>
      <c r="S225" t="s">
        <v>282</v>
      </c>
      <c r="T225" t="s">
        <v>27</v>
      </c>
      <c r="U225">
        <v>19</v>
      </c>
      <c r="V225">
        <v>3.2</v>
      </c>
      <c r="W225" t="s">
        <v>28</v>
      </c>
      <c r="X225" t="s">
        <v>68</v>
      </c>
    </row>
    <row r="226" spans="1:24" x14ac:dyDescent="0.3">
      <c r="A226" t="s">
        <v>1504</v>
      </c>
      <c r="B226" t="s">
        <v>20</v>
      </c>
      <c r="C226" t="s">
        <v>21</v>
      </c>
      <c r="D226" t="str">
        <f t="shared" si="9"/>
        <v>Morning</v>
      </c>
      <c r="E226">
        <f>HOUR(EV_Data[[#This Row],[Charging Start Time]])</f>
        <v>8</v>
      </c>
      <c r="F226" s="1">
        <v>44936.333333333336</v>
      </c>
      <c r="G226" s="1">
        <v>44936.357638888891</v>
      </c>
      <c r="H226">
        <v>35</v>
      </c>
      <c r="I226">
        <v>24.4</v>
      </c>
      <c r="J226" t="str">
        <f t="shared" si="10"/>
        <v>Medium</v>
      </c>
      <c r="K226" t="s">
        <v>32</v>
      </c>
      <c r="L226">
        <v>38</v>
      </c>
      <c r="M226">
        <v>78</v>
      </c>
      <c r="N226" t="str">
        <f t="shared" si="11"/>
        <v>Medium Cost</v>
      </c>
      <c r="O226">
        <v>9.0500000000000007</v>
      </c>
      <c r="P226" t="s">
        <v>64</v>
      </c>
      <c r="Q226" t="s">
        <v>48</v>
      </c>
      <c r="R226" t="s">
        <v>25</v>
      </c>
      <c r="S226" t="s">
        <v>283</v>
      </c>
      <c r="T226" t="s">
        <v>37</v>
      </c>
      <c r="U226">
        <v>0</v>
      </c>
      <c r="V226">
        <v>1.1000000000000001</v>
      </c>
      <c r="W226" t="s">
        <v>28</v>
      </c>
      <c r="X226" t="s">
        <v>68</v>
      </c>
    </row>
    <row r="227" spans="1:24" x14ac:dyDescent="0.3">
      <c r="A227" t="s">
        <v>1505</v>
      </c>
      <c r="B227" t="s">
        <v>53</v>
      </c>
      <c r="C227" t="s">
        <v>54</v>
      </c>
      <c r="D227" t="str">
        <f t="shared" si="9"/>
        <v>Morning</v>
      </c>
      <c r="E227">
        <f>HOUR(EV_Data[[#This Row],[Charging Start Time]])</f>
        <v>9</v>
      </c>
      <c r="F227" s="1">
        <v>44936.375</v>
      </c>
      <c r="G227" s="1">
        <v>44936.401388888888</v>
      </c>
      <c r="H227">
        <v>38</v>
      </c>
      <c r="I227">
        <v>42.94</v>
      </c>
      <c r="J227" t="str">
        <f t="shared" si="10"/>
        <v>Medium</v>
      </c>
      <c r="K227" t="s">
        <v>55</v>
      </c>
      <c r="L227">
        <v>46</v>
      </c>
      <c r="M227">
        <v>59</v>
      </c>
      <c r="N227" t="str">
        <f t="shared" si="11"/>
        <v>Medium Cost</v>
      </c>
      <c r="O227">
        <v>15.88</v>
      </c>
      <c r="P227" t="s">
        <v>33</v>
      </c>
      <c r="Q227" t="s">
        <v>24</v>
      </c>
      <c r="R227" t="s">
        <v>35</v>
      </c>
      <c r="S227" t="s">
        <v>284</v>
      </c>
      <c r="T227" t="s">
        <v>60</v>
      </c>
      <c r="U227">
        <v>56</v>
      </c>
      <c r="V227">
        <v>4.0999999999999996</v>
      </c>
      <c r="W227" t="s">
        <v>38</v>
      </c>
      <c r="X227" t="s">
        <v>85</v>
      </c>
    </row>
    <row r="228" spans="1:24" x14ac:dyDescent="0.3">
      <c r="A228" t="s">
        <v>1506</v>
      </c>
      <c r="B228" t="s">
        <v>40</v>
      </c>
      <c r="C228" t="s">
        <v>41</v>
      </c>
      <c r="D228" t="str">
        <f t="shared" si="9"/>
        <v>Morning</v>
      </c>
      <c r="E228">
        <f>HOUR(EV_Data[[#This Row],[Charging Start Time]])</f>
        <v>10</v>
      </c>
      <c r="F228" s="1">
        <v>44936.416666666664</v>
      </c>
      <c r="G228" s="1">
        <v>44936.460416666669</v>
      </c>
      <c r="H228">
        <v>63</v>
      </c>
      <c r="I228">
        <v>18.149999999999999</v>
      </c>
      <c r="J228" t="str">
        <f t="shared" si="10"/>
        <v>Low</v>
      </c>
      <c r="K228" t="s">
        <v>32</v>
      </c>
      <c r="L228">
        <v>8</v>
      </c>
      <c r="M228">
        <v>32</v>
      </c>
      <c r="N228" t="str">
        <f t="shared" si="11"/>
        <v>Low Cost</v>
      </c>
      <c r="O228">
        <v>5.82</v>
      </c>
      <c r="P228" t="s">
        <v>51</v>
      </c>
      <c r="Q228" t="s">
        <v>24</v>
      </c>
      <c r="R228" t="s">
        <v>25</v>
      </c>
      <c r="S228" t="s">
        <v>285</v>
      </c>
      <c r="T228" t="s">
        <v>60</v>
      </c>
      <c r="U228">
        <v>81</v>
      </c>
      <c r="V228">
        <v>4.8</v>
      </c>
      <c r="W228" t="s">
        <v>47</v>
      </c>
      <c r="X228" t="s">
        <v>29</v>
      </c>
    </row>
    <row r="229" spans="1:24" x14ac:dyDescent="0.3">
      <c r="A229" t="s">
        <v>1507</v>
      </c>
      <c r="B229" t="s">
        <v>53</v>
      </c>
      <c r="C229" t="s">
        <v>54</v>
      </c>
      <c r="D229" t="str">
        <f t="shared" si="9"/>
        <v>Morning</v>
      </c>
      <c r="E229">
        <f>HOUR(EV_Data[[#This Row],[Charging Start Time]])</f>
        <v>11</v>
      </c>
      <c r="F229" s="1">
        <v>44936.458333333336</v>
      </c>
      <c r="G229" s="1">
        <v>44936.493750000001</v>
      </c>
      <c r="H229">
        <v>51</v>
      </c>
      <c r="I229">
        <v>32.200000000000003</v>
      </c>
      <c r="J229" t="str">
        <f t="shared" si="10"/>
        <v>Medium</v>
      </c>
      <c r="K229" t="s">
        <v>42</v>
      </c>
      <c r="L229">
        <v>71</v>
      </c>
      <c r="M229">
        <v>81</v>
      </c>
      <c r="N229" t="str">
        <f t="shared" si="11"/>
        <v>Medium Cost</v>
      </c>
      <c r="O229">
        <v>9.18</v>
      </c>
      <c r="P229" t="s">
        <v>51</v>
      </c>
      <c r="Q229" t="s">
        <v>58</v>
      </c>
      <c r="R229" t="s">
        <v>35</v>
      </c>
      <c r="S229" t="s">
        <v>286</v>
      </c>
      <c r="T229" t="s">
        <v>60</v>
      </c>
      <c r="U229">
        <v>31</v>
      </c>
      <c r="V229">
        <v>3.4</v>
      </c>
      <c r="W229" t="s">
        <v>38</v>
      </c>
      <c r="X229" t="s">
        <v>83</v>
      </c>
    </row>
    <row r="230" spans="1:24" x14ac:dyDescent="0.3">
      <c r="A230" t="s">
        <v>1508</v>
      </c>
      <c r="B230" t="s">
        <v>71</v>
      </c>
      <c r="C230" t="s">
        <v>72</v>
      </c>
      <c r="D230" t="str">
        <f t="shared" si="9"/>
        <v>Afternoon</v>
      </c>
      <c r="E230">
        <f>HOUR(EV_Data[[#This Row],[Charging Start Time]])</f>
        <v>12</v>
      </c>
      <c r="F230" s="1">
        <v>44936.5</v>
      </c>
      <c r="G230" s="1">
        <v>44936.580555555563</v>
      </c>
      <c r="H230">
        <v>116</v>
      </c>
      <c r="I230">
        <v>43.74</v>
      </c>
      <c r="J230" t="str">
        <f t="shared" si="10"/>
        <v>Medium</v>
      </c>
      <c r="K230" t="s">
        <v>69</v>
      </c>
      <c r="L230">
        <v>76</v>
      </c>
      <c r="M230">
        <v>100</v>
      </c>
      <c r="N230" t="str">
        <f t="shared" si="11"/>
        <v>Medium Cost</v>
      </c>
      <c r="O230">
        <v>15.93</v>
      </c>
      <c r="P230" t="s">
        <v>51</v>
      </c>
      <c r="Q230" t="s">
        <v>58</v>
      </c>
      <c r="R230" t="s">
        <v>56</v>
      </c>
      <c r="S230" t="s">
        <v>287</v>
      </c>
      <c r="T230" t="s">
        <v>37</v>
      </c>
      <c r="U230">
        <v>40</v>
      </c>
      <c r="V230">
        <v>1.8</v>
      </c>
      <c r="W230" t="s">
        <v>28</v>
      </c>
      <c r="X230" t="s">
        <v>68</v>
      </c>
    </row>
    <row r="231" spans="1:24" x14ac:dyDescent="0.3">
      <c r="A231" t="s">
        <v>1509</v>
      </c>
      <c r="B231" t="s">
        <v>20</v>
      </c>
      <c r="C231" t="s">
        <v>21</v>
      </c>
      <c r="D231" t="str">
        <f t="shared" si="9"/>
        <v>Afternoon</v>
      </c>
      <c r="E231">
        <f>HOUR(EV_Data[[#This Row],[Charging Start Time]])</f>
        <v>13</v>
      </c>
      <c r="F231" s="1">
        <v>44936.541666666664</v>
      </c>
      <c r="G231" s="1">
        <v>44936.605555555558</v>
      </c>
      <c r="H231">
        <v>92</v>
      </c>
      <c r="I231">
        <v>27.81</v>
      </c>
      <c r="J231" t="str">
        <f t="shared" si="10"/>
        <v>Medium</v>
      </c>
      <c r="K231" t="s">
        <v>69</v>
      </c>
      <c r="L231">
        <v>66</v>
      </c>
      <c r="M231">
        <v>92</v>
      </c>
      <c r="N231" t="str">
        <f t="shared" si="11"/>
        <v>Medium Cost</v>
      </c>
      <c r="O231">
        <v>13.84</v>
      </c>
      <c r="P231" t="s">
        <v>43</v>
      </c>
      <c r="Q231" t="s">
        <v>34</v>
      </c>
      <c r="R231" t="s">
        <v>56</v>
      </c>
      <c r="S231" t="s">
        <v>288</v>
      </c>
      <c r="T231" t="s">
        <v>37</v>
      </c>
      <c r="U231">
        <v>5</v>
      </c>
      <c r="V231">
        <v>4.8</v>
      </c>
      <c r="W231" t="s">
        <v>47</v>
      </c>
      <c r="X231" t="s">
        <v>29</v>
      </c>
    </row>
    <row r="232" spans="1:24" x14ac:dyDescent="0.3">
      <c r="A232" t="s">
        <v>1510</v>
      </c>
      <c r="B232" t="s">
        <v>53</v>
      </c>
      <c r="C232" t="s">
        <v>54</v>
      </c>
      <c r="D232" t="str">
        <f t="shared" si="9"/>
        <v>Afternoon</v>
      </c>
      <c r="E232">
        <f>HOUR(EV_Data[[#This Row],[Charging Start Time]])</f>
        <v>14</v>
      </c>
      <c r="F232" s="1">
        <v>44936.583333333336</v>
      </c>
      <c r="G232" s="1">
        <v>44936.631944444453</v>
      </c>
      <c r="H232">
        <v>70</v>
      </c>
      <c r="I232">
        <v>35.979999999999997</v>
      </c>
      <c r="J232" t="str">
        <f t="shared" si="10"/>
        <v>Medium</v>
      </c>
      <c r="K232" t="s">
        <v>69</v>
      </c>
      <c r="L232">
        <v>42</v>
      </c>
      <c r="M232">
        <v>73</v>
      </c>
      <c r="N232" t="str">
        <f t="shared" si="11"/>
        <v>Medium Cost</v>
      </c>
      <c r="O232">
        <v>15.94</v>
      </c>
      <c r="P232" t="s">
        <v>43</v>
      </c>
      <c r="Q232" t="s">
        <v>34</v>
      </c>
      <c r="R232" t="s">
        <v>35</v>
      </c>
      <c r="S232" t="s">
        <v>289</v>
      </c>
      <c r="T232" t="s">
        <v>27</v>
      </c>
      <c r="U232">
        <v>66</v>
      </c>
      <c r="V232">
        <v>1.3</v>
      </c>
      <c r="W232" t="s">
        <v>47</v>
      </c>
      <c r="X232" t="s">
        <v>29</v>
      </c>
    </row>
    <row r="233" spans="1:24" x14ac:dyDescent="0.3">
      <c r="A233" t="s">
        <v>1511</v>
      </c>
      <c r="B233" t="s">
        <v>40</v>
      </c>
      <c r="C233" t="s">
        <v>41</v>
      </c>
      <c r="D233" t="str">
        <f t="shared" si="9"/>
        <v>Afternoon</v>
      </c>
      <c r="E233">
        <f>HOUR(EV_Data[[#This Row],[Charging Start Time]])</f>
        <v>15</v>
      </c>
      <c r="F233" s="1">
        <v>44936.625</v>
      </c>
      <c r="G233" s="1">
        <v>44936.668749999997</v>
      </c>
      <c r="H233">
        <v>63</v>
      </c>
      <c r="I233">
        <v>13.44</v>
      </c>
      <c r="J233" t="str">
        <f t="shared" si="10"/>
        <v>Low</v>
      </c>
      <c r="K233" t="s">
        <v>69</v>
      </c>
      <c r="L233">
        <v>58</v>
      </c>
      <c r="M233">
        <v>80</v>
      </c>
      <c r="N233" t="str">
        <f t="shared" si="11"/>
        <v>Low Cost</v>
      </c>
      <c r="O233">
        <v>4.71</v>
      </c>
      <c r="P233" t="s">
        <v>43</v>
      </c>
      <c r="Q233" t="s">
        <v>34</v>
      </c>
      <c r="R233" t="s">
        <v>25</v>
      </c>
      <c r="S233" t="s">
        <v>290</v>
      </c>
      <c r="T233" t="s">
        <v>37</v>
      </c>
      <c r="U233">
        <v>18</v>
      </c>
      <c r="V233">
        <v>4.3</v>
      </c>
      <c r="W233" t="s">
        <v>38</v>
      </c>
      <c r="X233" t="s">
        <v>83</v>
      </c>
    </row>
    <row r="234" spans="1:24" x14ac:dyDescent="0.3">
      <c r="A234" t="s">
        <v>1512</v>
      </c>
      <c r="B234" t="s">
        <v>20</v>
      </c>
      <c r="C234" t="s">
        <v>21</v>
      </c>
      <c r="D234" t="str">
        <f t="shared" si="9"/>
        <v>Afternoon</v>
      </c>
      <c r="E234">
        <f>HOUR(EV_Data[[#This Row],[Charging Start Time]])</f>
        <v>16</v>
      </c>
      <c r="F234" s="1">
        <v>44936.666666666664</v>
      </c>
      <c r="G234" s="1">
        <v>44936.709027777782</v>
      </c>
      <c r="H234">
        <v>61</v>
      </c>
      <c r="I234">
        <v>15.06</v>
      </c>
      <c r="J234" t="str">
        <f t="shared" si="10"/>
        <v>Low</v>
      </c>
      <c r="K234" t="s">
        <v>69</v>
      </c>
      <c r="L234">
        <v>47</v>
      </c>
      <c r="M234">
        <v>82</v>
      </c>
      <c r="N234" t="str">
        <f t="shared" si="11"/>
        <v>Low Cost</v>
      </c>
      <c r="O234">
        <v>6.68</v>
      </c>
      <c r="P234" t="s">
        <v>23</v>
      </c>
      <c r="Q234" t="s">
        <v>24</v>
      </c>
      <c r="R234" t="s">
        <v>44</v>
      </c>
      <c r="S234" t="s">
        <v>291</v>
      </c>
      <c r="T234" t="s">
        <v>60</v>
      </c>
      <c r="U234">
        <v>55</v>
      </c>
      <c r="V234">
        <v>4.4000000000000004</v>
      </c>
      <c r="W234" t="s">
        <v>28</v>
      </c>
      <c r="X234" t="s">
        <v>68</v>
      </c>
    </row>
    <row r="235" spans="1:24" x14ac:dyDescent="0.3">
      <c r="A235" t="s">
        <v>1513</v>
      </c>
      <c r="B235" t="s">
        <v>71</v>
      </c>
      <c r="C235" t="s">
        <v>72</v>
      </c>
      <c r="D235" t="str">
        <f t="shared" si="9"/>
        <v>Evening</v>
      </c>
      <c r="E235">
        <f>HOUR(EV_Data[[#This Row],[Charging Start Time]])</f>
        <v>17</v>
      </c>
      <c r="F235" s="1">
        <v>44936.708333333336</v>
      </c>
      <c r="G235" s="1">
        <v>44936.753472222219</v>
      </c>
      <c r="H235">
        <v>65</v>
      </c>
      <c r="I235">
        <v>8.11</v>
      </c>
      <c r="J235" t="str">
        <f t="shared" si="10"/>
        <v>Low</v>
      </c>
      <c r="K235" t="s">
        <v>32</v>
      </c>
      <c r="L235">
        <v>38</v>
      </c>
      <c r="M235">
        <v>72</v>
      </c>
      <c r="N235" t="str">
        <f t="shared" si="11"/>
        <v>Low Cost</v>
      </c>
      <c r="O235">
        <v>3.55</v>
      </c>
      <c r="P235" t="s">
        <v>51</v>
      </c>
      <c r="Q235" t="s">
        <v>48</v>
      </c>
      <c r="R235" t="s">
        <v>35</v>
      </c>
      <c r="S235" t="s">
        <v>292</v>
      </c>
      <c r="T235" t="s">
        <v>37</v>
      </c>
      <c r="U235">
        <v>62</v>
      </c>
      <c r="V235">
        <v>4.8</v>
      </c>
      <c r="W235" t="s">
        <v>47</v>
      </c>
      <c r="X235" t="s">
        <v>29</v>
      </c>
    </row>
    <row r="236" spans="1:24" x14ac:dyDescent="0.3">
      <c r="A236" t="s">
        <v>1514</v>
      </c>
      <c r="B236" t="s">
        <v>71</v>
      </c>
      <c r="C236" t="s">
        <v>72</v>
      </c>
      <c r="D236" t="str">
        <f t="shared" si="9"/>
        <v>Evening</v>
      </c>
      <c r="E236">
        <f>HOUR(EV_Data[[#This Row],[Charging Start Time]])</f>
        <v>18</v>
      </c>
      <c r="F236" s="1">
        <v>44936.75</v>
      </c>
      <c r="G236" s="1">
        <v>44936.787499999999</v>
      </c>
      <c r="H236">
        <v>54</v>
      </c>
      <c r="I236">
        <v>8.5399999999999991</v>
      </c>
      <c r="J236" t="str">
        <f t="shared" si="10"/>
        <v>Low</v>
      </c>
      <c r="K236" t="s">
        <v>50</v>
      </c>
      <c r="L236">
        <v>15</v>
      </c>
      <c r="M236">
        <v>26</v>
      </c>
      <c r="N236" t="str">
        <f t="shared" si="11"/>
        <v>Low Cost</v>
      </c>
      <c r="O236">
        <v>3.77</v>
      </c>
      <c r="P236" t="s">
        <v>43</v>
      </c>
      <c r="Q236" t="s">
        <v>48</v>
      </c>
      <c r="R236" t="s">
        <v>25</v>
      </c>
      <c r="S236" t="s">
        <v>293</v>
      </c>
      <c r="T236" t="s">
        <v>60</v>
      </c>
      <c r="U236">
        <v>36</v>
      </c>
      <c r="V236">
        <v>4.0999999999999996</v>
      </c>
      <c r="W236" t="s">
        <v>38</v>
      </c>
    </row>
    <row r="237" spans="1:24" x14ac:dyDescent="0.3">
      <c r="A237" t="s">
        <v>1515</v>
      </c>
      <c r="B237" t="s">
        <v>30</v>
      </c>
      <c r="C237" t="s">
        <v>102</v>
      </c>
      <c r="D237" t="str">
        <f t="shared" si="9"/>
        <v>Evening</v>
      </c>
      <c r="E237">
        <f>HOUR(EV_Data[[#This Row],[Charging Start Time]])</f>
        <v>19</v>
      </c>
      <c r="F237" s="1">
        <v>44936.791666666664</v>
      </c>
      <c r="G237" s="1">
        <v>44936.808333333327</v>
      </c>
      <c r="H237">
        <v>24</v>
      </c>
      <c r="I237">
        <v>29.65</v>
      </c>
      <c r="J237" t="str">
        <f t="shared" si="10"/>
        <v>Medium</v>
      </c>
      <c r="K237" t="s">
        <v>69</v>
      </c>
      <c r="L237">
        <v>38</v>
      </c>
      <c r="M237">
        <v>62</v>
      </c>
      <c r="N237" t="str">
        <f t="shared" si="11"/>
        <v>Medium Cost</v>
      </c>
      <c r="O237">
        <v>10.8</v>
      </c>
      <c r="P237" t="s">
        <v>43</v>
      </c>
      <c r="Q237" t="s">
        <v>48</v>
      </c>
      <c r="R237" t="s">
        <v>35</v>
      </c>
      <c r="S237" t="s">
        <v>294</v>
      </c>
      <c r="T237" t="s">
        <v>60</v>
      </c>
      <c r="U237">
        <v>67</v>
      </c>
      <c r="V237">
        <v>3.4</v>
      </c>
      <c r="W237" t="s">
        <v>38</v>
      </c>
      <c r="X237" t="s">
        <v>83</v>
      </c>
    </row>
    <row r="238" spans="1:24" x14ac:dyDescent="0.3">
      <c r="A238" t="s">
        <v>1516</v>
      </c>
      <c r="B238" t="s">
        <v>77</v>
      </c>
      <c r="C238" t="s">
        <v>78</v>
      </c>
      <c r="D238" t="str">
        <f t="shared" si="9"/>
        <v>Evening</v>
      </c>
      <c r="E238">
        <f>HOUR(EV_Data[[#This Row],[Charging Start Time]])</f>
        <v>20</v>
      </c>
      <c r="F238" s="1">
        <v>44936.833333333336</v>
      </c>
      <c r="G238" s="1">
        <v>44936.878472222219</v>
      </c>
      <c r="H238">
        <v>65</v>
      </c>
      <c r="I238">
        <v>16.760000000000002</v>
      </c>
      <c r="J238" t="str">
        <f t="shared" si="10"/>
        <v>Low</v>
      </c>
      <c r="K238" t="s">
        <v>55</v>
      </c>
      <c r="L238">
        <v>30</v>
      </c>
      <c r="M238">
        <v>60</v>
      </c>
      <c r="N238" t="str">
        <f t="shared" si="11"/>
        <v>Low Cost</v>
      </c>
      <c r="O238">
        <v>7.57</v>
      </c>
      <c r="P238" t="s">
        <v>43</v>
      </c>
      <c r="Q238" t="s">
        <v>24</v>
      </c>
      <c r="R238" t="s">
        <v>25</v>
      </c>
      <c r="S238" t="s">
        <v>295</v>
      </c>
      <c r="T238" t="s">
        <v>60</v>
      </c>
      <c r="U238">
        <v>23</v>
      </c>
      <c r="V238">
        <v>3.6</v>
      </c>
      <c r="W238" t="s">
        <v>28</v>
      </c>
      <c r="X238" t="s">
        <v>68</v>
      </c>
    </row>
    <row r="239" spans="1:24" x14ac:dyDescent="0.3">
      <c r="A239" t="s">
        <v>1517</v>
      </c>
      <c r="B239" t="s">
        <v>20</v>
      </c>
      <c r="C239" t="s">
        <v>21</v>
      </c>
      <c r="D239" t="str">
        <f t="shared" si="9"/>
        <v>Evening</v>
      </c>
      <c r="E239">
        <f>HOUR(EV_Data[[#This Row],[Charging Start Time]])</f>
        <v>21</v>
      </c>
      <c r="F239" s="1">
        <v>44936.875</v>
      </c>
      <c r="G239" s="1">
        <v>44936.902083333327</v>
      </c>
      <c r="H239">
        <v>39</v>
      </c>
      <c r="I239">
        <v>31.94</v>
      </c>
      <c r="J239" t="str">
        <f t="shared" si="10"/>
        <v>Medium</v>
      </c>
      <c r="K239" t="s">
        <v>32</v>
      </c>
      <c r="L239">
        <v>44</v>
      </c>
      <c r="M239">
        <v>55</v>
      </c>
      <c r="N239" t="str">
        <f t="shared" si="11"/>
        <v>Medium Cost</v>
      </c>
      <c r="O239">
        <v>13.48</v>
      </c>
      <c r="P239" t="s">
        <v>64</v>
      </c>
      <c r="Q239" t="s">
        <v>58</v>
      </c>
      <c r="R239" t="s">
        <v>56</v>
      </c>
      <c r="S239" t="s">
        <v>296</v>
      </c>
      <c r="T239" t="s">
        <v>46</v>
      </c>
      <c r="U239">
        <v>80</v>
      </c>
      <c r="V239">
        <v>3.8</v>
      </c>
      <c r="W239" t="s">
        <v>38</v>
      </c>
      <c r="X239" t="s">
        <v>83</v>
      </c>
    </row>
    <row r="240" spans="1:24" x14ac:dyDescent="0.3">
      <c r="A240" t="s">
        <v>1518</v>
      </c>
      <c r="B240" t="s">
        <v>92</v>
      </c>
      <c r="C240" t="s">
        <v>93</v>
      </c>
      <c r="D240" t="str">
        <f t="shared" si="9"/>
        <v>Evening</v>
      </c>
      <c r="E240">
        <f>HOUR(EV_Data[[#This Row],[Charging Start Time]])</f>
        <v>22</v>
      </c>
      <c r="F240" s="1">
        <v>44936.916666666664</v>
      </c>
      <c r="G240" s="1">
        <v>44936.946527777778</v>
      </c>
      <c r="H240">
        <v>43</v>
      </c>
      <c r="I240">
        <v>38.200000000000003</v>
      </c>
      <c r="J240" t="str">
        <f t="shared" si="10"/>
        <v>Medium</v>
      </c>
      <c r="K240" t="s">
        <v>32</v>
      </c>
      <c r="L240">
        <v>80</v>
      </c>
      <c r="M240">
        <v>100</v>
      </c>
      <c r="N240" t="str">
        <f t="shared" si="11"/>
        <v>Medium Cost</v>
      </c>
      <c r="O240">
        <v>16.02</v>
      </c>
      <c r="P240" t="s">
        <v>51</v>
      </c>
      <c r="Q240" t="s">
        <v>58</v>
      </c>
      <c r="R240" t="s">
        <v>44</v>
      </c>
      <c r="S240" t="s">
        <v>258</v>
      </c>
      <c r="T240" t="s">
        <v>46</v>
      </c>
      <c r="U240">
        <v>85</v>
      </c>
      <c r="V240">
        <v>3.5</v>
      </c>
      <c r="W240" t="s">
        <v>47</v>
      </c>
      <c r="X240" t="s">
        <v>29</v>
      </c>
    </row>
    <row r="241" spans="1:24" x14ac:dyDescent="0.3">
      <c r="A241" t="s">
        <v>1519</v>
      </c>
      <c r="B241" t="s">
        <v>126</v>
      </c>
      <c r="C241" t="s">
        <v>31</v>
      </c>
      <c r="D241" t="str">
        <f t="shared" si="9"/>
        <v>Evening</v>
      </c>
      <c r="E241">
        <f>HOUR(EV_Data[[#This Row],[Charging Start Time]])</f>
        <v>23</v>
      </c>
      <c r="F241" s="1">
        <v>44936.958333333336</v>
      </c>
      <c r="G241" s="1">
        <v>44937.044444444437</v>
      </c>
      <c r="H241">
        <v>124</v>
      </c>
      <c r="I241">
        <v>45.98</v>
      </c>
      <c r="J241" t="str">
        <f t="shared" si="10"/>
        <v>Medium</v>
      </c>
      <c r="K241" t="s">
        <v>42</v>
      </c>
      <c r="L241">
        <v>52</v>
      </c>
      <c r="M241">
        <v>88</v>
      </c>
      <c r="N241" t="str">
        <f t="shared" si="11"/>
        <v>Medium Cost</v>
      </c>
      <c r="O241">
        <v>16.32</v>
      </c>
      <c r="P241" t="s">
        <v>43</v>
      </c>
      <c r="Q241" t="s">
        <v>34</v>
      </c>
      <c r="R241" t="s">
        <v>35</v>
      </c>
      <c r="S241" t="s">
        <v>136</v>
      </c>
      <c r="T241" t="s">
        <v>37</v>
      </c>
      <c r="U241">
        <v>3</v>
      </c>
      <c r="V241">
        <v>4.2</v>
      </c>
      <c r="W241" t="s">
        <v>47</v>
      </c>
      <c r="X241" t="s">
        <v>29</v>
      </c>
    </row>
    <row r="242" spans="1:24" x14ac:dyDescent="0.3">
      <c r="A242" t="s">
        <v>1520</v>
      </c>
      <c r="B242" t="s">
        <v>30</v>
      </c>
      <c r="C242" t="s">
        <v>102</v>
      </c>
      <c r="D242" t="str">
        <f t="shared" si="9"/>
        <v>Morning</v>
      </c>
      <c r="E242">
        <f>HOUR(EV_Data[[#This Row],[Charging Start Time]])</f>
        <v>0</v>
      </c>
      <c r="F242" s="1">
        <v>44937</v>
      </c>
      <c r="G242" s="1">
        <v>44937.05972222222</v>
      </c>
      <c r="H242">
        <v>86</v>
      </c>
      <c r="I242">
        <v>33.71</v>
      </c>
      <c r="J242" t="str">
        <f t="shared" si="10"/>
        <v>Medium</v>
      </c>
      <c r="K242" t="s">
        <v>32</v>
      </c>
      <c r="L242">
        <v>16</v>
      </c>
      <c r="M242">
        <v>28</v>
      </c>
      <c r="N242" t="str">
        <f t="shared" si="11"/>
        <v>Medium Cost</v>
      </c>
      <c r="O242">
        <v>10.039999999999999</v>
      </c>
      <c r="P242" t="s">
        <v>64</v>
      </c>
      <c r="Q242" t="s">
        <v>48</v>
      </c>
      <c r="R242" t="s">
        <v>44</v>
      </c>
      <c r="S242" t="s">
        <v>297</v>
      </c>
      <c r="T242" t="s">
        <v>37</v>
      </c>
      <c r="U242">
        <v>9</v>
      </c>
      <c r="V242">
        <v>3.2</v>
      </c>
      <c r="W242" t="s">
        <v>28</v>
      </c>
      <c r="X242" t="s">
        <v>68</v>
      </c>
    </row>
    <row r="243" spans="1:24" x14ac:dyDescent="0.3">
      <c r="A243" t="s">
        <v>1521</v>
      </c>
      <c r="B243" t="s">
        <v>30</v>
      </c>
      <c r="C243" t="s">
        <v>102</v>
      </c>
      <c r="D243" t="str">
        <f t="shared" si="9"/>
        <v>Morning</v>
      </c>
      <c r="E243">
        <f>HOUR(EV_Data[[#This Row],[Charging Start Time]])</f>
        <v>1</v>
      </c>
      <c r="F243" s="1">
        <v>44937.041666666664</v>
      </c>
      <c r="G243" s="1">
        <v>44937.109722222223</v>
      </c>
      <c r="H243">
        <v>98</v>
      </c>
      <c r="I243">
        <v>12.91</v>
      </c>
      <c r="J243" t="str">
        <f t="shared" si="10"/>
        <v>Low</v>
      </c>
      <c r="K243" t="s">
        <v>32</v>
      </c>
      <c r="L243">
        <v>32</v>
      </c>
      <c r="M243">
        <v>60</v>
      </c>
      <c r="N243" t="str">
        <f t="shared" si="11"/>
        <v>Low Cost</v>
      </c>
      <c r="O243">
        <v>3</v>
      </c>
      <c r="P243" t="s">
        <v>51</v>
      </c>
      <c r="Q243" t="s">
        <v>24</v>
      </c>
      <c r="R243" t="s">
        <v>44</v>
      </c>
      <c r="S243" t="s">
        <v>298</v>
      </c>
      <c r="T243" t="s">
        <v>27</v>
      </c>
      <c r="U243">
        <v>46</v>
      </c>
      <c r="V243">
        <v>2.6</v>
      </c>
      <c r="W243" t="s">
        <v>38</v>
      </c>
      <c r="X243" t="s">
        <v>39</v>
      </c>
    </row>
    <row r="244" spans="1:24" x14ac:dyDescent="0.3">
      <c r="A244" t="s">
        <v>1522</v>
      </c>
      <c r="B244" t="s">
        <v>92</v>
      </c>
      <c r="C244" t="s">
        <v>93</v>
      </c>
      <c r="D244" t="str">
        <f t="shared" si="9"/>
        <v>Morning</v>
      </c>
      <c r="E244">
        <f>HOUR(EV_Data[[#This Row],[Charging Start Time]])</f>
        <v>2</v>
      </c>
      <c r="F244" s="1">
        <v>44937.083333333336</v>
      </c>
      <c r="G244" s="1">
        <v>44937.097916666673</v>
      </c>
      <c r="H244">
        <v>21</v>
      </c>
      <c r="I244">
        <v>29.8</v>
      </c>
      <c r="J244" t="str">
        <f t="shared" si="10"/>
        <v>Medium</v>
      </c>
      <c r="K244" t="s">
        <v>42</v>
      </c>
      <c r="L244">
        <v>14</v>
      </c>
      <c r="M244">
        <v>32</v>
      </c>
      <c r="N244" t="str">
        <f t="shared" si="11"/>
        <v>Medium Cost</v>
      </c>
      <c r="O244">
        <v>14.53</v>
      </c>
      <c r="P244" t="s">
        <v>64</v>
      </c>
      <c r="Q244" t="s">
        <v>48</v>
      </c>
      <c r="R244" t="s">
        <v>35</v>
      </c>
      <c r="S244" t="s">
        <v>299</v>
      </c>
      <c r="T244" t="s">
        <v>27</v>
      </c>
      <c r="U244">
        <v>81</v>
      </c>
      <c r="V244">
        <v>5</v>
      </c>
      <c r="W244" t="s">
        <v>47</v>
      </c>
      <c r="X244" t="s">
        <v>29</v>
      </c>
    </row>
    <row r="245" spans="1:24" x14ac:dyDescent="0.3">
      <c r="A245" t="s">
        <v>1523</v>
      </c>
      <c r="B245" t="s">
        <v>92</v>
      </c>
      <c r="C245" t="s">
        <v>93</v>
      </c>
      <c r="D245" t="str">
        <f t="shared" si="9"/>
        <v>Morning</v>
      </c>
      <c r="E245">
        <f>HOUR(EV_Data[[#This Row],[Charging Start Time]])</f>
        <v>3</v>
      </c>
      <c r="F245" s="1">
        <v>44937.125</v>
      </c>
      <c r="G245" s="1">
        <v>44937.15347222222</v>
      </c>
      <c r="H245">
        <v>41</v>
      </c>
      <c r="I245">
        <v>34.67</v>
      </c>
      <c r="J245" t="str">
        <f t="shared" si="10"/>
        <v>Medium</v>
      </c>
      <c r="K245" t="s">
        <v>55</v>
      </c>
      <c r="L245">
        <v>8</v>
      </c>
      <c r="M245">
        <v>25</v>
      </c>
      <c r="N245" t="str">
        <f t="shared" si="11"/>
        <v>Medium Cost</v>
      </c>
      <c r="O245">
        <v>11.81</v>
      </c>
      <c r="P245" t="s">
        <v>33</v>
      </c>
      <c r="Q245" t="s">
        <v>24</v>
      </c>
      <c r="R245" t="s">
        <v>56</v>
      </c>
      <c r="S245" t="s">
        <v>158</v>
      </c>
      <c r="T245" t="s">
        <v>46</v>
      </c>
      <c r="U245">
        <v>72</v>
      </c>
      <c r="V245">
        <v>1.9</v>
      </c>
      <c r="W245" t="s">
        <v>28</v>
      </c>
      <c r="X245" t="s">
        <v>68</v>
      </c>
    </row>
    <row r="246" spans="1:24" x14ac:dyDescent="0.3">
      <c r="A246" t="s">
        <v>1524</v>
      </c>
      <c r="B246" t="s">
        <v>40</v>
      </c>
      <c r="C246" t="s">
        <v>41</v>
      </c>
      <c r="D246" t="str">
        <f t="shared" si="9"/>
        <v>Morning</v>
      </c>
      <c r="E246">
        <f>HOUR(EV_Data[[#This Row],[Charging Start Time]])</f>
        <v>4</v>
      </c>
      <c r="F246" s="1">
        <v>44937.166666666664</v>
      </c>
      <c r="G246" s="1">
        <v>44937.19027777778</v>
      </c>
      <c r="H246">
        <v>34</v>
      </c>
      <c r="I246">
        <v>47.55</v>
      </c>
      <c r="J246" t="str">
        <f t="shared" si="10"/>
        <v>Medium</v>
      </c>
      <c r="K246" t="s">
        <v>32</v>
      </c>
      <c r="L246">
        <v>18</v>
      </c>
      <c r="M246">
        <v>46</v>
      </c>
      <c r="N246" t="str">
        <f t="shared" si="11"/>
        <v>Medium Cost</v>
      </c>
      <c r="O246">
        <v>16.010000000000002</v>
      </c>
      <c r="P246" t="s">
        <v>33</v>
      </c>
      <c r="Q246" t="s">
        <v>48</v>
      </c>
      <c r="R246" t="s">
        <v>25</v>
      </c>
      <c r="S246" t="s">
        <v>300</v>
      </c>
      <c r="T246" t="s">
        <v>27</v>
      </c>
      <c r="U246">
        <v>26</v>
      </c>
      <c r="V246">
        <v>2.2999999999999998</v>
      </c>
      <c r="W246" t="s">
        <v>47</v>
      </c>
      <c r="X246" t="s">
        <v>29</v>
      </c>
    </row>
    <row r="247" spans="1:24" x14ac:dyDescent="0.3">
      <c r="A247" t="s">
        <v>1525</v>
      </c>
      <c r="B247" t="s">
        <v>77</v>
      </c>
      <c r="C247" t="s">
        <v>78</v>
      </c>
      <c r="D247" t="str">
        <f t="shared" si="9"/>
        <v>Morning</v>
      </c>
      <c r="E247">
        <f>HOUR(EV_Data[[#This Row],[Charging Start Time]])</f>
        <v>5</v>
      </c>
      <c r="F247" s="1">
        <v>44937.208333333336</v>
      </c>
      <c r="G247" s="1">
        <v>44937.248611111107</v>
      </c>
      <c r="H247">
        <v>58</v>
      </c>
      <c r="I247">
        <v>21.59</v>
      </c>
      <c r="J247" t="str">
        <f t="shared" si="10"/>
        <v>Medium</v>
      </c>
      <c r="K247" t="s">
        <v>55</v>
      </c>
      <c r="L247">
        <v>57</v>
      </c>
      <c r="M247">
        <v>91</v>
      </c>
      <c r="N247" t="str">
        <f t="shared" si="11"/>
        <v>Low Cost</v>
      </c>
      <c r="O247">
        <v>6.88</v>
      </c>
      <c r="P247" t="s">
        <v>51</v>
      </c>
      <c r="Q247" t="s">
        <v>34</v>
      </c>
      <c r="R247" t="s">
        <v>44</v>
      </c>
      <c r="S247" t="s">
        <v>301</v>
      </c>
      <c r="T247" t="s">
        <v>46</v>
      </c>
      <c r="U247">
        <v>19</v>
      </c>
      <c r="V247">
        <v>3.6</v>
      </c>
      <c r="W247" t="s">
        <v>47</v>
      </c>
      <c r="X247" t="s">
        <v>29</v>
      </c>
    </row>
    <row r="248" spans="1:24" x14ac:dyDescent="0.3">
      <c r="A248" t="s">
        <v>1526</v>
      </c>
      <c r="B248" t="s">
        <v>40</v>
      </c>
      <c r="C248" t="s">
        <v>41</v>
      </c>
      <c r="D248" t="str">
        <f t="shared" si="9"/>
        <v>Morning</v>
      </c>
      <c r="E248">
        <f>HOUR(EV_Data[[#This Row],[Charging Start Time]])</f>
        <v>6</v>
      </c>
      <c r="F248" s="1">
        <v>44937.25</v>
      </c>
      <c r="G248" s="1">
        <v>44937.293749999997</v>
      </c>
      <c r="H248">
        <v>63</v>
      </c>
      <c r="I248">
        <v>33.43</v>
      </c>
      <c r="J248" t="str">
        <f t="shared" si="10"/>
        <v>Medium</v>
      </c>
      <c r="K248" t="s">
        <v>32</v>
      </c>
      <c r="L248">
        <v>12</v>
      </c>
      <c r="M248">
        <v>30</v>
      </c>
      <c r="N248" t="str">
        <f t="shared" si="11"/>
        <v>Medium Cost</v>
      </c>
      <c r="O248">
        <v>16.09</v>
      </c>
      <c r="P248" t="s">
        <v>64</v>
      </c>
      <c r="Q248" t="s">
        <v>58</v>
      </c>
      <c r="R248" t="s">
        <v>56</v>
      </c>
      <c r="S248" t="s">
        <v>302</v>
      </c>
      <c r="T248" t="s">
        <v>60</v>
      </c>
      <c r="U248">
        <v>61</v>
      </c>
      <c r="V248">
        <v>1.1000000000000001</v>
      </c>
      <c r="W248" t="s">
        <v>28</v>
      </c>
      <c r="X248" t="s">
        <v>68</v>
      </c>
    </row>
    <row r="249" spans="1:24" x14ac:dyDescent="0.3">
      <c r="A249" t="s">
        <v>1527</v>
      </c>
      <c r="B249" t="s">
        <v>92</v>
      </c>
      <c r="C249" t="s">
        <v>93</v>
      </c>
      <c r="D249" t="str">
        <f t="shared" si="9"/>
        <v>Morning</v>
      </c>
      <c r="E249">
        <f>HOUR(EV_Data[[#This Row],[Charging Start Time]])</f>
        <v>7</v>
      </c>
      <c r="F249" s="1">
        <v>44937.291666666664</v>
      </c>
      <c r="G249" s="1">
        <v>44937.359027777777</v>
      </c>
      <c r="H249">
        <v>97</v>
      </c>
      <c r="I249">
        <v>16.14</v>
      </c>
      <c r="J249" t="str">
        <f t="shared" si="10"/>
        <v>Low</v>
      </c>
      <c r="K249" t="s">
        <v>32</v>
      </c>
      <c r="L249">
        <v>13</v>
      </c>
      <c r="M249">
        <v>48</v>
      </c>
      <c r="N249" t="str">
        <f t="shared" si="11"/>
        <v>Low Cost</v>
      </c>
      <c r="O249">
        <v>7.28</v>
      </c>
      <c r="P249" t="s">
        <v>33</v>
      </c>
      <c r="Q249" t="s">
        <v>48</v>
      </c>
      <c r="R249" t="s">
        <v>56</v>
      </c>
      <c r="S249" t="s">
        <v>303</v>
      </c>
      <c r="T249" t="s">
        <v>37</v>
      </c>
      <c r="U249">
        <v>25</v>
      </c>
      <c r="V249">
        <v>1.9</v>
      </c>
      <c r="W249" t="s">
        <v>28</v>
      </c>
      <c r="X249" t="s">
        <v>68</v>
      </c>
    </row>
    <row r="250" spans="1:24" x14ac:dyDescent="0.3">
      <c r="A250" t="s">
        <v>1528</v>
      </c>
      <c r="B250" t="s">
        <v>40</v>
      </c>
      <c r="C250" t="s">
        <v>41</v>
      </c>
      <c r="D250" t="str">
        <f t="shared" si="9"/>
        <v>Morning</v>
      </c>
      <c r="E250">
        <f>HOUR(EV_Data[[#This Row],[Charging Start Time]])</f>
        <v>8</v>
      </c>
      <c r="F250" s="1">
        <v>44937.333333333336</v>
      </c>
      <c r="G250" s="1">
        <v>44937.35833333333</v>
      </c>
      <c r="H250">
        <v>36</v>
      </c>
      <c r="I250">
        <v>22.2</v>
      </c>
      <c r="J250" t="str">
        <f t="shared" si="10"/>
        <v>Medium</v>
      </c>
      <c r="K250" t="s">
        <v>50</v>
      </c>
      <c r="L250">
        <v>16</v>
      </c>
      <c r="M250">
        <v>37</v>
      </c>
      <c r="N250" t="str">
        <f t="shared" si="11"/>
        <v>Medium Cost</v>
      </c>
      <c r="O250">
        <v>9.56</v>
      </c>
      <c r="P250" t="s">
        <v>51</v>
      </c>
      <c r="Q250" t="s">
        <v>58</v>
      </c>
      <c r="R250" t="s">
        <v>44</v>
      </c>
      <c r="S250" t="s">
        <v>103</v>
      </c>
      <c r="T250" t="s">
        <v>27</v>
      </c>
      <c r="U250">
        <v>57</v>
      </c>
      <c r="V250">
        <v>1.7</v>
      </c>
      <c r="W250" t="s">
        <v>38</v>
      </c>
    </row>
    <row r="251" spans="1:24" x14ac:dyDescent="0.3">
      <c r="A251" t="s">
        <v>1529</v>
      </c>
      <c r="B251" t="s">
        <v>71</v>
      </c>
      <c r="C251" t="s">
        <v>72</v>
      </c>
      <c r="D251" t="str">
        <f t="shared" si="9"/>
        <v>Morning</v>
      </c>
      <c r="E251">
        <f>HOUR(EV_Data[[#This Row],[Charging Start Time]])</f>
        <v>9</v>
      </c>
      <c r="F251" s="1">
        <v>44937.375</v>
      </c>
      <c r="G251" s="1">
        <v>44937.393750000003</v>
      </c>
      <c r="H251">
        <v>27</v>
      </c>
      <c r="I251">
        <v>13.73</v>
      </c>
      <c r="J251" t="str">
        <f t="shared" si="10"/>
        <v>Low</v>
      </c>
      <c r="K251" t="s">
        <v>50</v>
      </c>
      <c r="L251">
        <v>14</v>
      </c>
      <c r="M251">
        <v>30</v>
      </c>
      <c r="N251" t="str">
        <f t="shared" si="11"/>
        <v>Low Cost</v>
      </c>
      <c r="O251">
        <v>5.28</v>
      </c>
      <c r="P251" t="s">
        <v>23</v>
      </c>
      <c r="Q251" t="s">
        <v>48</v>
      </c>
      <c r="R251" t="s">
        <v>25</v>
      </c>
      <c r="S251" t="s">
        <v>304</v>
      </c>
      <c r="T251" t="s">
        <v>27</v>
      </c>
      <c r="U251">
        <v>79</v>
      </c>
      <c r="V251">
        <v>2.8</v>
      </c>
      <c r="W251" t="s">
        <v>28</v>
      </c>
      <c r="X251" t="s">
        <v>68</v>
      </c>
    </row>
    <row r="252" spans="1:24" x14ac:dyDescent="0.3">
      <c r="A252" t="s">
        <v>1530</v>
      </c>
      <c r="B252" t="s">
        <v>53</v>
      </c>
      <c r="C252" t="s">
        <v>54</v>
      </c>
      <c r="D252" t="str">
        <f t="shared" si="9"/>
        <v>Morning</v>
      </c>
      <c r="E252">
        <f>HOUR(EV_Data[[#This Row],[Charging Start Time]])</f>
        <v>10</v>
      </c>
      <c r="F252" s="1">
        <v>44937.416666666664</v>
      </c>
      <c r="G252" s="1">
        <v>44937.456944444442</v>
      </c>
      <c r="H252">
        <v>58</v>
      </c>
      <c r="I252">
        <v>34.92</v>
      </c>
      <c r="J252" t="str">
        <f t="shared" si="10"/>
        <v>Medium</v>
      </c>
      <c r="K252" t="s">
        <v>69</v>
      </c>
      <c r="L252">
        <v>36</v>
      </c>
      <c r="M252">
        <v>66</v>
      </c>
      <c r="N252" t="str">
        <f t="shared" si="11"/>
        <v>Medium Cost</v>
      </c>
      <c r="O252">
        <v>12.31</v>
      </c>
      <c r="P252" t="s">
        <v>23</v>
      </c>
      <c r="Q252" t="s">
        <v>24</v>
      </c>
      <c r="R252" t="s">
        <v>56</v>
      </c>
      <c r="S252" t="s">
        <v>166</v>
      </c>
      <c r="T252" t="s">
        <v>46</v>
      </c>
      <c r="U252">
        <v>68</v>
      </c>
      <c r="V252">
        <v>3</v>
      </c>
      <c r="W252" t="s">
        <v>38</v>
      </c>
      <c r="X252" t="s">
        <v>83</v>
      </c>
    </row>
    <row r="253" spans="1:24" x14ac:dyDescent="0.3">
      <c r="A253" t="s">
        <v>1531</v>
      </c>
      <c r="B253" t="s">
        <v>20</v>
      </c>
      <c r="C253" t="s">
        <v>21</v>
      </c>
      <c r="D253" t="str">
        <f t="shared" si="9"/>
        <v>Morning</v>
      </c>
      <c r="E253">
        <f>HOUR(EV_Data[[#This Row],[Charging Start Time]])</f>
        <v>11</v>
      </c>
      <c r="F253" s="1">
        <v>44937.458333333336</v>
      </c>
      <c r="G253" s="1">
        <v>44937.489583333343</v>
      </c>
      <c r="H253">
        <v>45</v>
      </c>
      <c r="I253">
        <v>14.26</v>
      </c>
      <c r="J253" t="str">
        <f t="shared" si="10"/>
        <v>Low</v>
      </c>
      <c r="K253" t="s">
        <v>32</v>
      </c>
      <c r="L253">
        <v>69</v>
      </c>
      <c r="M253">
        <v>83</v>
      </c>
      <c r="N253" t="str">
        <f t="shared" si="11"/>
        <v>Low Cost</v>
      </c>
      <c r="O253">
        <v>3.7</v>
      </c>
      <c r="P253" t="s">
        <v>33</v>
      </c>
      <c r="Q253" t="s">
        <v>34</v>
      </c>
      <c r="R253" t="s">
        <v>56</v>
      </c>
      <c r="S253" t="s">
        <v>305</v>
      </c>
      <c r="T253" t="s">
        <v>46</v>
      </c>
      <c r="U253">
        <v>65</v>
      </c>
      <c r="V253">
        <v>1.9</v>
      </c>
      <c r="W253" t="s">
        <v>28</v>
      </c>
      <c r="X253" t="s">
        <v>68</v>
      </c>
    </row>
    <row r="254" spans="1:24" x14ac:dyDescent="0.3">
      <c r="A254" t="s">
        <v>1532</v>
      </c>
      <c r="B254" t="s">
        <v>40</v>
      </c>
      <c r="C254" t="s">
        <v>41</v>
      </c>
      <c r="D254" t="str">
        <f t="shared" si="9"/>
        <v>Afternoon</v>
      </c>
      <c r="E254">
        <f>HOUR(EV_Data[[#This Row],[Charging Start Time]])</f>
        <v>12</v>
      </c>
      <c r="F254" s="1">
        <v>44937.5</v>
      </c>
      <c r="G254" s="1">
        <v>44937.543749999997</v>
      </c>
      <c r="H254">
        <v>63</v>
      </c>
      <c r="I254">
        <v>12.47</v>
      </c>
      <c r="J254" t="str">
        <f t="shared" si="10"/>
        <v>Low</v>
      </c>
      <c r="K254" t="s">
        <v>55</v>
      </c>
      <c r="L254">
        <v>36</v>
      </c>
      <c r="M254">
        <v>55</v>
      </c>
      <c r="N254" t="str">
        <f t="shared" si="11"/>
        <v>Low Cost</v>
      </c>
      <c r="O254">
        <v>4.8099999999999996</v>
      </c>
      <c r="P254" t="s">
        <v>33</v>
      </c>
      <c r="Q254" t="s">
        <v>34</v>
      </c>
      <c r="R254" t="s">
        <v>35</v>
      </c>
      <c r="S254" t="s">
        <v>306</v>
      </c>
      <c r="T254" t="s">
        <v>46</v>
      </c>
      <c r="U254">
        <v>68</v>
      </c>
      <c r="V254">
        <v>3</v>
      </c>
      <c r="W254" t="s">
        <v>38</v>
      </c>
      <c r="X254" t="s">
        <v>62</v>
      </c>
    </row>
    <row r="255" spans="1:24" x14ac:dyDescent="0.3">
      <c r="A255" t="s">
        <v>1533</v>
      </c>
      <c r="B255" t="s">
        <v>40</v>
      </c>
      <c r="C255" t="s">
        <v>41</v>
      </c>
      <c r="D255" t="str">
        <f t="shared" si="9"/>
        <v>Afternoon</v>
      </c>
      <c r="E255">
        <f>HOUR(EV_Data[[#This Row],[Charging Start Time]])</f>
        <v>13</v>
      </c>
      <c r="F255" s="1">
        <v>44937.541666666664</v>
      </c>
      <c r="G255" s="1">
        <v>44937.561805555553</v>
      </c>
      <c r="H255">
        <v>29</v>
      </c>
      <c r="I255">
        <v>12.06</v>
      </c>
      <c r="J255" t="str">
        <f t="shared" si="10"/>
        <v>Low</v>
      </c>
      <c r="K255" t="s">
        <v>42</v>
      </c>
      <c r="L255">
        <v>39</v>
      </c>
      <c r="M255">
        <v>65</v>
      </c>
      <c r="N255" t="str">
        <f t="shared" si="11"/>
        <v>Low Cost</v>
      </c>
      <c r="O255">
        <v>3.6</v>
      </c>
      <c r="P255" t="s">
        <v>23</v>
      </c>
      <c r="Q255" t="s">
        <v>34</v>
      </c>
      <c r="R255" t="s">
        <v>35</v>
      </c>
      <c r="S255" t="s">
        <v>307</v>
      </c>
      <c r="T255" t="s">
        <v>60</v>
      </c>
      <c r="U255">
        <v>54</v>
      </c>
      <c r="V255">
        <v>1.9</v>
      </c>
      <c r="W255" t="s">
        <v>28</v>
      </c>
      <c r="X255" t="s">
        <v>68</v>
      </c>
    </row>
    <row r="256" spans="1:24" x14ac:dyDescent="0.3">
      <c r="A256" t="s">
        <v>1534</v>
      </c>
      <c r="B256" t="s">
        <v>30</v>
      </c>
      <c r="C256" t="s">
        <v>102</v>
      </c>
      <c r="D256" t="str">
        <f t="shared" si="9"/>
        <v>Afternoon</v>
      </c>
      <c r="E256">
        <f>HOUR(EV_Data[[#This Row],[Charging Start Time]])</f>
        <v>14</v>
      </c>
      <c r="F256" s="1">
        <v>44937.583333333336</v>
      </c>
      <c r="G256" s="1">
        <v>44937.606944444437</v>
      </c>
      <c r="H256">
        <v>34</v>
      </c>
      <c r="I256">
        <v>11.3</v>
      </c>
      <c r="J256" t="str">
        <f t="shared" si="10"/>
        <v>Low</v>
      </c>
      <c r="K256" t="s">
        <v>69</v>
      </c>
      <c r="L256">
        <v>6</v>
      </c>
      <c r="M256">
        <v>26</v>
      </c>
      <c r="N256" t="str">
        <f t="shared" si="11"/>
        <v>Low Cost</v>
      </c>
      <c r="O256">
        <v>5.52</v>
      </c>
      <c r="P256" t="s">
        <v>23</v>
      </c>
      <c r="Q256" t="s">
        <v>48</v>
      </c>
      <c r="R256" t="s">
        <v>44</v>
      </c>
      <c r="S256" t="s">
        <v>308</v>
      </c>
      <c r="T256" t="s">
        <v>46</v>
      </c>
      <c r="U256">
        <v>68</v>
      </c>
      <c r="V256">
        <v>2.9</v>
      </c>
      <c r="W256" t="s">
        <v>28</v>
      </c>
      <c r="X256" t="s">
        <v>68</v>
      </c>
    </row>
    <row r="257" spans="1:24" x14ac:dyDescent="0.3">
      <c r="A257" t="s">
        <v>1535</v>
      </c>
      <c r="B257" t="s">
        <v>30</v>
      </c>
      <c r="C257" t="s">
        <v>102</v>
      </c>
      <c r="D257" t="str">
        <f t="shared" si="9"/>
        <v>Afternoon</v>
      </c>
      <c r="E257">
        <f>HOUR(EV_Data[[#This Row],[Charging Start Time]])</f>
        <v>15</v>
      </c>
      <c r="F257" s="1">
        <v>44937.625</v>
      </c>
      <c r="G257" s="1">
        <v>44937.672222222223</v>
      </c>
      <c r="H257">
        <v>68</v>
      </c>
      <c r="I257">
        <v>19.48</v>
      </c>
      <c r="J257" t="str">
        <f t="shared" si="10"/>
        <v>Low</v>
      </c>
      <c r="K257" t="s">
        <v>32</v>
      </c>
      <c r="L257">
        <v>65</v>
      </c>
      <c r="M257">
        <v>77</v>
      </c>
      <c r="N257" t="str">
        <f t="shared" si="11"/>
        <v>Low Cost</v>
      </c>
      <c r="O257">
        <v>5.4</v>
      </c>
      <c r="P257" t="s">
        <v>51</v>
      </c>
      <c r="Q257" t="s">
        <v>24</v>
      </c>
      <c r="R257" t="s">
        <v>25</v>
      </c>
      <c r="S257" t="s">
        <v>309</v>
      </c>
      <c r="T257" t="s">
        <v>27</v>
      </c>
      <c r="U257">
        <v>39</v>
      </c>
      <c r="V257">
        <v>3.6</v>
      </c>
      <c r="W257" t="s">
        <v>28</v>
      </c>
      <c r="X257" t="s">
        <v>68</v>
      </c>
    </row>
    <row r="258" spans="1:24" x14ac:dyDescent="0.3">
      <c r="A258" t="s">
        <v>1536</v>
      </c>
      <c r="B258" t="s">
        <v>77</v>
      </c>
      <c r="C258" t="s">
        <v>78</v>
      </c>
      <c r="D258" t="str">
        <f t="shared" ref="D258:D321" si="12">IF(E258&lt;12,"Morning",IF(E258&lt;17,"Afternoon","Evening"))</f>
        <v>Afternoon</v>
      </c>
      <c r="E258">
        <f>HOUR(EV_Data[[#This Row],[Charging Start Time]])</f>
        <v>16</v>
      </c>
      <c r="F258" s="1">
        <v>44937.666666666664</v>
      </c>
      <c r="G258" s="1">
        <v>44937.713194444441</v>
      </c>
      <c r="H258">
        <v>67</v>
      </c>
      <c r="I258">
        <v>26.27</v>
      </c>
      <c r="J258" t="str">
        <f t="shared" ref="J258:J321" si="13">IF(I258&lt;20,"Low",IF(I258&lt;50,"Medium","High"))</f>
        <v>Medium</v>
      </c>
      <c r="K258" t="s">
        <v>55</v>
      </c>
      <c r="L258">
        <v>24</v>
      </c>
      <c r="M258">
        <v>61</v>
      </c>
      <c r="N258" t="str">
        <f t="shared" ref="N258:N321" si="14">IF(O258&lt;8,"Low Cost",IF(O258&lt;17,"Medium Cost","High Cost"))</f>
        <v>Medium Cost</v>
      </c>
      <c r="O258">
        <v>9.68</v>
      </c>
      <c r="P258" t="s">
        <v>64</v>
      </c>
      <c r="Q258" t="s">
        <v>48</v>
      </c>
      <c r="R258" t="s">
        <v>25</v>
      </c>
      <c r="S258" t="s">
        <v>310</v>
      </c>
      <c r="T258" t="s">
        <v>60</v>
      </c>
      <c r="U258">
        <v>29</v>
      </c>
      <c r="V258">
        <v>2.4</v>
      </c>
      <c r="W258" t="s">
        <v>28</v>
      </c>
      <c r="X258" t="s">
        <v>68</v>
      </c>
    </row>
    <row r="259" spans="1:24" x14ac:dyDescent="0.3">
      <c r="A259" t="s">
        <v>1537</v>
      </c>
      <c r="B259" t="s">
        <v>92</v>
      </c>
      <c r="C259" t="s">
        <v>93</v>
      </c>
      <c r="D259" t="str">
        <f t="shared" si="12"/>
        <v>Evening</v>
      </c>
      <c r="E259">
        <f>HOUR(EV_Data[[#This Row],[Charging Start Time]])</f>
        <v>17</v>
      </c>
      <c r="F259" s="1">
        <v>44937.708333333336</v>
      </c>
      <c r="G259" s="1">
        <v>44937.741666666669</v>
      </c>
      <c r="H259">
        <v>48</v>
      </c>
      <c r="I259">
        <v>15.82</v>
      </c>
      <c r="J259" t="str">
        <f t="shared" si="13"/>
        <v>Low</v>
      </c>
      <c r="K259" t="s">
        <v>22</v>
      </c>
      <c r="L259">
        <v>69</v>
      </c>
      <c r="M259">
        <v>90</v>
      </c>
      <c r="N259" t="str">
        <f t="shared" si="14"/>
        <v>Low Cost</v>
      </c>
      <c r="O259">
        <v>4.12</v>
      </c>
      <c r="P259" t="s">
        <v>23</v>
      </c>
      <c r="Q259" t="s">
        <v>24</v>
      </c>
      <c r="R259" t="s">
        <v>25</v>
      </c>
      <c r="S259" t="s">
        <v>311</v>
      </c>
      <c r="T259" t="s">
        <v>46</v>
      </c>
      <c r="U259">
        <v>92</v>
      </c>
      <c r="V259">
        <v>1.8</v>
      </c>
      <c r="W259" t="s">
        <v>47</v>
      </c>
      <c r="X259" t="s">
        <v>29</v>
      </c>
    </row>
    <row r="260" spans="1:24" x14ac:dyDescent="0.3">
      <c r="A260" t="s">
        <v>1538</v>
      </c>
      <c r="B260" t="s">
        <v>20</v>
      </c>
      <c r="C260" t="s">
        <v>21</v>
      </c>
      <c r="D260" t="str">
        <f t="shared" si="12"/>
        <v>Evening</v>
      </c>
      <c r="E260">
        <f>HOUR(EV_Data[[#This Row],[Charging Start Time]])</f>
        <v>18</v>
      </c>
      <c r="F260" s="1">
        <v>44937.75</v>
      </c>
      <c r="G260" s="1">
        <v>44937.793055555558</v>
      </c>
      <c r="H260">
        <v>62</v>
      </c>
      <c r="I260">
        <v>48.91</v>
      </c>
      <c r="J260" t="str">
        <f t="shared" si="13"/>
        <v>Medium</v>
      </c>
      <c r="K260" t="s">
        <v>50</v>
      </c>
      <c r="L260">
        <v>59</v>
      </c>
      <c r="M260">
        <v>89</v>
      </c>
      <c r="N260" t="str">
        <f t="shared" si="14"/>
        <v>High Cost</v>
      </c>
      <c r="O260">
        <v>19.98</v>
      </c>
      <c r="P260" t="s">
        <v>23</v>
      </c>
      <c r="Q260" t="s">
        <v>58</v>
      </c>
      <c r="R260" t="s">
        <v>35</v>
      </c>
      <c r="S260" t="s">
        <v>312</v>
      </c>
      <c r="T260" t="s">
        <v>46</v>
      </c>
      <c r="U260">
        <v>54</v>
      </c>
      <c r="V260">
        <v>3</v>
      </c>
      <c r="W260" t="s">
        <v>38</v>
      </c>
      <c r="X260" t="s">
        <v>39</v>
      </c>
    </row>
    <row r="261" spans="1:24" x14ac:dyDescent="0.3">
      <c r="A261" t="s">
        <v>1539</v>
      </c>
      <c r="B261" t="s">
        <v>92</v>
      </c>
      <c r="C261" t="s">
        <v>93</v>
      </c>
      <c r="D261" t="str">
        <f t="shared" si="12"/>
        <v>Evening</v>
      </c>
      <c r="E261">
        <f>HOUR(EV_Data[[#This Row],[Charging Start Time]])</f>
        <v>19</v>
      </c>
      <c r="F261" s="1">
        <v>44937.791666666664</v>
      </c>
      <c r="G261" s="1">
        <v>44937.804166666669</v>
      </c>
      <c r="H261">
        <v>18</v>
      </c>
      <c r="I261">
        <v>47.02</v>
      </c>
      <c r="J261" t="str">
        <f t="shared" si="13"/>
        <v>Medium</v>
      </c>
      <c r="K261" t="s">
        <v>32</v>
      </c>
      <c r="L261">
        <v>30</v>
      </c>
      <c r="M261">
        <v>64</v>
      </c>
      <c r="N261" t="str">
        <f t="shared" si="14"/>
        <v>Medium Cost</v>
      </c>
      <c r="O261">
        <v>9.8699999999999992</v>
      </c>
      <c r="P261" t="s">
        <v>64</v>
      </c>
      <c r="Q261" t="s">
        <v>48</v>
      </c>
      <c r="R261" t="s">
        <v>44</v>
      </c>
      <c r="S261" t="s">
        <v>313</v>
      </c>
      <c r="T261" t="s">
        <v>60</v>
      </c>
      <c r="U261">
        <v>78</v>
      </c>
      <c r="V261">
        <v>1.6</v>
      </c>
      <c r="W261" t="s">
        <v>47</v>
      </c>
      <c r="X261" t="s">
        <v>29</v>
      </c>
    </row>
    <row r="262" spans="1:24" x14ac:dyDescent="0.3">
      <c r="A262" t="s">
        <v>1540</v>
      </c>
      <c r="B262" t="s">
        <v>30</v>
      </c>
      <c r="C262" t="s">
        <v>102</v>
      </c>
      <c r="D262" t="str">
        <f t="shared" si="12"/>
        <v>Evening</v>
      </c>
      <c r="E262">
        <f>HOUR(EV_Data[[#This Row],[Charging Start Time]])</f>
        <v>20</v>
      </c>
      <c r="F262" s="1">
        <v>44937.833333333336</v>
      </c>
      <c r="G262" s="1">
        <v>44937.84652777778</v>
      </c>
      <c r="H262">
        <v>19</v>
      </c>
      <c r="I262">
        <v>35.31</v>
      </c>
      <c r="J262" t="str">
        <f t="shared" si="13"/>
        <v>Medium</v>
      </c>
      <c r="K262" t="s">
        <v>55</v>
      </c>
      <c r="L262">
        <v>45</v>
      </c>
      <c r="M262">
        <v>55</v>
      </c>
      <c r="N262" t="str">
        <f t="shared" si="14"/>
        <v>Medium Cost</v>
      </c>
      <c r="O262">
        <v>13.13</v>
      </c>
      <c r="P262" t="s">
        <v>33</v>
      </c>
      <c r="Q262" t="s">
        <v>48</v>
      </c>
      <c r="R262" t="s">
        <v>25</v>
      </c>
      <c r="S262" t="s">
        <v>314</v>
      </c>
      <c r="T262" t="s">
        <v>46</v>
      </c>
      <c r="U262">
        <v>41</v>
      </c>
      <c r="V262">
        <v>4</v>
      </c>
      <c r="W262" t="s">
        <v>38</v>
      </c>
    </row>
    <row r="263" spans="1:24" x14ac:dyDescent="0.3">
      <c r="A263" t="s">
        <v>1541</v>
      </c>
      <c r="B263" t="s">
        <v>71</v>
      </c>
      <c r="C263" t="s">
        <v>72</v>
      </c>
      <c r="D263" t="str">
        <f t="shared" si="12"/>
        <v>Evening</v>
      </c>
      <c r="E263">
        <f>HOUR(EV_Data[[#This Row],[Charging Start Time]])</f>
        <v>21</v>
      </c>
      <c r="F263" s="1">
        <v>44937.875</v>
      </c>
      <c r="G263" s="1">
        <v>44937.905555555553</v>
      </c>
      <c r="H263">
        <v>44</v>
      </c>
      <c r="I263">
        <v>7.24</v>
      </c>
      <c r="J263" t="str">
        <f t="shared" si="13"/>
        <v>Low</v>
      </c>
      <c r="K263" t="s">
        <v>32</v>
      </c>
      <c r="L263">
        <v>80</v>
      </c>
      <c r="M263">
        <v>100</v>
      </c>
      <c r="N263" t="str">
        <f t="shared" si="14"/>
        <v>Low Cost</v>
      </c>
      <c r="O263">
        <v>1.69</v>
      </c>
      <c r="P263" t="s">
        <v>64</v>
      </c>
      <c r="Q263" t="s">
        <v>24</v>
      </c>
      <c r="R263" t="s">
        <v>25</v>
      </c>
      <c r="S263" t="s">
        <v>315</v>
      </c>
      <c r="T263" t="s">
        <v>46</v>
      </c>
      <c r="U263">
        <v>15</v>
      </c>
      <c r="V263">
        <v>2.9</v>
      </c>
      <c r="W263" t="s">
        <v>28</v>
      </c>
      <c r="X263" t="s">
        <v>68</v>
      </c>
    </row>
    <row r="264" spans="1:24" x14ac:dyDescent="0.3">
      <c r="A264" t="s">
        <v>1542</v>
      </c>
      <c r="B264" t="s">
        <v>20</v>
      </c>
      <c r="C264" t="s">
        <v>21</v>
      </c>
      <c r="D264" t="str">
        <f t="shared" si="12"/>
        <v>Evening</v>
      </c>
      <c r="E264">
        <f>HOUR(EV_Data[[#This Row],[Charging Start Time]])</f>
        <v>22</v>
      </c>
      <c r="F264" s="1">
        <v>44937.916666666664</v>
      </c>
      <c r="G264" s="1">
        <v>44937.947222222218</v>
      </c>
      <c r="H264">
        <v>44</v>
      </c>
      <c r="I264">
        <v>11.05</v>
      </c>
      <c r="J264" t="str">
        <f t="shared" si="13"/>
        <v>Low</v>
      </c>
      <c r="K264" t="s">
        <v>32</v>
      </c>
      <c r="L264">
        <v>58</v>
      </c>
      <c r="M264">
        <v>88</v>
      </c>
      <c r="N264" t="str">
        <f t="shared" si="14"/>
        <v>Low Cost</v>
      </c>
      <c r="O264">
        <v>2.75</v>
      </c>
      <c r="P264" t="s">
        <v>51</v>
      </c>
      <c r="Q264" t="s">
        <v>48</v>
      </c>
      <c r="R264" t="s">
        <v>44</v>
      </c>
      <c r="S264" t="s">
        <v>316</v>
      </c>
      <c r="T264" t="s">
        <v>27</v>
      </c>
      <c r="U264">
        <v>12</v>
      </c>
      <c r="V264">
        <v>1.8</v>
      </c>
      <c r="W264" t="s">
        <v>28</v>
      </c>
      <c r="X264" t="s">
        <v>68</v>
      </c>
    </row>
    <row r="265" spans="1:24" x14ac:dyDescent="0.3">
      <c r="A265" t="s">
        <v>1543</v>
      </c>
      <c r="B265" t="s">
        <v>92</v>
      </c>
      <c r="C265" t="s">
        <v>93</v>
      </c>
      <c r="D265" t="str">
        <f t="shared" si="12"/>
        <v>Evening</v>
      </c>
      <c r="E265">
        <f>HOUR(EV_Data[[#This Row],[Charging Start Time]])</f>
        <v>23</v>
      </c>
      <c r="F265" s="1">
        <v>44937.958333333336</v>
      </c>
      <c r="G265" s="1">
        <v>44937.995138888888</v>
      </c>
      <c r="H265">
        <v>53</v>
      </c>
      <c r="I265">
        <v>41.09</v>
      </c>
      <c r="J265" t="str">
        <f t="shared" si="13"/>
        <v>Medium</v>
      </c>
      <c r="K265" t="s">
        <v>32</v>
      </c>
      <c r="L265">
        <v>80</v>
      </c>
      <c r="M265">
        <v>100</v>
      </c>
      <c r="N265" t="str">
        <f t="shared" si="14"/>
        <v>Medium Cost</v>
      </c>
      <c r="O265">
        <v>16.86</v>
      </c>
      <c r="P265" t="s">
        <v>64</v>
      </c>
      <c r="Q265" t="s">
        <v>24</v>
      </c>
      <c r="R265" t="s">
        <v>44</v>
      </c>
      <c r="S265" t="s">
        <v>317</v>
      </c>
      <c r="T265" t="s">
        <v>27</v>
      </c>
      <c r="U265">
        <v>83</v>
      </c>
      <c r="V265">
        <v>2.2999999999999998</v>
      </c>
      <c r="W265" t="s">
        <v>28</v>
      </c>
      <c r="X265" t="s">
        <v>68</v>
      </c>
    </row>
    <row r="266" spans="1:24" x14ac:dyDescent="0.3">
      <c r="A266" t="s">
        <v>1544</v>
      </c>
      <c r="B266" t="s">
        <v>71</v>
      </c>
      <c r="C266" t="s">
        <v>72</v>
      </c>
      <c r="D266" t="str">
        <f t="shared" si="12"/>
        <v>Morning</v>
      </c>
      <c r="E266">
        <f>HOUR(EV_Data[[#This Row],[Charging Start Time]])</f>
        <v>0</v>
      </c>
      <c r="F266" s="1">
        <v>44938</v>
      </c>
      <c r="G266" s="1">
        <v>44938.027777777781</v>
      </c>
      <c r="H266">
        <v>40</v>
      </c>
      <c r="I266">
        <v>34.35</v>
      </c>
      <c r="J266" t="str">
        <f t="shared" si="13"/>
        <v>Medium</v>
      </c>
      <c r="K266" t="s">
        <v>42</v>
      </c>
      <c r="L266">
        <v>72</v>
      </c>
      <c r="M266">
        <v>91</v>
      </c>
      <c r="N266" t="str">
        <f t="shared" si="14"/>
        <v>Medium Cost</v>
      </c>
      <c r="O266">
        <v>9.44</v>
      </c>
      <c r="P266" t="s">
        <v>51</v>
      </c>
      <c r="Q266" t="s">
        <v>24</v>
      </c>
      <c r="R266" t="s">
        <v>56</v>
      </c>
      <c r="S266" t="s">
        <v>318</v>
      </c>
      <c r="T266" t="s">
        <v>60</v>
      </c>
      <c r="U266">
        <v>92</v>
      </c>
      <c r="V266">
        <v>1.5</v>
      </c>
      <c r="W266" t="s">
        <v>28</v>
      </c>
      <c r="X266" t="s">
        <v>68</v>
      </c>
    </row>
    <row r="267" spans="1:24" x14ac:dyDescent="0.3">
      <c r="A267" t="s">
        <v>1545</v>
      </c>
      <c r="B267" t="s">
        <v>53</v>
      </c>
      <c r="C267" t="s">
        <v>54</v>
      </c>
      <c r="D267" t="str">
        <f t="shared" si="12"/>
        <v>Morning</v>
      </c>
      <c r="E267">
        <f>HOUR(EV_Data[[#This Row],[Charging Start Time]])</f>
        <v>1</v>
      </c>
      <c r="F267" s="1">
        <v>44938.041666666664</v>
      </c>
      <c r="G267" s="1">
        <v>44938.058333333327</v>
      </c>
      <c r="H267">
        <v>24</v>
      </c>
      <c r="I267">
        <v>30.92</v>
      </c>
      <c r="J267" t="str">
        <f t="shared" si="13"/>
        <v>Medium</v>
      </c>
      <c r="K267" t="s">
        <v>42</v>
      </c>
      <c r="L267">
        <v>27</v>
      </c>
      <c r="M267">
        <v>56</v>
      </c>
      <c r="N267" t="str">
        <f t="shared" si="14"/>
        <v>Medium Cost</v>
      </c>
      <c r="O267">
        <v>9.4600000000000009</v>
      </c>
      <c r="P267" t="s">
        <v>51</v>
      </c>
      <c r="Q267" t="s">
        <v>24</v>
      </c>
      <c r="R267" t="s">
        <v>56</v>
      </c>
      <c r="S267" t="s">
        <v>319</v>
      </c>
      <c r="T267" t="s">
        <v>46</v>
      </c>
      <c r="U267">
        <v>51</v>
      </c>
      <c r="V267">
        <v>4.0999999999999996</v>
      </c>
      <c r="W267" t="s">
        <v>28</v>
      </c>
      <c r="X267" t="s">
        <v>68</v>
      </c>
    </row>
    <row r="268" spans="1:24" x14ac:dyDescent="0.3">
      <c r="A268" t="s">
        <v>1546</v>
      </c>
      <c r="B268" t="s">
        <v>77</v>
      </c>
      <c r="C268" t="s">
        <v>78</v>
      </c>
      <c r="D268" t="str">
        <f t="shared" si="12"/>
        <v>Morning</v>
      </c>
      <c r="E268">
        <f>HOUR(EV_Data[[#This Row],[Charging Start Time]])</f>
        <v>2</v>
      </c>
      <c r="F268" s="1">
        <v>44938.083333333336</v>
      </c>
      <c r="G268" s="1">
        <v>44938.113888888889</v>
      </c>
      <c r="H268">
        <v>44</v>
      </c>
      <c r="I268">
        <v>35.619999999999997</v>
      </c>
      <c r="J268" t="str">
        <f t="shared" si="13"/>
        <v>Medium</v>
      </c>
      <c r="K268" t="s">
        <v>42</v>
      </c>
      <c r="L268">
        <v>13</v>
      </c>
      <c r="M268">
        <v>47</v>
      </c>
      <c r="N268" t="str">
        <f t="shared" si="14"/>
        <v>Medium Cost</v>
      </c>
      <c r="O268">
        <v>16.57</v>
      </c>
      <c r="P268" t="s">
        <v>51</v>
      </c>
      <c r="Q268" t="s">
        <v>58</v>
      </c>
      <c r="R268" t="s">
        <v>25</v>
      </c>
      <c r="S268" t="s">
        <v>320</v>
      </c>
      <c r="T268" t="s">
        <v>60</v>
      </c>
      <c r="U268">
        <v>67</v>
      </c>
      <c r="V268">
        <v>4.2</v>
      </c>
      <c r="W268" t="s">
        <v>38</v>
      </c>
      <c r="X268" t="s">
        <v>39</v>
      </c>
    </row>
    <row r="269" spans="1:24" x14ac:dyDescent="0.3">
      <c r="A269" t="s">
        <v>1547</v>
      </c>
      <c r="B269" t="s">
        <v>30</v>
      </c>
      <c r="C269" t="s">
        <v>102</v>
      </c>
      <c r="D269" t="str">
        <f t="shared" si="12"/>
        <v>Morning</v>
      </c>
      <c r="E269">
        <f>HOUR(EV_Data[[#This Row],[Charging Start Time]])</f>
        <v>3</v>
      </c>
      <c r="F269" s="1">
        <v>44938.125</v>
      </c>
      <c r="G269" s="1">
        <v>44938.160416666673</v>
      </c>
      <c r="H269">
        <v>51</v>
      </c>
      <c r="I269">
        <v>44.95</v>
      </c>
      <c r="J269" t="str">
        <f t="shared" si="13"/>
        <v>Medium</v>
      </c>
      <c r="K269" t="s">
        <v>22</v>
      </c>
      <c r="L269">
        <v>18</v>
      </c>
      <c r="M269">
        <v>58</v>
      </c>
      <c r="N269" t="str">
        <f t="shared" si="14"/>
        <v>High Cost</v>
      </c>
      <c r="O269">
        <v>18.149999999999999</v>
      </c>
      <c r="P269" t="s">
        <v>33</v>
      </c>
      <c r="Q269" t="s">
        <v>48</v>
      </c>
      <c r="R269" t="s">
        <v>44</v>
      </c>
      <c r="S269" t="s">
        <v>321</v>
      </c>
      <c r="T269" t="s">
        <v>60</v>
      </c>
      <c r="U269">
        <v>90</v>
      </c>
      <c r="V269">
        <v>2.1</v>
      </c>
      <c r="W269" t="s">
        <v>47</v>
      </c>
      <c r="X269" t="s">
        <v>29</v>
      </c>
    </row>
    <row r="270" spans="1:24" x14ac:dyDescent="0.3">
      <c r="A270" t="s">
        <v>1548</v>
      </c>
      <c r="B270" t="s">
        <v>126</v>
      </c>
      <c r="C270" t="s">
        <v>31</v>
      </c>
      <c r="D270" t="str">
        <f t="shared" si="12"/>
        <v>Morning</v>
      </c>
      <c r="E270">
        <f>HOUR(EV_Data[[#This Row],[Charging Start Time]])</f>
        <v>4</v>
      </c>
      <c r="F270" s="1">
        <v>44938.166666666664</v>
      </c>
      <c r="G270" s="1">
        <v>44938.194444444453</v>
      </c>
      <c r="H270">
        <v>40</v>
      </c>
      <c r="I270">
        <v>9.84</v>
      </c>
      <c r="J270" t="str">
        <f t="shared" si="13"/>
        <v>Low</v>
      </c>
      <c r="K270" t="s">
        <v>42</v>
      </c>
      <c r="L270">
        <v>53</v>
      </c>
      <c r="M270">
        <v>80</v>
      </c>
      <c r="N270" t="str">
        <f t="shared" si="14"/>
        <v>Low Cost</v>
      </c>
      <c r="O270">
        <v>2.13</v>
      </c>
      <c r="P270" t="s">
        <v>43</v>
      </c>
      <c r="Q270" t="s">
        <v>24</v>
      </c>
      <c r="R270" t="s">
        <v>44</v>
      </c>
      <c r="S270" t="s">
        <v>322</v>
      </c>
      <c r="T270" t="s">
        <v>37</v>
      </c>
      <c r="U270">
        <v>27</v>
      </c>
      <c r="V270">
        <v>3.5</v>
      </c>
      <c r="W270" t="s">
        <v>38</v>
      </c>
    </row>
    <row r="271" spans="1:24" x14ac:dyDescent="0.3">
      <c r="A271" t="s">
        <v>1549</v>
      </c>
      <c r="B271" t="s">
        <v>20</v>
      </c>
      <c r="C271" t="s">
        <v>21</v>
      </c>
      <c r="D271" t="str">
        <f t="shared" si="12"/>
        <v>Morning</v>
      </c>
      <c r="E271">
        <f>HOUR(EV_Data[[#This Row],[Charging Start Time]])</f>
        <v>5</v>
      </c>
      <c r="F271" s="1">
        <v>44938.208333333336</v>
      </c>
      <c r="G271" s="1">
        <v>44938.236111111109</v>
      </c>
      <c r="H271">
        <v>40</v>
      </c>
      <c r="I271">
        <v>26.2</v>
      </c>
      <c r="J271" t="str">
        <f t="shared" si="13"/>
        <v>Medium</v>
      </c>
      <c r="K271" t="s">
        <v>69</v>
      </c>
      <c r="L271">
        <v>47</v>
      </c>
      <c r="M271">
        <v>85</v>
      </c>
      <c r="N271" t="str">
        <f t="shared" si="14"/>
        <v>Low Cost</v>
      </c>
      <c r="O271">
        <v>7.42</v>
      </c>
      <c r="P271" t="s">
        <v>43</v>
      </c>
      <c r="Q271" t="s">
        <v>24</v>
      </c>
      <c r="R271" t="s">
        <v>56</v>
      </c>
      <c r="S271" t="s">
        <v>323</v>
      </c>
      <c r="T271" t="s">
        <v>60</v>
      </c>
      <c r="U271">
        <v>52</v>
      </c>
      <c r="V271">
        <v>3.8</v>
      </c>
      <c r="W271" t="s">
        <v>28</v>
      </c>
      <c r="X271" t="s">
        <v>68</v>
      </c>
    </row>
    <row r="272" spans="1:24" x14ac:dyDescent="0.3">
      <c r="A272" t="s">
        <v>1550</v>
      </c>
      <c r="B272" t="s">
        <v>92</v>
      </c>
      <c r="C272" t="s">
        <v>93</v>
      </c>
      <c r="D272" t="str">
        <f t="shared" si="12"/>
        <v>Morning</v>
      </c>
      <c r="E272">
        <f>HOUR(EV_Data[[#This Row],[Charging Start Time]])</f>
        <v>6</v>
      </c>
      <c r="F272" s="1">
        <v>44938.25</v>
      </c>
      <c r="G272" s="1">
        <v>44938.304861111108</v>
      </c>
      <c r="H272">
        <v>79</v>
      </c>
      <c r="I272">
        <v>23.85</v>
      </c>
      <c r="J272" t="str">
        <f t="shared" si="13"/>
        <v>Medium</v>
      </c>
      <c r="K272" t="s">
        <v>22</v>
      </c>
      <c r="L272">
        <v>51</v>
      </c>
      <c r="M272">
        <v>72</v>
      </c>
      <c r="N272" t="str">
        <f t="shared" si="14"/>
        <v>Medium Cost</v>
      </c>
      <c r="O272">
        <v>9.1</v>
      </c>
      <c r="P272" t="s">
        <v>33</v>
      </c>
      <c r="Q272" t="s">
        <v>58</v>
      </c>
      <c r="R272" t="s">
        <v>25</v>
      </c>
      <c r="S272" t="s">
        <v>324</v>
      </c>
      <c r="T272" t="s">
        <v>37</v>
      </c>
      <c r="U272">
        <v>87</v>
      </c>
      <c r="V272">
        <v>1.1000000000000001</v>
      </c>
      <c r="W272" t="s">
        <v>28</v>
      </c>
      <c r="X272" t="s">
        <v>68</v>
      </c>
    </row>
    <row r="273" spans="1:24" x14ac:dyDescent="0.3">
      <c r="A273" t="s">
        <v>1551</v>
      </c>
      <c r="B273" t="s">
        <v>40</v>
      </c>
      <c r="C273" t="s">
        <v>41</v>
      </c>
      <c r="D273" t="str">
        <f t="shared" si="12"/>
        <v>Morning</v>
      </c>
      <c r="E273">
        <f>HOUR(EV_Data[[#This Row],[Charging Start Time]])</f>
        <v>7</v>
      </c>
      <c r="F273" s="1">
        <v>44938.291666666664</v>
      </c>
      <c r="G273" s="1">
        <v>44938.325694444437</v>
      </c>
      <c r="H273">
        <v>49</v>
      </c>
      <c r="I273">
        <v>28.28</v>
      </c>
      <c r="J273" t="str">
        <f t="shared" si="13"/>
        <v>Medium</v>
      </c>
      <c r="K273" t="s">
        <v>32</v>
      </c>
      <c r="L273">
        <v>57</v>
      </c>
      <c r="M273">
        <v>91</v>
      </c>
      <c r="N273" t="str">
        <f t="shared" si="14"/>
        <v>Medium Cost</v>
      </c>
      <c r="O273">
        <v>10.039999999999999</v>
      </c>
      <c r="P273" t="s">
        <v>23</v>
      </c>
      <c r="Q273" t="s">
        <v>34</v>
      </c>
      <c r="R273" t="s">
        <v>35</v>
      </c>
      <c r="S273" t="s">
        <v>325</v>
      </c>
      <c r="T273" t="s">
        <v>60</v>
      </c>
      <c r="U273">
        <v>93</v>
      </c>
      <c r="V273">
        <v>3.1</v>
      </c>
      <c r="W273" t="s">
        <v>38</v>
      </c>
      <c r="X273" t="s">
        <v>85</v>
      </c>
    </row>
    <row r="274" spans="1:24" x14ac:dyDescent="0.3">
      <c r="A274" t="s">
        <v>1552</v>
      </c>
      <c r="B274" t="s">
        <v>20</v>
      </c>
      <c r="C274" t="s">
        <v>21</v>
      </c>
      <c r="D274" t="str">
        <f t="shared" si="12"/>
        <v>Morning</v>
      </c>
      <c r="E274">
        <f>HOUR(EV_Data[[#This Row],[Charging Start Time]])</f>
        <v>8</v>
      </c>
      <c r="F274" s="1">
        <v>44938.333333333336</v>
      </c>
      <c r="G274" s="1">
        <v>44938.37777777778</v>
      </c>
      <c r="H274">
        <v>64</v>
      </c>
      <c r="I274">
        <v>32.26</v>
      </c>
      <c r="J274" t="str">
        <f t="shared" si="13"/>
        <v>Medium</v>
      </c>
      <c r="K274" t="s">
        <v>50</v>
      </c>
      <c r="L274">
        <v>30</v>
      </c>
      <c r="M274">
        <v>49</v>
      </c>
      <c r="N274" t="str">
        <f t="shared" si="14"/>
        <v>Medium Cost</v>
      </c>
      <c r="O274">
        <v>10.42</v>
      </c>
      <c r="P274" t="s">
        <v>51</v>
      </c>
      <c r="Q274" t="s">
        <v>58</v>
      </c>
      <c r="R274" t="s">
        <v>56</v>
      </c>
      <c r="S274" t="s">
        <v>326</v>
      </c>
      <c r="T274" t="s">
        <v>60</v>
      </c>
      <c r="U274">
        <v>96</v>
      </c>
      <c r="V274">
        <v>1.6</v>
      </c>
      <c r="W274" t="s">
        <v>28</v>
      </c>
      <c r="X274" t="s">
        <v>68</v>
      </c>
    </row>
    <row r="275" spans="1:24" x14ac:dyDescent="0.3">
      <c r="A275" t="s">
        <v>1553</v>
      </c>
      <c r="B275" t="s">
        <v>77</v>
      </c>
      <c r="C275" t="s">
        <v>78</v>
      </c>
      <c r="D275" t="str">
        <f t="shared" si="12"/>
        <v>Morning</v>
      </c>
      <c r="E275">
        <f>HOUR(EV_Data[[#This Row],[Charging Start Time]])</f>
        <v>9</v>
      </c>
      <c r="F275" s="1">
        <v>44938.375</v>
      </c>
      <c r="G275" s="1">
        <v>44938.419444444437</v>
      </c>
      <c r="H275">
        <v>64</v>
      </c>
      <c r="I275">
        <v>16.600000000000001</v>
      </c>
      <c r="J275" t="str">
        <f t="shared" si="13"/>
        <v>Low</v>
      </c>
      <c r="K275" t="s">
        <v>69</v>
      </c>
      <c r="L275">
        <v>23</v>
      </c>
      <c r="M275">
        <v>39</v>
      </c>
      <c r="N275" t="str">
        <f t="shared" si="14"/>
        <v>Medium Cost</v>
      </c>
      <c r="O275">
        <v>8.14</v>
      </c>
      <c r="P275" t="s">
        <v>64</v>
      </c>
      <c r="Q275" t="s">
        <v>34</v>
      </c>
      <c r="R275" t="s">
        <v>56</v>
      </c>
      <c r="S275" t="s">
        <v>327</v>
      </c>
      <c r="T275" t="s">
        <v>37</v>
      </c>
      <c r="U275">
        <v>89</v>
      </c>
      <c r="V275">
        <v>4.5999999999999996</v>
      </c>
      <c r="W275" t="s">
        <v>47</v>
      </c>
      <c r="X275" t="s">
        <v>29</v>
      </c>
    </row>
    <row r="276" spans="1:24" x14ac:dyDescent="0.3">
      <c r="A276" t="s">
        <v>1554</v>
      </c>
      <c r="B276" t="s">
        <v>20</v>
      </c>
      <c r="C276" t="s">
        <v>21</v>
      </c>
      <c r="D276" t="str">
        <f t="shared" si="12"/>
        <v>Morning</v>
      </c>
      <c r="E276">
        <f>HOUR(EV_Data[[#This Row],[Charging Start Time]])</f>
        <v>10</v>
      </c>
      <c r="F276" s="1">
        <v>44938.416666666664</v>
      </c>
      <c r="G276" s="1">
        <v>44938.459722222222</v>
      </c>
      <c r="H276">
        <v>62</v>
      </c>
      <c r="I276">
        <v>7.17</v>
      </c>
      <c r="J276" t="str">
        <f t="shared" si="13"/>
        <v>Low</v>
      </c>
      <c r="K276" t="s">
        <v>50</v>
      </c>
      <c r="L276">
        <v>20</v>
      </c>
      <c r="M276">
        <v>35</v>
      </c>
      <c r="N276" t="str">
        <f t="shared" si="14"/>
        <v>Low Cost</v>
      </c>
      <c r="O276">
        <v>3.35</v>
      </c>
      <c r="P276" t="s">
        <v>43</v>
      </c>
      <c r="Q276" t="s">
        <v>58</v>
      </c>
      <c r="R276" t="s">
        <v>44</v>
      </c>
      <c r="S276" t="s">
        <v>328</v>
      </c>
      <c r="T276" t="s">
        <v>60</v>
      </c>
      <c r="U276">
        <v>9</v>
      </c>
      <c r="V276">
        <v>2.8</v>
      </c>
      <c r="W276" t="s">
        <v>38</v>
      </c>
      <c r="X276" t="s">
        <v>85</v>
      </c>
    </row>
    <row r="277" spans="1:24" x14ac:dyDescent="0.3">
      <c r="A277" t="s">
        <v>1555</v>
      </c>
      <c r="B277" t="s">
        <v>30</v>
      </c>
      <c r="C277" t="s">
        <v>102</v>
      </c>
      <c r="D277" t="str">
        <f t="shared" si="12"/>
        <v>Morning</v>
      </c>
      <c r="E277">
        <f>HOUR(EV_Data[[#This Row],[Charging Start Time]])</f>
        <v>11</v>
      </c>
      <c r="F277" s="1">
        <v>44938.458333333336</v>
      </c>
      <c r="G277" s="1">
        <v>44938.479861111111</v>
      </c>
      <c r="H277">
        <v>31</v>
      </c>
      <c r="I277">
        <v>26.44</v>
      </c>
      <c r="J277" t="str">
        <f t="shared" si="13"/>
        <v>Medium</v>
      </c>
      <c r="K277" t="s">
        <v>69</v>
      </c>
      <c r="L277">
        <v>20</v>
      </c>
      <c r="M277">
        <v>41</v>
      </c>
      <c r="N277" t="str">
        <f t="shared" si="14"/>
        <v>Medium Cost</v>
      </c>
      <c r="O277">
        <v>11.47</v>
      </c>
      <c r="P277" t="s">
        <v>23</v>
      </c>
      <c r="Q277" t="s">
        <v>34</v>
      </c>
      <c r="R277" t="s">
        <v>25</v>
      </c>
      <c r="S277" t="s">
        <v>180</v>
      </c>
      <c r="T277" t="s">
        <v>37</v>
      </c>
      <c r="U277">
        <v>33</v>
      </c>
      <c r="V277">
        <v>4.9000000000000004</v>
      </c>
      <c r="W277" t="s">
        <v>47</v>
      </c>
      <c r="X277" t="s">
        <v>29</v>
      </c>
    </row>
    <row r="278" spans="1:24" x14ac:dyDescent="0.3">
      <c r="A278" t="s">
        <v>1556</v>
      </c>
      <c r="B278" t="s">
        <v>53</v>
      </c>
      <c r="C278" t="s">
        <v>54</v>
      </c>
      <c r="D278" t="str">
        <f t="shared" si="12"/>
        <v>Afternoon</v>
      </c>
      <c r="E278">
        <f>HOUR(EV_Data[[#This Row],[Charging Start Time]])</f>
        <v>12</v>
      </c>
      <c r="F278" s="1">
        <v>44938.5</v>
      </c>
      <c r="G278" s="1">
        <v>44938.525694444441</v>
      </c>
      <c r="H278">
        <v>37</v>
      </c>
      <c r="I278">
        <v>12.51</v>
      </c>
      <c r="J278" t="str">
        <f t="shared" si="13"/>
        <v>Low</v>
      </c>
      <c r="K278" t="s">
        <v>22</v>
      </c>
      <c r="L278">
        <v>48</v>
      </c>
      <c r="M278">
        <v>85</v>
      </c>
      <c r="N278" t="str">
        <f t="shared" si="14"/>
        <v>Low Cost</v>
      </c>
      <c r="O278">
        <v>3.61</v>
      </c>
      <c r="P278" t="s">
        <v>43</v>
      </c>
      <c r="Q278" t="s">
        <v>58</v>
      </c>
      <c r="R278" t="s">
        <v>35</v>
      </c>
      <c r="S278" t="s">
        <v>329</v>
      </c>
      <c r="T278" t="s">
        <v>27</v>
      </c>
      <c r="U278">
        <v>23</v>
      </c>
      <c r="V278">
        <v>3.7</v>
      </c>
      <c r="W278" t="s">
        <v>47</v>
      </c>
      <c r="X278" t="s">
        <v>29</v>
      </c>
    </row>
    <row r="279" spans="1:24" x14ac:dyDescent="0.3">
      <c r="A279" t="s">
        <v>1557</v>
      </c>
      <c r="B279" t="s">
        <v>71</v>
      </c>
      <c r="C279" t="s">
        <v>72</v>
      </c>
      <c r="D279" t="str">
        <f t="shared" si="12"/>
        <v>Afternoon</v>
      </c>
      <c r="E279">
        <f>HOUR(EV_Data[[#This Row],[Charging Start Time]])</f>
        <v>13</v>
      </c>
      <c r="F279" s="1">
        <v>44938.541666666664</v>
      </c>
      <c r="G279" s="1">
        <v>44938.568749999999</v>
      </c>
      <c r="H279">
        <v>39</v>
      </c>
      <c r="I279">
        <v>27.75</v>
      </c>
      <c r="J279" t="str">
        <f t="shared" si="13"/>
        <v>Medium</v>
      </c>
      <c r="K279" t="s">
        <v>22</v>
      </c>
      <c r="L279">
        <v>78</v>
      </c>
      <c r="M279">
        <v>92</v>
      </c>
      <c r="N279" t="str">
        <f t="shared" si="14"/>
        <v>Low Cost</v>
      </c>
      <c r="O279">
        <v>7.96</v>
      </c>
      <c r="P279" t="s">
        <v>51</v>
      </c>
      <c r="Q279" t="s">
        <v>34</v>
      </c>
      <c r="R279" t="s">
        <v>44</v>
      </c>
      <c r="S279" t="s">
        <v>330</v>
      </c>
      <c r="T279" t="s">
        <v>27</v>
      </c>
      <c r="U279">
        <v>1</v>
      </c>
      <c r="V279">
        <v>4.2</v>
      </c>
      <c r="W279" t="s">
        <v>38</v>
      </c>
      <c r="X279" t="s">
        <v>39</v>
      </c>
    </row>
    <row r="280" spans="1:24" x14ac:dyDescent="0.3">
      <c r="A280" t="s">
        <v>1558</v>
      </c>
      <c r="B280" t="s">
        <v>71</v>
      </c>
      <c r="C280" t="s">
        <v>72</v>
      </c>
      <c r="D280" t="str">
        <f t="shared" si="12"/>
        <v>Afternoon</v>
      </c>
      <c r="E280">
        <f>HOUR(EV_Data[[#This Row],[Charging Start Time]])</f>
        <v>14</v>
      </c>
      <c r="F280" s="1">
        <v>44938.583333333336</v>
      </c>
      <c r="G280" s="1">
        <v>44938.628472222219</v>
      </c>
      <c r="H280">
        <v>65</v>
      </c>
      <c r="I280">
        <v>23.75</v>
      </c>
      <c r="J280" t="str">
        <f t="shared" si="13"/>
        <v>Medium</v>
      </c>
      <c r="K280" t="s">
        <v>42</v>
      </c>
      <c r="L280">
        <v>19</v>
      </c>
      <c r="M280">
        <v>46</v>
      </c>
      <c r="N280" t="str">
        <f t="shared" si="14"/>
        <v>Medium Cost</v>
      </c>
      <c r="O280">
        <v>8.56</v>
      </c>
      <c r="P280" t="s">
        <v>23</v>
      </c>
      <c r="Q280" t="s">
        <v>34</v>
      </c>
      <c r="R280" t="s">
        <v>25</v>
      </c>
      <c r="S280" t="s">
        <v>331</v>
      </c>
      <c r="T280" t="s">
        <v>37</v>
      </c>
      <c r="U280">
        <v>11</v>
      </c>
      <c r="V280">
        <v>2.5</v>
      </c>
      <c r="W280" t="s">
        <v>38</v>
      </c>
      <c r="X280" t="s">
        <v>39</v>
      </c>
    </row>
    <row r="281" spans="1:24" x14ac:dyDescent="0.3">
      <c r="A281" t="s">
        <v>1559</v>
      </c>
      <c r="B281" t="s">
        <v>126</v>
      </c>
      <c r="C281" t="s">
        <v>31</v>
      </c>
      <c r="D281" t="str">
        <f t="shared" si="12"/>
        <v>Afternoon</v>
      </c>
      <c r="E281">
        <f>HOUR(EV_Data[[#This Row],[Charging Start Time]])</f>
        <v>15</v>
      </c>
      <c r="F281" s="1">
        <v>44938.625</v>
      </c>
      <c r="G281" s="1">
        <v>44938.662499999999</v>
      </c>
      <c r="H281">
        <v>54</v>
      </c>
      <c r="I281">
        <v>35.979999999999997</v>
      </c>
      <c r="J281" t="str">
        <f t="shared" si="13"/>
        <v>Medium</v>
      </c>
      <c r="K281" t="s">
        <v>32</v>
      </c>
      <c r="L281">
        <v>20</v>
      </c>
      <c r="M281">
        <v>54</v>
      </c>
      <c r="N281" t="str">
        <f t="shared" si="14"/>
        <v>Medium Cost</v>
      </c>
      <c r="O281">
        <v>10.85</v>
      </c>
      <c r="P281" t="s">
        <v>64</v>
      </c>
      <c r="Q281" t="s">
        <v>58</v>
      </c>
      <c r="R281" t="s">
        <v>25</v>
      </c>
      <c r="S281" t="s">
        <v>332</v>
      </c>
      <c r="T281" t="s">
        <v>27</v>
      </c>
      <c r="U281">
        <v>19</v>
      </c>
      <c r="V281">
        <v>3</v>
      </c>
      <c r="W281" t="s">
        <v>47</v>
      </c>
      <c r="X281" t="s">
        <v>29</v>
      </c>
    </row>
    <row r="282" spans="1:24" x14ac:dyDescent="0.3">
      <c r="A282" t="s">
        <v>1560</v>
      </c>
      <c r="B282" t="s">
        <v>71</v>
      </c>
      <c r="C282" t="s">
        <v>72</v>
      </c>
      <c r="D282" t="str">
        <f t="shared" si="12"/>
        <v>Afternoon</v>
      </c>
      <c r="E282">
        <f>HOUR(EV_Data[[#This Row],[Charging Start Time]])</f>
        <v>16</v>
      </c>
      <c r="F282" s="1">
        <v>44938.666666666664</v>
      </c>
      <c r="G282" s="1">
        <v>44938.677083333343</v>
      </c>
      <c r="H282">
        <v>15</v>
      </c>
      <c r="I282">
        <v>12.07</v>
      </c>
      <c r="J282" t="str">
        <f t="shared" si="13"/>
        <v>Low</v>
      </c>
      <c r="K282" t="s">
        <v>32</v>
      </c>
      <c r="L282">
        <v>5</v>
      </c>
      <c r="M282">
        <v>23</v>
      </c>
      <c r="N282" t="str">
        <f t="shared" si="14"/>
        <v>Low Cost</v>
      </c>
      <c r="O282">
        <v>5.38</v>
      </c>
      <c r="P282" t="s">
        <v>23</v>
      </c>
      <c r="Q282" t="s">
        <v>48</v>
      </c>
      <c r="R282" t="s">
        <v>35</v>
      </c>
      <c r="S282" t="s">
        <v>322</v>
      </c>
      <c r="T282" t="s">
        <v>37</v>
      </c>
      <c r="U282">
        <v>53</v>
      </c>
      <c r="V282">
        <v>2.5</v>
      </c>
      <c r="W282" t="s">
        <v>38</v>
      </c>
    </row>
    <row r="283" spans="1:24" x14ac:dyDescent="0.3">
      <c r="A283" t="s">
        <v>1561</v>
      </c>
      <c r="B283" t="s">
        <v>92</v>
      </c>
      <c r="C283" t="s">
        <v>93</v>
      </c>
      <c r="D283" t="str">
        <f t="shared" si="12"/>
        <v>Evening</v>
      </c>
      <c r="E283">
        <f>HOUR(EV_Data[[#This Row],[Charging Start Time]])</f>
        <v>17</v>
      </c>
      <c r="F283" s="1">
        <v>44938.708333333336</v>
      </c>
      <c r="G283" s="1">
        <v>44938.748611111107</v>
      </c>
      <c r="H283">
        <v>58</v>
      </c>
      <c r="I283">
        <v>30.11</v>
      </c>
      <c r="J283" t="str">
        <f t="shared" si="13"/>
        <v>Medium</v>
      </c>
      <c r="K283" t="s">
        <v>42</v>
      </c>
      <c r="L283">
        <v>53</v>
      </c>
      <c r="M283">
        <v>85</v>
      </c>
      <c r="N283" t="str">
        <f t="shared" si="14"/>
        <v>Medium Cost</v>
      </c>
      <c r="O283">
        <v>9.76</v>
      </c>
      <c r="P283" t="s">
        <v>51</v>
      </c>
      <c r="Q283" t="s">
        <v>34</v>
      </c>
      <c r="R283" t="s">
        <v>25</v>
      </c>
      <c r="S283" t="s">
        <v>333</v>
      </c>
      <c r="T283" t="s">
        <v>60</v>
      </c>
      <c r="U283">
        <v>74</v>
      </c>
      <c r="V283">
        <v>5</v>
      </c>
      <c r="W283" t="s">
        <v>38</v>
      </c>
      <c r="X283" t="s">
        <v>83</v>
      </c>
    </row>
    <row r="284" spans="1:24" x14ac:dyDescent="0.3">
      <c r="A284" t="s">
        <v>1562</v>
      </c>
      <c r="B284" t="s">
        <v>53</v>
      </c>
      <c r="C284" t="s">
        <v>54</v>
      </c>
      <c r="D284" t="str">
        <f t="shared" si="12"/>
        <v>Evening</v>
      </c>
      <c r="E284">
        <f>HOUR(EV_Data[[#This Row],[Charging Start Time]])</f>
        <v>18</v>
      </c>
      <c r="F284" s="1">
        <v>44938.75</v>
      </c>
      <c r="G284" s="1">
        <v>44938.783333333333</v>
      </c>
      <c r="H284">
        <v>48</v>
      </c>
      <c r="I284">
        <v>18.97</v>
      </c>
      <c r="J284" t="str">
        <f t="shared" si="13"/>
        <v>Low</v>
      </c>
      <c r="K284" t="s">
        <v>50</v>
      </c>
      <c r="L284">
        <v>80</v>
      </c>
      <c r="M284">
        <v>90</v>
      </c>
      <c r="N284" t="str">
        <f t="shared" si="14"/>
        <v>Low Cost</v>
      </c>
      <c r="O284">
        <v>4.54</v>
      </c>
      <c r="P284" t="s">
        <v>64</v>
      </c>
      <c r="Q284" t="s">
        <v>24</v>
      </c>
      <c r="R284" t="s">
        <v>35</v>
      </c>
      <c r="S284" t="s">
        <v>334</v>
      </c>
      <c r="T284" t="s">
        <v>46</v>
      </c>
      <c r="U284">
        <v>14</v>
      </c>
      <c r="V284">
        <v>2.2000000000000002</v>
      </c>
      <c r="W284" t="s">
        <v>47</v>
      </c>
      <c r="X284" t="s">
        <v>29</v>
      </c>
    </row>
    <row r="285" spans="1:24" x14ac:dyDescent="0.3">
      <c r="A285" t="s">
        <v>1563</v>
      </c>
      <c r="B285" t="s">
        <v>71</v>
      </c>
      <c r="C285" t="s">
        <v>72</v>
      </c>
      <c r="D285" t="str">
        <f t="shared" si="12"/>
        <v>Evening</v>
      </c>
      <c r="E285">
        <f>HOUR(EV_Data[[#This Row],[Charging Start Time]])</f>
        <v>19</v>
      </c>
      <c r="F285" s="1">
        <v>44938.791666666664</v>
      </c>
      <c r="G285" s="1">
        <v>44938.81527777778</v>
      </c>
      <c r="H285">
        <v>34</v>
      </c>
      <c r="I285">
        <v>38.33</v>
      </c>
      <c r="J285" t="str">
        <f t="shared" si="13"/>
        <v>Medium</v>
      </c>
      <c r="K285" t="s">
        <v>32</v>
      </c>
      <c r="L285">
        <v>8</v>
      </c>
      <c r="M285">
        <v>34</v>
      </c>
      <c r="N285" t="str">
        <f t="shared" si="14"/>
        <v>Medium Cost</v>
      </c>
      <c r="O285">
        <v>13.97</v>
      </c>
      <c r="P285" t="s">
        <v>51</v>
      </c>
      <c r="Q285" t="s">
        <v>48</v>
      </c>
      <c r="R285" t="s">
        <v>56</v>
      </c>
      <c r="S285" t="s">
        <v>335</v>
      </c>
      <c r="T285" t="s">
        <v>37</v>
      </c>
      <c r="U285">
        <v>18</v>
      </c>
      <c r="V285">
        <v>3.5</v>
      </c>
      <c r="W285" t="s">
        <v>28</v>
      </c>
      <c r="X285" t="s">
        <v>68</v>
      </c>
    </row>
    <row r="286" spans="1:24" x14ac:dyDescent="0.3">
      <c r="A286" t="s">
        <v>1564</v>
      </c>
      <c r="B286" t="s">
        <v>20</v>
      </c>
      <c r="C286" t="s">
        <v>21</v>
      </c>
      <c r="D286" t="str">
        <f t="shared" si="12"/>
        <v>Evening</v>
      </c>
      <c r="E286">
        <f>HOUR(EV_Data[[#This Row],[Charging Start Time]])</f>
        <v>20</v>
      </c>
      <c r="F286" s="1">
        <v>44938.833333333336</v>
      </c>
      <c r="G286" s="1">
        <v>44938.84097222222</v>
      </c>
      <c r="H286">
        <v>11</v>
      </c>
      <c r="I286">
        <v>31.87</v>
      </c>
      <c r="J286" t="str">
        <f t="shared" si="13"/>
        <v>Medium</v>
      </c>
      <c r="K286" t="s">
        <v>32</v>
      </c>
      <c r="L286">
        <v>71</v>
      </c>
      <c r="M286">
        <v>100</v>
      </c>
      <c r="N286" t="str">
        <f t="shared" si="14"/>
        <v>Medium Cost</v>
      </c>
      <c r="O286">
        <v>12.02</v>
      </c>
      <c r="P286" t="s">
        <v>43</v>
      </c>
      <c r="Q286" t="s">
        <v>58</v>
      </c>
      <c r="R286" t="s">
        <v>44</v>
      </c>
      <c r="S286" t="s">
        <v>336</v>
      </c>
      <c r="T286" t="s">
        <v>46</v>
      </c>
      <c r="U286">
        <v>37</v>
      </c>
      <c r="V286">
        <v>1.5</v>
      </c>
      <c r="W286" t="s">
        <v>38</v>
      </c>
      <c r="X286" t="s">
        <v>85</v>
      </c>
    </row>
    <row r="287" spans="1:24" x14ac:dyDescent="0.3">
      <c r="A287" t="s">
        <v>1565</v>
      </c>
      <c r="B287" t="s">
        <v>40</v>
      </c>
      <c r="C287" t="s">
        <v>41</v>
      </c>
      <c r="D287" t="str">
        <f t="shared" si="12"/>
        <v>Evening</v>
      </c>
      <c r="E287">
        <f>HOUR(EV_Data[[#This Row],[Charging Start Time]])</f>
        <v>21</v>
      </c>
      <c r="F287" s="1">
        <v>44938.875</v>
      </c>
      <c r="G287" s="1">
        <v>44938.886111111111</v>
      </c>
      <c r="H287">
        <v>16</v>
      </c>
      <c r="I287">
        <v>15.35</v>
      </c>
      <c r="J287" t="str">
        <f t="shared" si="13"/>
        <v>Low</v>
      </c>
      <c r="K287" t="s">
        <v>42</v>
      </c>
      <c r="L287">
        <v>49</v>
      </c>
      <c r="M287">
        <v>64</v>
      </c>
      <c r="N287" t="str">
        <f t="shared" si="14"/>
        <v>Low Cost</v>
      </c>
      <c r="O287">
        <v>4.21</v>
      </c>
      <c r="P287" t="s">
        <v>23</v>
      </c>
      <c r="Q287" t="s">
        <v>24</v>
      </c>
      <c r="R287" t="s">
        <v>25</v>
      </c>
      <c r="S287" t="s">
        <v>337</v>
      </c>
      <c r="T287" t="s">
        <v>46</v>
      </c>
      <c r="U287">
        <v>9</v>
      </c>
      <c r="V287">
        <v>3.6</v>
      </c>
      <c r="W287" t="s">
        <v>47</v>
      </c>
      <c r="X287" t="s">
        <v>29</v>
      </c>
    </row>
    <row r="288" spans="1:24" x14ac:dyDescent="0.3">
      <c r="A288" t="s">
        <v>1566</v>
      </c>
      <c r="B288" t="s">
        <v>71</v>
      </c>
      <c r="C288" t="s">
        <v>72</v>
      </c>
      <c r="D288" t="str">
        <f t="shared" si="12"/>
        <v>Evening</v>
      </c>
      <c r="E288">
        <f>HOUR(EV_Data[[#This Row],[Charging Start Time]])</f>
        <v>22</v>
      </c>
      <c r="F288" s="1">
        <v>44938.916666666664</v>
      </c>
      <c r="G288" s="1">
        <v>44938.953472222223</v>
      </c>
      <c r="H288">
        <v>53</v>
      </c>
      <c r="I288">
        <v>28.72</v>
      </c>
      <c r="J288" t="str">
        <f t="shared" si="13"/>
        <v>Medium</v>
      </c>
      <c r="K288" t="s">
        <v>22</v>
      </c>
      <c r="L288">
        <v>79</v>
      </c>
      <c r="M288">
        <v>100</v>
      </c>
      <c r="N288" t="str">
        <f t="shared" si="14"/>
        <v>Low Cost</v>
      </c>
      <c r="O288">
        <v>6.5</v>
      </c>
      <c r="P288" t="s">
        <v>23</v>
      </c>
      <c r="Q288" t="s">
        <v>34</v>
      </c>
      <c r="R288" t="s">
        <v>25</v>
      </c>
      <c r="S288" t="s">
        <v>338</v>
      </c>
      <c r="T288" t="s">
        <v>37</v>
      </c>
      <c r="U288">
        <v>42</v>
      </c>
      <c r="V288">
        <v>4.8</v>
      </c>
      <c r="W288" t="s">
        <v>28</v>
      </c>
      <c r="X288" t="s">
        <v>68</v>
      </c>
    </row>
    <row r="289" spans="1:24" x14ac:dyDescent="0.3">
      <c r="A289" t="s">
        <v>1567</v>
      </c>
      <c r="B289" t="s">
        <v>92</v>
      </c>
      <c r="C289" t="s">
        <v>93</v>
      </c>
      <c r="D289" t="str">
        <f t="shared" si="12"/>
        <v>Evening</v>
      </c>
      <c r="E289">
        <f>HOUR(EV_Data[[#This Row],[Charging Start Time]])</f>
        <v>23</v>
      </c>
      <c r="F289" s="1">
        <v>44938.958333333336</v>
      </c>
      <c r="G289" s="1">
        <v>44938.973611111112</v>
      </c>
      <c r="H289">
        <v>22</v>
      </c>
      <c r="I289">
        <v>36.64</v>
      </c>
      <c r="J289" t="str">
        <f t="shared" si="13"/>
        <v>Medium</v>
      </c>
      <c r="K289" t="s">
        <v>32</v>
      </c>
      <c r="L289">
        <v>47</v>
      </c>
      <c r="M289">
        <v>68</v>
      </c>
      <c r="N289" t="str">
        <f t="shared" si="14"/>
        <v>Medium Cost</v>
      </c>
      <c r="O289">
        <v>8.5299999999999994</v>
      </c>
      <c r="P289" t="s">
        <v>43</v>
      </c>
      <c r="Q289" t="s">
        <v>48</v>
      </c>
      <c r="R289" t="s">
        <v>44</v>
      </c>
      <c r="S289" t="s">
        <v>339</v>
      </c>
      <c r="T289" t="s">
        <v>60</v>
      </c>
      <c r="U289">
        <v>100</v>
      </c>
      <c r="V289">
        <v>1.4</v>
      </c>
      <c r="W289" t="s">
        <v>28</v>
      </c>
      <c r="X289" t="s">
        <v>68</v>
      </c>
    </row>
    <row r="290" spans="1:24" x14ac:dyDescent="0.3">
      <c r="A290" t="s">
        <v>1568</v>
      </c>
      <c r="B290" t="s">
        <v>92</v>
      </c>
      <c r="C290" t="s">
        <v>93</v>
      </c>
      <c r="D290" t="str">
        <f t="shared" si="12"/>
        <v>Morning</v>
      </c>
      <c r="E290">
        <f>HOUR(EV_Data[[#This Row],[Charging Start Time]])</f>
        <v>0</v>
      </c>
      <c r="F290" s="1">
        <v>44939</v>
      </c>
      <c r="G290" s="1">
        <v>44939.037499999999</v>
      </c>
      <c r="H290">
        <v>54</v>
      </c>
      <c r="I290">
        <v>45.58</v>
      </c>
      <c r="J290" t="str">
        <f t="shared" si="13"/>
        <v>Medium</v>
      </c>
      <c r="K290" t="s">
        <v>69</v>
      </c>
      <c r="L290">
        <v>50</v>
      </c>
      <c r="M290">
        <v>83</v>
      </c>
      <c r="N290" t="str">
        <f t="shared" si="14"/>
        <v>Medium Cost</v>
      </c>
      <c r="O290">
        <v>9.2799999999999994</v>
      </c>
      <c r="P290" t="s">
        <v>23</v>
      </c>
      <c r="Q290" t="s">
        <v>24</v>
      </c>
      <c r="R290" t="s">
        <v>25</v>
      </c>
      <c r="S290" t="s">
        <v>340</v>
      </c>
      <c r="T290" t="s">
        <v>46</v>
      </c>
      <c r="U290">
        <v>4</v>
      </c>
      <c r="V290">
        <v>4.0999999999999996</v>
      </c>
      <c r="W290" t="s">
        <v>28</v>
      </c>
      <c r="X290" t="s">
        <v>68</v>
      </c>
    </row>
    <row r="291" spans="1:24" x14ac:dyDescent="0.3">
      <c r="A291" t="s">
        <v>1569</v>
      </c>
      <c r="B291" t="s">
        <v>30</v>
      </c>
      <c r="C291" t="s">
        <v>102</v>
      </c>
      <c r="D291" t="str">
        <f t="shared" si="12"/>
        <v>Morning</v>
      </c>
      <c r="E291">
        <f>HOUR(EV_Data[[#This Row],[Charging Start Time]])</f>
        <v>1</v>
      </c>
      <c r="F291" s="1">
        <v>44939.041666666664</v>
      </c>
      <c r="G291" s="1">
        <v>44939.079861111109</v>
      </c>
      <c r="H291">
        <v>55</v>
      </c>
      <c r="I291">
        <v>25.3</v>
      </c>
      <c r="J291" t="str">
        <f t="shared" si="13"/>
        <v>Medium</v>
      </c>
      <c r="K291" t="s">
        <v>22</v>
      </c>
      <c r="L291">
        <v>53</v>
      </c>
      <c r="M291">
        <v>67</v>
      </c>
      <c r="N291" t="str">
        <f t="shared" si="14"/>
        <v>Low Cost</v>
      </c>
      <c r="O291">
        <v>7.89</v>
      </c>
      <c r="P291" t="s">
        <v>51</v>
      </c>
      <c r="Q291" t="s">
        <v>58</v>
      </c>
      <c r="R291" t="s">
        <v>56</v>
      </c>
      <c r="S291" t="s">
        <v>341</v>
      </c>
      <c r="T291" t="s">
        <v>27</v>
      </c>
      <c r="U291">
        <v>31</v>
      </c>
      <c r="V291">
        <v>3.1</v>
      </c>
      <c r="W291" t="s">
        <v>47</v>
      </c>
      <c r="X291" t="s">
        <v>29</v>
      </c>
    </row>
    <row r="292" spans="1:24" x14ac:dyDescent="0.3">
      <c r="A292" t="s">
        <v>1570</v>
      </c>
      <c r="B292" t="s">
        <v>30</v>
      </c>
      <c r="C292" t="s">
        <v>102</v>
      </c>
      <c r="D292" t="str">
        <f t="shared" si="12"/>
        <v>Morning</v>
      </c>
      <c r="E292">
        <f>HOUR(EV_Data[[#This Row],[Charging Start Time]])</f>
        <v>2</v>
      </c>
      <c r="F292" s="1">
        <v>44939.083333333336</v>
      </c>
      <c r="G292" s="1">
        <v>44939.119444444441</v>
      </c>
      <c r="H292">
        <v>52</v>
      </c>
      <c r="I292">
        <v>38.72</v>
      </c>
      <c r="J292" t="str">
        <f t="shared" si="13"/>
        <v>Medium</v>
      </c>
      <c r="K292" t="s">
        <v>22</v>
      </c>
      <c r="L292">
        <v>47</v>
      </c>
      <c r="M292">
        <v>61</v>
      </c>
      <c r="N292" t="str">
        <f t="shared" si="14"/>
        <v>Medium Cost</v>
      </c>
      <c r="O292">
        <v>11.13</v>
      </c>
      <c r="P292" t="s">
        <v>33</v>
      </c>
      <c r="Q292" t="s">
        <v>58</v>
      </c>
      <c r="R292" t="s">
        <v>25</v>
      </c>
      <c r="S292" t="s">
        <v>342</v>
      </c>
      <c r="T292" t="s">
        <v>46</v>
      </c>
      <c r="U292">
        <v>80</v>
      </c>
      <c r="V292">
        <v>1.2</v>
      </c>
      <c r="W292" t="s">
        <v>28</v>
      </c>
      <c r="X292" t="s">
        <v>68</v>
      </c>
    </row>
    <row r="293" spans="1:24" x14ac:dyDescent="0.3">
      <c r="A293" t="s">
        <v>1571</v>
      </c>
      <c r="B293" t="s">
        <v>77</v>
      </c>
      <c r="C293" t="s">
        <v>78</v>
      </c>
      <c r="D293" t="str">
        <f t="shared" si="12"/>
        <v>Morning</v>
      </c>
      <c r="E293">
        <f>HOUR(EV_Data[[#This Row],[Charging Start Time]])</f>
        <v>3</v>
      </c>
      <c r="F293" s="1">
        <v>44939.125</v>
      </c>
      <c r="G293" s="1">
        <v>44939.177777777782</v>
      </c>
      <c r="H293">
        <v>76</v>
      </c>
      <c r="I293">
        <v>19.75</v>
      </c>
      <c r="J293" t="str">
        <f t="shared" si="13"/>
        <v>Low</v>
      </c>
      <c r="K293" t="s">
        <v>69</v>
      </c>
      <c r="L293">
        <v>24</v>
      </c>
      <c r="M293">
        <v>36</v>
      </c>
      <c r="N293" t="str">
        <f t="shared" si="14"/>
        <v>Low Cost</v>
      </c>
      <c r="O293">
        <v>4.8</v>
      </c>
      <c r="P293" t="s">
        <v>64</v>
      </c>
      <c r="Q293" t="s">
        <v>34</v>
      </c>
      <c r="R293" t="s">
        <v>56</v>
      </c>
      <c r="S293" t="s">
        <v>343</v>
      </c>
      <c r="T293" t="s">
        <v>60</v>
      </c>
      <c r="U293">
        <v>36</v>
      </c>
      <c r="V293">
        <v>2.8</v>
      </c>
      <c r="W293" t="s">
        <v>28</v>
      </c>
      <c r="X293" t="s">
        <v>68</v>
      </c>
    </row>
    <row r="294" spans="1:24" x14ac:dyDescent="0.3">
      <c r="A294" t="s">
        <v>1572</v>
      </c>
      <c r="B294" t="s">
        <v>30</v>
      </c>
      <c r="C294" t="s">
        <v>102</v>
      </c>
      <c r="D294" t="str">
        <f t="shared" si="12"/>
        <v>Morning</v>
      </c>
      <c r="E294">
        <f>HOUR(EV_Data[[#This Row],[Charging Start Time]])</f>
        <v>4</v>
      </c>
      <c r="F294" s="1">
        <v>44939.166666666664</v>
      </c>
      <c r="G294" s="1">
        <v>44939.208333333343</v>
      </c>
      <c r="H294">
        <v>60</v>
      </c>
      <c r="I294">
        <v>14.77</v>
      </c>
      <c r="J294" t="str">
        <f t="shared" si="13"/>
        <v>Low</v>
      </c>
      <c r="K294" t="s">
        <v>50</v>
      </c>
      <c r="L294">
        <v>37</v>
      </c>
      <c r="M294">
        <v>64</v>
      </c>
      <c r="N294" t="str">
        <f t="shared" si="14"/>
        <v>Low Cost</v>
      </c>
      <c r="O294">
        <v>5.88</v>
      </c>
      <c r="P294" t="s">
        <v>23</v>
      </c>
      <c r="Q294" t="s">
        <v>34</v>
      </c>
      <c r="R294" t="s">
        <v>44</v>
      </c>
      <c r="S294" t="s">
        <v>344</v>
      </c>
      <c r="T294" t="s">
        <v>46</v>
      </c>
      <c r="U294">
        <v>3</v>
      </c>
      <c r="V294">
        <v>4.2</v>
      </c>
      <c r="W294" t="s">
        <v>28</v>
      </c>
      <c r="X294" t="s">
        <v>68</v>
      </c>
    </row>
    <row r="295" spans="1:24" x14ac:dyDescent="0.3">
      <c r="A295" t="s">
        <v>1573</v>
      </c>
      <c r="B295" t="s">
        <v>40</v>
      </c>
      <c r="C295" t="s">
        <v>41</v>
      </c>
      <c r="D295" t="str">
        <f t="shared" si="12"/>
        <v>Morning</v>
      </c>
      <c r="E295">
        <f>HOUR(EV_Data[[#This Row],[Charging Start Time]])</f>
        <v>5</v>
      </c>
      <c r="F295" s="1">
        <v>44939.208333333336</v>
      </c>
      <c r="G295" s="1">
        <v>44939.243750000001</v>
      </c>
      <c r="H295">
        <v>51</v>
      </c>
      <c r="I295">
        <v>9.91</v>
      </c>
      <c r="J295" t="str">
        <f t="shared" si="13"/>
        <v>Low</v>
      </c>
      <c r="K295" t="s">
        <v>32</v>
      </c>
      <c r="L295">
        <v>16</v>
      </c>
      <c r="M295">
        <v>35</v>
      </c>
      <c r="N295" t="str">
        <f t="shared" si="14"/>
        <v>Low Cost</v>
      </c>
      <c r="O295">
        <v>2.91</v>
      </c>
      <c r="P295" t="s">
        <v>33</v>
      </c>
      <c r="Q295" t="s">
        <v>34</v>
      </c>
      <c r="R295" t="s">
        <v>56</v>
      </c>
      <c r="S295" t="s">
        <v>57</v>
      </c>
      <c r="T295" t="s">
        <v>37</v>
      </c>
      <c r="U295">
        <v>76</v>
      </c>
      <c r="V295">
        <v>4.0999999999999996</v>
      </c>
      <c r="W295" t="s">
        <v>38</v>
      </c>
      <c r="X295" t="s">
        <v>85</v>
      </c>
    </row>
    <row r="296" spans="1:24" x14ac:dyDescent="0.3">
      <c r="A296" t="s">
        <v>1574</v>
      </c>
      <c r="B296" t="s">
        <v>77</v>
      </c>
      <c r="C296" t="s">
        <v>78</v>
      </c>
      <c r="D296" t="str">
        <f t="shared" si="12"/>
        <v>Morning</v>
      </c>
      <c r="E296">
        <f>HOUR(EV_Data[[#This Row],[Charging Start Time]])</f>
        <v>6</v>
      </c>
      <c r="F296" s="1">
        <v>44939.25</v>
      </c>
      <c r="G296" s="1">
        <v>44939.29583333333</v>
      </c>
      <c r="H296">
        <v>66</v>
      </c>
      <c r="I296">
        <v>34.15</v>
      </c>
      <c r="J296" t="str">
        <f t="shared" si="13"/>
        <v>Medium</v>
      </c>
      <c r="K296" t="s">
        <v>69</v>
      </c>
      <c r="L296">
        <v>64</v>
      </c>
      <c r="M296">
        <v>75</v>
      </c>
      <c r="N296" t="str">
        <f t="shared" si="14"/>
        <v>Medium Cost</v>
      </c>
      <c r="O296">
        <v>8.1999999999999993</v>
      </c>
      <c r="P296" t="s">
        <v>51</v>
      </c>
      <c r="Q296" t="s">
        <v>34</v>
      </c>
      <c r="R296" t="s">
        <v>56</v>
      </c>
      <c r="S296" t="s">
        <v>345</v>
      </c>
      <c r="T296" t="s">
        <v>37</v>
      </c>
      <c r="U296">
        <v>87</v>
      </c>
      <c r="V296">
        <v>2.7</v>
      </c>
      <c r="W296" t="s">
        <v>38</v>
      </c>
      <c r="X296" t="s">
        <v>83</v>
      </c>
    </row>
    <row r="297" spans="1:24" x14ac:dyDescent="0.3">
      <c r="A297" t="s">
        <v>1575</v>
      </c>
      <c r="B297" t="s">
        <v>40</v>
      </c>
      <c r="C297" t="s">
        <v>41</v>
      </c>
      <c r="D297" t="str">
        <f t="shared" si="12"/>
        <v>Morning</v>
      </c>
      <c r="E297">
        <f>HOUR(EV_Data[[#This Row],[Charging Start Time]])</f>
        <v>7</v>
      </c>
      <c r="F297" s="1">
        <v>44939.291666666664</v>
      </c>
      <c r="G297" s="1">
        <v>44939.32916666667</v>
      </c>
      <c r="H297">
        <v>54</v>
      </c>
      <c r="I297">
        <v>6.41</v>
      </c>
      <c r="J297" t="str">
        <f t="shared" si="13"/>
        <v>Low</v>
      </c>
      <c r="K297" t="s">
        <v>42</v>
      </c>
      <c r="L297">
        <v>27</v>
      </c>
      <c r="M297">
        <v>58</v>
      </c>
      <c r="N297" t="str">
        <f t="shared" si="14"/>
        <v>Low Cost</v>
      </c>
      <c r="O297">
        <v>1.67</v>
      </c>
      <c r="P297" t="s">
        <v>64</v>
      </c>
      <c r="Q297" t="s">
        <v>58</v>
      </c>
      <c r="R297" t="s">
        <v>44</v>
      </c>
      <c r="S297" t="s">
        <v>125</v>
      </c>
      <c r="T297" t="s">
        <v>37</v>
      </c>
      <c r="U297">
        <v>11</v>
      </c>
      <c r="V297">
        <v>4.5999999999999996</v>
      </c>
      <c r="W297" t="s">
        <v>28</v>
      </c>
      <c r="X297" t="s">
        <v>68</v>
      </c>
    </row>
    <row r="298" spans="1:24" x14ac:dyDescent="0.3">
      <c r="A298" t="s">
        <v>1576</v>
      </c>
      <c r="B298" t="s">
        <v>126</v>
      </c>
      <c r="C298" t="s">
        <v>31</v>
      </c>
      <c r="D298" t="str">
        <f t="shared" si="12"/>
        <v>Morning</v>
      </c>
      <c r="E298">
        <f>HOUR(EV_Data[[#This Row],[Charging Start Time]])</f>
        <v>8</v>
      </c>
      <c r="F298" s="1">
        <v>44939.333333333336</v>
      </c>
      <c r="G298" s="1">
        <v>44939.334027777782</v>
      </c>
      <c r="H298">
        <v>1</v>
      </c>
      <c r="I298">
        <v>23.46</v>
      </c>
      <c r="J298" t="str">
        <f t="shared" si="13"/>
        <v>Medium</v>
      </c>
      <c r="K298" t="s">
        <v>55</v>
      </c>
      <c r="L298">
        <v>54</v>
      </c>
      <c r="M298">
        <v>93</v>
      </c>
      <c r="N298" t="str">
        <f t="shared" si="14"/>
        <v>Medium Cost</v>
      </c>
      <c r="O298">
        <v>9.44</v>
      </c>
      <c r="P298" t="s">
        <v>33</v>
      </c>
      <c r="Q298" t="s">
        <v>34</v>
      </c>
      <c r="R298" t="s">
        <v>25</v>
      </c>
      <c r="S298" t="s">
        <v>346</v>
      </c>
      <c r="T298" t="s">
        <v>60</v>
      </c>
      <c r="U298">
        <v>4</v>
      </c>
      <c r="V298">
        <v>1.5</v>
      </c>
      <c r="W298" t="s">
        <v>28</v>
      </c>
      <c r="X298" t="s">
        <v>68</v>
      </c>
    </row>
    <row r="299" spans="1:24" x14ac:dyDescent="0.3">
      <c r="A299" t="s">
        <v>1577</v>
      </c>
      <c r="B299" t="s">
        <v>20</v>
      </c>
      <c r="C299" t="s">
        <v>21</v>
      </c>
      <c r="D299" t="str">
        <f t="shared" si="12"/>
        <v>Morning</v>
      </c>
      <c r="E299">
        <f>HOUR(EV_Data[[#This Row],[Charging Start Time]])</f>
        <v>9</v>
      </c>
      <c r="F299" s="1">
        <v>44939.375</v>
      </c>
      <c r="G299" s="1">
        <v>44939.414583333331</v>
      </c>
      <c r="H299">
        <v>57</v>
      </c>
      <c r="I299">
        <v>28.22</v>
      </c>
      <c r="J299" t="str">
        <f t="shared" si="13"/>
        <v>Medium</v>
      </c>
      <c r="K299" t="s">
        <v>55</v>
      </c>
      <c r="L299">
        <v>41</v>
      </c>
      <c r="M299">
        <v>66</v>
      </c>
      <c r="N299" t="str">
        <f t="shared" si="14"/>
        <v>Medium Cost</v>
      </c>
      <c r="O299">
        <v>12.38</v>
      </c>
      <c r="P299" t="s">
        <v>33</v>
      </c>
      <c r="Q299" t="s">
        <v>48</v>
      </c>
      <c r="R299" t="s">
        <v>56</v>
      </c>
      <c r="S299" t="s">
        <v>347</v>
      </c>
      <c r="T299" t="s">
        <v>37</v>
      </c>
      <c r="U299">
        <v>77</v>
      </c>
      <c r="V299">
        <v>1.6</v>
      </c>
      <c r="W299" t="s">
        <v>38</v>
      </c>
    </row>
    <row r="300" spans="1:24" x14ac:dyDescent="0.3">
      <c r="A300" t="s">
        <v>1578</v>
      </c>
      <c r="B300" t="s">
        <v>40</v>
      </c>
      <c r="C300" t="s">
        <v>41</v>
      </c>
      <c r="D300" t="str">
        <f t="shared" si="12"/>
        <v>Morning</v>
      </c>
      <c r="E300">
        <f>HOUR(EV_Data[[#This Row],[Charging Start Time]])</f>
        <v>10</v>
      </c>
      <c r="F300" s="1">
        <v>44939.416666666664</v>
      </c>
      <c r="G300" s="1">
        <v>44939.461805555547</v>
      </c>
      <c r="H300">
        <v>65</v>
      </c>
      <c r="I300">
        <v>27.43</v>
      </c>
      <c r="J300" t="str">
        <f t="shared" si="13"/>
        <v>Medium</v>
      </c>
      <c r="K300" t="s">
        <v>32</v>
      </c>
      <c r="L300">
        <v>12</v>
      </c>
      <c r="M300">
        <v>52</v>
      </c>
      <c r="N300" t="str">
        <f t="shared" si="14"/>
        <v>Low Cost</v>
      </c>
      <c r="O300">
        <v>6.05</v>
      </c>
      <c r="P300" t="s">
        <v>64</v>
      </c>
      <c r="Q300" t="s">
        <v>24</v>
      </c>
      <c r="R300" t="s">
        <v>25</v>
      </c>
      <c r="S300" t="s">
        <v>303</v>
      </c>
      <c r="T300" t="s">
        <v>27</v>
      </c>
      <c r="U300">
        <v>3</v>
      </c>
      <c r="V300">
        <v>3.2</v>
      </c>
      <c r="W300" t="s">
        <v>28</v>
      </c>
      <c r="X300" t="s">
        <v>68</v>
      </c>
    </row>
    <row r="301" spans="1:24" x14ac:dyDescent="0.3">
      <c r="A301" t="s">
        <v>1579</v>
      </c>
      <c r="B301" t="s">
        <v>71</v>
      </c>
      <c r="C301" t="s">
        <v>72</v>
      </c>
      <c r="D301" t="str">
        <f t="shared" si="12"/>
        <v>Morning</v>
      </c>
      <c r="E301">
        <f>HOUR(EV_Data[[#This Row],[Charging Start Time]])</f>
        <v>11</v>
      </c>
      <c r="F301" s="1">
        <v>44939.458333333336</v>
      </c>
      <c r="G301" s="1">
        <v>44939.478472222218</v>
      </c>
      <c r="H301">
        <v>29</v>
      </c>
      <c r="I301">
        <v>46.57</v>
      </c>
      <c r="J301" t="str">
        <f t="shared" si="13"/>
        <v>Medium</v>
      </c>
      <c r="K301" t="s">
        <v>69</v>
      </c>
      <c r="L301">
        <v>13</v>
      </c>
      <c r="M301">
        <v>24</v>
      </c>
      <c r="N301" t="str">
        <f t="shared" si="14"/>
        <v>High Cost</v>
      </c>
      <c r="O301">
        <v>21.46</v>
      </c>
      <c r="P301" t="s">
        <v>33</v>
      </c>
      <c r="Q301" t="s">
        <v>24</v>
      </c>
      <c r="R301" t="s">
        <v>56</v>
      </c>
      <c r="S301" t="s">
        <v>348</v>
      </c>
      <c r="T301" t="s">
        <v>46</v>
      </c>
      <c r="U301">
        <v>63</v>
      </c>
      <c r="V301">
        <v>1.9</v>
      </c>
      <c r="W301" t="s">
        <v>28</v>
      </c>
      <c r="X301" t="s">
        <v>68</v>
      </c>
    </row>
    <row r="302" spans="1:24" x14ac:dyDescent="0.3">
      <c r="A302" t="s">
        <v>1580</v>
      </c>
      <c r="B302" t="s">
        <v>53</v>
      </c>
      <c r="C302" t="s">
        <v>54</v>
      </c>
      <c r="D302" t="str">
        <f t="shared" si="12"/>
        <v>Afternoon</v>
      </c>
      <c r="E302">
        <f>HOUR(EV_Data[[#This Row],[Charging Start Time]])</f>
        <v>12</v>
      </c>
      <c r="F302" s="1">
        <v>44939.5</v>
      </c>
      <c r="G302" s="1">
        <v>44939.545138888891</v>
      </c>
      <c r="H302">
        <v>65</v>
      </c>
      <c r="I302">
        <v>47.68</v>
      </c>
      <c r="J302" t="str">
        <f t="shared" si="13"/>
        <v>Medium</v>
      </c>
      <c r="K302" t="s">
        <v>50</v>
      </c>
      <c r="L302">
        <v>64</v>
      </c>
      <c r="M302">
        <v>78</v>
      </c>
      <c r="N302" t="str">
        <f t="shared" si="14"/>
        <v>Medium Cost</v>
      </c>
      <c r="O302">
        <v>14.73</v>
      </c>
      <c r="P302" t="s">
        <v>51</v>
      </c>
      <c r="Q302" t="s">
        <v>48</v>
      </c>
      <c r="R302" t="s">
        <v>56</v>
      </c>
      <c r="S302" t="s">
        <v>349</v>
      </c>
      <c r="T302" t="s">
        <v>60</v>
      </c>
      <c r="U302">
        <v>2</v>
      </c>
      <c r="V302">
        <v>2.1</v>
      </c>
      <c r="W302" t="s">
        <v>47</v>
      </c>
      <c r="X302" t="s">
        <v>29</v>
      </c>
    </row>
    <row r="303" spans="1:24" x14ac:dyDescent="0.3">
      <c r="A303" t="s">
        <v>1581</v>
      </c>
      <c r="B303" t="s">
        <v>30</v>
      </c>
      <c r="C303" t="s">
        <v>102</v>
      </c>
      <c r="D303" t="str">
        <f t="shared" si="12"/>
        <v>Afternoon</v>
      </c>
      <c r="E303">
        <f>HOUR(EV_Data[[#This Row],[Charging Start Time]])</f>
        <v>13</v>
      </c>
      <c r="F303" s="1">
        <v>44939.541666666664</v>
      </c>
      <c r="G303" s="1">
        <v>44939.591666666667</v>
      </c>
      <c r="H303">
        <v>72</v>
      </c>
      <c r="I303">
        <v>44.01</v>
      </c>
      <c r="J303" t="str">
        <f t="shared" si="13"/>
        <v>Medium</v>
      </c>
      <c r="K303" t="s">
        <v>22</v>
      </c>
      <c r="L303">
        <v>71</v>
      </c>
      <c r="M303">
        <v>88</v>
      </c>
      <c r="N303" t="str">
        <f t="shared" si="14"/>
        <v>Medium Cost</v>
      </c>
      <c r="O303">
        <v>13.59</v>
      </c>
      <c r="P303" t="s">
        <v>43</v>
      </c>
      <c r="Q303" t="s">
        <v>48</v>
      </c>
      <c r="R303" t="s">
        <v>56</v>
      </c>
      <c r="S303" t="s">
        <v>350</v>
      </c>
      <c r="T303" t="s">
        <v>27</v>
      </c>
      <c r="U303">
        <v>5</v>
      </c>
      <c r="V303">
        <v>4.7</v>
      </c>
      <c r="W303" t="s">
        <v>47</v>
      </c>
      <c r="X303" t="s">
        <v>29</v>
      </c>
    </row>
    <row r="304" spans="1:24" x14ac:dyDescent="0.3">
      <c r="A304" t="s">
        <v>1582</v>
      </c>
      <c r="B304" t="s">
        <v>30</v>
      </c>
      <c r="C304" t="s">
        <v>102</v>
      </c>
      <c r="D304" t="str">
        <f t="shared" si="12"/>
        <v>Afternoon</v>
      </c>
      <c r="E304">
        <f>HOUR(EV_Data[[#This Row],[Charging Start Time]])</f>
        <v>14</v>
      </c>
      <c r="F304" s="1">
        <v>44939.583333333336</v>
      </c>
      <c r="G304" s="1">
        <v>44939.588888888888</v>
      </c>
      <c r="H304">
        <v>8</v>
      </c>
      <c r="I304">
        <v>38.86</v>
      </c>
      <c r="J304" t="str">
        <f t="shared" si="13"/>
        <v>Medium</v>
      </c>
      <c r="K304" t="s">
        <v>22</v>
      </c>
      <c r="L304">
        <v>75</v>
      </c>
      <c r="M304">
        <v>97</v>
      </c>
      <c r="N304" t="str">
        <f t="shared" si="14"/>
        <v>Medium Cost</v>
      </c>
      <c r="O304">
        <v>8.6300000000000008</v>
      </c>
      <c r="P304" t="s">
        <v>33</v>
      </c>
      <c r="Q304" t="s">
        <v>34</v>
      </c>
      <c r="R304" t="s">
        <v>25</v>
      </c>
      <c r="S304" t="s">
        <v>351</v>
      </c>
      <c r="T304" t="s">
        <v>60</v>
      </c>
      <c r="U304">
        <v>96</v>
      </c>
      <c r="V304">
        <v>4.0999999999999996</v>
      </c>
      <c r="W304" t="s">
        <v>38</v>
      </c>
      <c r="X304" t="s">
        <v>83</v>
      </c>
    </row>
    <row r="305" spans="1:24" x14ac:dyDescent="0.3">
      <c r="A305" t="s">
        <v>1583</v>
      </c>
      <c r="B305" t="s">
        <v>53</v>
      </c>
      <c r="C305" t="s">
        <v>54</v>
      </c>
      <c r="D305" t="str">
        <f t="shared" si="12"/>
        <v>Afternoon</v>
      </c>
      <c r="E305">
        <f>HOUR(EV_Data[[#This Row],[Charging Start Time]])</f>
        <v>15</v>
      </c>
      <c r="F305" s="1">
        <v>44939.625</v>
      </c>
      <c r="G305" s="1">
        <v>44939.658333333333</v>
      </c>
      <c r="H305">
        <v>48</v>
      </c>
      <c r="I305">
        <v>17.96</v>
      </c>
      <c r="J305" t="str">
        <f t="shared" si="13"/>
        <v>Low</v>
      </c>
      <c r="K305" t="s">
        <v>22</v>
      </c>
      <c r="L305">
        <v>75</v>
      </c>
      <c r="M305">
        <v>88</v>
      </c>
      <c r="N305" t="str">
        <f t="shared" si="14"/>
        <v>Low Cost</v>
      </c>
      <c r="O305">
        <v>4.0199999999999996</v>
      </c>
      <c r="P305" t="s">
        <v>51</v>
      </c>
      <c r="Q305" t="s">
        <v>48</v>
      </c>
      <c r="R305" t="s">
        <v>56</v>
      </c>
      <c r="S305" t="s">
        <v>352</v>
      </c>
      <c r="T305" t="s">
        <v>27</v>
      </c>
      <c r="U305">
        <v>79</v>
      </c>
      <c r="V305">
        <v>4.4000000000000004</v>
      </c>
      <c r="W305" t="s">
        <v>47</v>
      </c>
      <c r="X305" t="s">
        <v>29</v>
      </c>
    </row>
    <row r="306" spans="1:24" x14ac:dyDescent="0.3">
      <c r="A306" t="s">
        <v>1584</v>
      </c>
      <c r="B306" t="s">
        <v>20</v>
      </c>
      <c r="C306" t="s">
        <v>21</v>
      </c>
      <c r="D306" t="str">
        <f t="shared" si="12"/>
        <v>Afternoon</v>
      </c>
      <c r="E306">
        <f>HOUR(EV_Data[[#This Row],[Charging Start Time]])</f>
        <v>16</v>
      </c>
      <c r="F306" s="1">
        <v>44939.666666666664</v>
      </c>
      <c r="G306" s="1">
        <v>44939.747916666667</v>
      </c>
      <c r="H306">
        <v>117</v>
      </c>
      <c r="I306">
        <v>33.49</v>
      </c>
      <c r="J306" t="str">
        <f t="shared" si="13"/>
        <v>Medium</v>
      </c>
      <c r="K306" t="s">
        <v>42</v>
      </c>
      <c r="L306">
        <v>37</v>
      </c>
      <c r="M306">
        <v>59</v>
      </c>
      <c r="N306" t="str">
        <f t="shared" si="14"/>
        <v>Medium Cost</v>
      </c>
      <c r="O306">
        <v>8.6300000000000008</v>
      </c>
      <c r="P306" t="s">
        <v>23</v>
      </c>
      <c r="Q306" t="s">
        <v>34</v>
      </c>
      <c r="R306" t="s">
        <v>35</v>
      </c>
      <c r="S306" t="s">
        <v>353</v>
      </c>
      <c r="T306" t="s">
        <v>60</v>
      </c>
      <c r="U306">
        <v>23</v>
      </c>
      <c r="V306">
        <v>3.5</v>
      </c>
      <c r="W306" t="s">
        <v>28</v>
      </c>
      <c r="X306" t="s">
        <v>68</v>
      </c>
    </row>
    <row r="307" spans="1:24" x14ac:dyDescent="0.3">
      <c r="A307" t="s">
        <v>1585</v>
      </c>
      <c r="B307" t="s">
        <v>40</v>
      </c>
      <c r="C307" t="s">
        <v>41</v>
      </c>
      <c r="D307" t="str">
        <f t="shared" si="12"/>
        <v>Evening</v>
      </c>
      <c r="E307">
        <f>HOUR(EV_Data[[#This Row],[Charging Start Time]])</f>
        <v>17</v>
      </c>
      <c r="F307" s="1">
        <v>44939.708333333336</v>
      </c>
      <c r="G307" s="1">
        <v>44939.740972222222</v>
      </c>
      <c r="H307">
        <v>47</v>
      </c>
      <c r="I307">
        <v>45.69</v>
      </c>
      <c r="J307" t="str">
        <f t="shared" si="13"/>
        <v>Medium</v>
      </c>
      <c r="K307" t="s">
        <v>50</v>
      </c>
      <c r="L307">
        <v>64</v>
      </c>
      <c r="M307">
        <v>100</v>
      </c>
      <c r="N307" t="str">
        <f t="shared" si="14"/>
        <v>High Cost</v>
      </c>
      <c r="O307">
        <v>17.670000000000002</v>
      </c>
      <c r="P307" t="s">
        <v>64</v>
      </c>
      <c r="Q307" t="s">
        <v>34</v>
      </c>
      <c r="R307" t="s">
        <v>44</v>
      </c>
      <c r="S307" t="s">
        <v>303</v>
      </c>
      <c r="T307" t="s">
        <v>60</v>
      </c>
      <c r="U307">
        <v>63</v>
      </c>
      <c r="V307">
        <v>4</v>
      </c>
      <c r="W307" t="s">
        <v>28</v>
      </c>
      <c r="X307" t="s">
        <v>68</v>
      </c>
    </row>
    <row r="308" spans="1:24" x14ac:dyDescent="0.3">
      <c r="A308" t="s">
        <v>1586</v>
      </c>
      <c r="B308" t="s">
        <v>20</v>
      </c>
      <c r="C308" t="s">
        <v>21</v>
      </c>
      <c r="D308" t="str">
        <f t="shared" si="12"/>
        <v>Evening</v>
      </c>
      <c r="E308">
        <f>HOUR(EV_Data[[#This Row],[Charging Start Time]])</f>
        <v>18</v>
      </c>
      <c r="F308" s="1">
        <v>44939.75</v>
      </c>
      <c r="G308" s="1">
        <v>44939.788194444453</v>
      </c>
      <c r="H308">
        <v>55</v>
      </c>
      <c r="I308">
        <v>27.25</v>
      </c>
      <c r="J308" t="str">
        <f t="shared" si="13"/>
        <v>Medium</v>
      </c>
      <c r="K308" t="s">
        <v>22</v>
      </c>
      <c r="L308">
        <v>44</v>
      </c>
      <c r="M308">
        <v>84</v>
      </c>
      <c r="N308" t="str">
        <f t="shared" si="14"/>
        <v>Medium Cost</v>
      </c>
      <c r="O308">
        <v>13.07</v>
      </c>
      <c r="P308" t="s">
        <v>51</v>
      </c>
      <c r="Q308" t="s">
        <v>24</v>
      </c>
      <c r="R308" t="s">
        <v>56</v>
      </c>
      <c r="S308" t="s">
        <v>354</v>
      </c>
      <c r="T308" t="s">
        <v>60</v>
      </c>
      <c r="U308">
        <v>98</v>
      </c>
      <c r="V308">
        <v>1.1000000000000001</v>
      </c>
      <c r="W308" t="s">
        <v>47</v>
      </c>
      <c r="X308" t="s">
        <v>29</v>
      </c>
    </row>
    <row r="309" spans="1:24" x14ac:dyDescent="0.3">
      <c r="A309" t="s">
        <v>1587</v>
      </c>
      <c r="B309" t="s">
        <v>20</v>
      </c>
      <c r="C309" t="s">
        <v>21</v>
      </c>
      <c r="D309" t="str">
        <f t="shared" si="12"/>
        <v>Evening</v>
      </c>
      <c r="E309">
        <f>HOUR(EV_Data[[#This Row],[Charging Start Time]])</f>
        <v>19</v>
      </c>
      <c r="F309" s="1">
        <v>44939.791666666664</v>
      </c>
      <c r="G309" s="1">
        <v>44939.841666666667</v>
      </c>
      <c r="H309">
        <v>72</v>
      </c>
      <c r="I309">
        <v>11.92</v>
      </c>
      <c r="J309" t="str">
        <f t="shared" si="13"/>
        <v>Low</v>
      </c>
      <c r="K309" t="s">
        <v>69</v>
      </c>
      <c r="L309">
        <v>10</v>
      </c>
      <c r="M309">
        <v>30</v>
      </c>
      <c r="N309" t="str">
        <f t="shared" si="14"/>
        <v>Low Cost</v>
      </c>
      <c r="O309">
        <v>4.54</v>
      </c>
      <c r="P309" t="s">
        <v>64</v>
      </c>
      <c r="Q309" t="s">
        <v>58</v>
      </c>
      <c r="R309" t="s">
        <v>56</v>
      </c>
      <c r="S309" t="s">
        <v>355</v>
      </c>
      <c r="T309" t="s">
        <v>46</v>
      </c>
      <c r="U309">
        <v>56</v>
      </c>
      <c r="V309">
        <v>2.4</v>
      </c>
      <c r="W309" t="s">
        <v>47</v>
      </c>
      <c r="X309" t="s">
        <v>29</v>
      </c>
    </row>
    <row r="310" spans="1:24" x14ac:dyDescent="0.3">
      <c r="A310" t="s">
        <v>1588</v>
      </c>
      <c r="B310" t="s">
        <v>77</v>
      </c>
      <c r="C310" t="s">
        <v>78</v>
      </c>
      <c r="D310" t="str">
        <f t="shared" si="12"/>
        <v>Evening</v>
      </c>
      <c r="E310">
        <f>HOUR(EV_Data[[#This Row],[Charging Start Time]])</f>
        <v>20</v>
      </c>
      <c r="F310" s="1">
        <v>44939.833333333336</v>
      </c>
      <c r="G310" s="1">
        <v>44939.868750000001</v>
      </c>
      <c r="H310">
        <v>51</v>
      </c>
      <c r="I310">
        <v>29.64</v>
      </c>
      <c r="J310" t="str">
        <f t="shared" si="13"/>
        <v>Medium</v>
      </c>
      <c r="K310" t="s">
        <v>32</v>
      </c>
      <c r="L310">
        <v>20</v>
      </c>
      <c r="M310">
        <v>59</v>
      </c>
      <c r="N310" t="str">
        <f t="shared" si="14"/>
        <v>Low Cost</v>
      </c>
      <c r="O310">
        <v>7.66</v>
      </c>
      <c r="P310" t="s">
        <v>64</v>
      </c>
      <c r="Q310" t="s">
        <v>24</v>
      </c>
      <c r="R310" t="s">
        <v>44</v>
      </c>
      <c r="S310" t="s">
        <v>356</v>
      </c>
      <c r="T310" t="s">
        <v>60</v>
      </c>
      <c r="U310">
        <v>55</v>
      </c>
      <c r="V310">
        <v>1.3</v>
      </c>
      <c r="W310" t="s">
        <v>38</v>
      </c>
      <c r="X310" t="s">
        <v>62</v>
      </c>
    </row>
    <row r="311" spans="1:24" x14ac:dyDescent="0.3">
      <c r="A311" t="s">
        <v>1589</v>
      </c>
      <c r="B311" t="s">
        <v>20</v>
      </c>
      <c r="C311" t="s">
        <v>21</v>
      </c>
      <c r="D311" t="str">
        <f t="shared" si="12"/>
        <v>Evening</v>
      </c>
      <c r="E311">
        <f>HOUR(EV_Data[[#This Row],[Charging Start Time]])</f>
        <v>21</v>
      </c>
      <c r="F311" s="1">
        <v>44939.875</v>
      </c>
      <c r="G311" s="1">
        <v>44939.884722222218</v>
      </c>
      <c r="H311">
        <v>14</v>
      </c>
      <c r="I311">
        <v>16.16</v>
      </c>
      <c r="J311" t="str">
        <f t="shared" si="13"/>
        <v>Low</v>
      </c>
      <c r="K311" t="s">
        <v>69</v>
      </c>
      <c r="L311">
        <v>23</v>
      </c>
      <c r="M311">
        <v>34</v>
      </c>
      <c r="N311" t="str">
        <f t="shared" si="14"/>
        <v>Low Cost</v>
      </c>
      <c r="O311">
        <v>5.64</v>
      </c>
      <c r="P311" t="s">
        <v>33</v>
      </c>
      <c r="Q311" t="s">
        <v>58</v>
      </c>
      <c r="R311" t="s">
        <v>25</v>
      </c>
      <c r="S311" t="s">
        <v>357</v>
      </c>
      <c r="T311" t="s">
        <v>37</v>
      </c>
      <c r="U311">
        <v>53</v>
      </c>
      <c r="V311">
        <v>4.3</v>
      </c>
      <c r="W311" t="s">
        <v>47</v>
      </c>
      <c r="X311" t="s">
        <v>29</v>
      </c>
    </row>
    <row r="312" spans="1:24" x14ac:dyDescent="0.3">
      <c r="A312" t="s">
        <v>1590</v>
      </c>
      <c r="B312" t="s">
        <v>20</v>
      </c>
      <c r="C312" t="s">
        <v>21</v>
      </c>
      <c r="D312" t="str">
        <f t="shared" si="12"/>
        <v>Evening</v>
      </c>
      <c r="E312">
        <f>HOUR(EV_Data[[#This Row],[Charging Start Time]])</f>
        <v>22</v>
      </c>
      <c r="F312" s="1">
        <v>44939.916666666664</v>
      </c>
      <c r="G312" s="1">
        <v>44939.974999999999</v>
      </c>
      <c r="H312">
        <v>84</v>
      </c>
      <c r="I312">
        <v>38.520000000000003</v>
      </c>
      <c r="J312" t="str">
        <f t="shared" si="13"/>
        <v>Medium</v>
      </c>
      <c r="K312" t="s">
        <v>50</v>
      </c>
      <c r="L312">
        <v>65</v>
      </c>
      <c r="M312">
        <v>100</v>
      </c>
      <c r="N312" t="str">
        <f t="shared" si="14"/>
        <v>Low Cost</v>
      </c>
      <c r="O312">
        <v>7.88</v>
      </c>
      <c r="P312" t="s">
        <v>43</v>
      </c>
      <c r="Q312" t="s">
        <v>48</v>
      </c>
      <c r="R312" t="s">
        <v>44</v>
      </c>
      <c r="S312" t="s">
        <v>358</v>
      </c>
      <c r="T312" t="s">
        <v>27</v>
      </c>
      <c r="U312">
        <v>57</v>
      </c>
      <c r="V312">
        <v>4.2</v>
      </c>
      <c r="W312" t="s">
        <v>38</v>
      </c>
      <c r="X312" t="s">
        <v>39</v>
      </c>
    </row>
    <row r="313" spans="1:24" x14ac:dyDescent="0.3">
      <c r="A313" t="s">
        <v>1591</v>
      </c>
      <c r="B313" t="s">
        <v>71</v>
      </c>
      <c r="C313" t="s">
        <v>72</v>
      </c>
      <c r="D313" t="str">
        <f t="shared" si="12"/>
        <v>Evening</v>
      </c>
      <c r="E313">
        <f>HOUR(EV_Data[[#This Row],[Charging Start Time]])</f>
        <v>23</v>
      </c>
      <c r="F313" s="1">
        <v>44939.958333333336</v>
      </c>
      <c r="G313" s="1">
        <v>44940.004861111112</v>
      </c>
      <c r="H313">
        <v>67</v>
      </c>
      <c r="I313">
        <v>24.64</v>
      </c>
      <c r="J313" t="str">
        <f t="shared" si="13"/>
        <v>Medium</v>
      </c>
      <c r="K313" t="s">
        <v>32</v>
      </c>
      <c r="L313">
        <v>13</v>
      </c>
      <c r="M313">
        <v>28</v>
      </c>
      <c r="N313" t="str">
        <f t="shared" si="14"/>
        <v>Low Cost</v>
      </c>
      <c r="O313">
        <v>7.45</v>
      </c>
      <c r="P313" t="s">
        <v>23</v>
      </c>
      <c r="Q313" t="s">
        <v>34</v>
      </c>
      <c r="R313" t="s">
        <v>25</v>
      </c>
      <c r="S313" t="s">
        <v>359</v>
      </c>
      <c r="T313" t="s">
        <v>27</v>
      </c>
      <c r="U313">
        <v>18</v>
      </c>
      <c r="V313">
        <v>2.2999999999999998</v>
      </c>
      <c r="W313" t="s">
        <v>47</v>
      </c>
      <c r="X313" t="s">
        <v>29</v>
      </c>
    </row>
    <row r="314" spans="1:24" x14ac:dyDescent="0.3">
      <c r="A314" t="s">
        <v>1592</v>
      </c>
      <c r="B314" t="s">
        <v>53</v>
      </c>
      <c r="C314" t="s">
        <v>54</v>
      </c>
      <c r="D314" t="str">
        <f t="shared" si="12"/>
        <v>Morning</v>
      </c>
      <c r="E314">
        <f>HOUR(EV_Data[[#This Row],[Charging Start Time]])</f>
        <v>0</v>
      </c>
      <c r="F314" s="1">
        <v>44940</v>
      </c>
      <c r="G314" s="1">
        <v>44940.010416666657</v>
      </c>
      <c r="H314">
        <v>15</v>
      </c>
      <c r="I314">
        <v>16.260000000000002</v>
      </c>
      <c r="J314" t="str">
        <f t="shared" si="13"/>
        <v>Low</v>
      </c>
      <c r="K314" t="s">
        <v>32</v>
      </c>
      <c r="L314">
        <v>39</v>
      </c>
      <c r="M314">
        <v>60</v>
      </c>
      <c r="N314" t="str">
        <f t="shared" si="14"/>
        <v>Low Cost</v>
      </c>
      <c r="O314">
        <v>6.32</v>
      </c>
      <c r="P314" t="s">
        <v>43</v>
      </c>
      <c r="Q314" t="s">
        <v>58</v>
      </c>
      <c r="R314" t="s">
        <v>35</v>
      </c>
      <c r="S314" t="s">
        <v>360</v>
      </c>
      <c r="T314" t="s">
        <v>46</v>
      </c>
      <c r="U314">
        <v>55</v>
      </c>
      <c r="V314">
        <v>4.9000000000000004</v>
      </c>
      <c r="W314" t="s">
        <v>47</v>
      </c>
      <c r="X314" t="s">
        <v>29</v>
      </c>
    </row>
    <row r="315" spans="1:24" x14ac:dyDescent="0.3">
      <c r="A315" t="s">
        <v>1593</v>
      </c>
      <c r="B315" t="s">
        <v>20</v>
      </c>
      <c r="C315" t="s">
        <v>21</v>
      </c>
      <c r="D315" t="str">
        <f t="shared" si="12"/>
        <v>Morning</v>
      </c>
      <c r="E315">
        <f>HOUR(EV_Data[[#This Row],[Charging Start Time]])</f>
        <v>1</v>
      </c>
      <c r="F315" s="1">
        <v>44940.041666666664</v>
      </c>
      <c r="G315" s="1">
        <v>44940.120138888888</v>
      </c>
      <c r="H315">
        <v>113</v>
      </c>
      <c r="I315">
        <v>20.76</v>
      </c>
      <c r="J315" t="str">
        <f t="shared" si="13"/>
        <v>Medium</v>
      </c>
      <c r="K315" t="s">
        <v>22</v>
      </c>
      <c r="L315">
        <v>23</v>
      </c>
      <c r="M315">
        <v>33</v>
      </c>
      <c r="N315" t="str">
        <f t="shared" si="14"/>
        <v>Low Cost</v>
      </c>
      <c r="O315">
        <v>5.65</v>
      </c>
      <c r="P315" t="s">
        <v>64</v>
      </c>
      <c r="Q315" t="s">
        <v>58</v>
      </c>
      <c r="R315" t="s">
        <v>35</v>
      </c>
      <c r="S315" t="s">
        <v>361</v>
      </c>
      <c r="T315" t="s">
        <v>46</v>
      </c>
      <c r="U315">
        <v>35</v>
      </c>
      <c r="V315">
        <v>4.4000000000000004</v>
      </c>
      <c r="W315" t="s">
        <v>38</v>
      </c>
      <c r="X315" t="s">
        <v>62</v>
      </c>
    </row>
    <row r="316" spans="1:24" x14ac:dyDescent="0.3">
      <c r="A316" t="s">
        <v>1594</v>
      </c>
      <c r="B316" t="s">
        <v>77</v>
      </c>
      <c r="C316" t="s">
        <v>78</v>
      </c>
      <c r="D316" t="str">
        <f t="shared" si="12"/>
        <v>Morning</v>
      </c>
      <c r="E316">
        <f>HOUR(EV_Data[[#This Row],[Charging Start Time]])</f>
        <v>2</v>
      </c>
      <c r="F316" s="1">
        <v>44940.083333333336</v>
      </c>
      <c r="G316" s="1">
        <v>44940.133333333331</v>
      </c>
      <c r="H316">
        <v>72</v>
      </c>
      <c r="I316">
        <v>39.25</v>
      </c>
      <c r="J316" t="str">
        <f t="shared" si="13"/>
        <v>Medium</v>
      </c>
      <c r="K316" t="s">
        <v>69</v>
      </c>
      <c r="L316">
        <v>25</v>
      </c>
      <c r="M316">
        <v>62</v>
      </c>
      <c r="N316" t="str">
        <f t="shared" si="14"/>
        <v>Medium Cost</v>
      </c>
      <c r="O316">
        <v>8.76</v>
      </c>
      <c r="P316" t="s">
        <v>43</v>
      </c>
      <c r="Q316" t="s">
        <v>24</v>
      </c>
      <c r="R316" t="s">
        <v>25</v>
      </c>
      <c r="S316" t="s">
        <v>362</v>
      </c>
      <c r="T316" t="s">
        <v>27</v>
      </c>
      <c r="U316">
        <v>92</v>
      </c>
      <c r="V316">
        <v>2.4</v>
      </c>
      <c r="W316" t="s">
        <v>47</v>
      </c>
      <c r="X316" t="s">
        <v>29</v>
      </c>
    </row>
    <row r="317" spans="1:24" x14ac:dyDescent="0.3">
      <c r="A317" t="s">
        <v>1595</v>
      </c>
      <c r="B317" t="s">
        <v>71</v>
      </c>
      <c r="C317" t="s">
        <v>72</v>
      </c>
      <c r="D317" t="str">
        <f t="shared" si="12"/>
        <v>Morning</v>
      </c>
      <c r="E317">
        <f>HOUR(EV_Data[[#This Row],[Charging Start Time]])</f>
        <v>3</v>
      </c>
      <c r="F317" s="1">
        <v>44940.125</v>
      </c>
      <c r="G317" s="1">
        <v>44940.161805555559</v>
      </c>
      <c r="H317">
        <v>53</v>
      </c>
      <c r="I317">
        <v>46.94</v>
      </c>
      <c r="J317" t="str">
        <f t="shared" si="13"/>
        <v>Medium</v>
      </c>
      <c r="K317" t="s">
        <v>50</v>
      </c>
      <c r="L317">
        <v>44</v>
      </c>
      <c r="M317">
        <v>81</v>
      </c>
      <c r="N317" t="str">
        <f t="shared" si="14"/>
        <v>High Cost</v>
      </c>
      <c r="O317">
        <v>19.97</v>
      </c>
      <c r="P317" t="s">
        <v>64</v>
      </c>
      <c r="Q317" t="s">
        <v>24</v>
      </c>
      <c r="R317" t="s">
        <v>35</v>
      </c>
      <c r="S317" t="s">
        <v>363</v>
      </c>
      <c r="T317" t="s">
        <v>46</v>
      </c>
      <c r="U317">
        <v>60</v>
      </c>
      <c r="V317">
        <v>4.4000000000000004</v>
      </c>
      <c r="W317" t="s">
        <v>38</v>
      </c>
    </row>
    <row r="318" spans="1:24" x14ac:dyDescent="0.3">
      <c r="A318" t="s">
        <v>1596</v>
      </c>
      <c r="B318" t="s">
        <v>126</v>
      </c>
      <c r="C318" t="s">
        <v>31</v>
      </c>
      <c r="D318" t="str">
        <f t="shared" si="12"/>
        <v>Morning</v>
      </c>
      <c r="E318">
        <f>HOUR(EV_Data[[#This Row],[Charging Start Time]])</f>
        <v>4</v>
      </c>
      <c r="F318" s="1">
        <v>44940.166666666664</v>
      </c>
      <c r="G318" s="1">
        <v>44940.190972222219</v>
      </c>
      <c r="H318">
        <v>35</v>
      </c>
      <c r="I318">
        <v>27.6</v>
      </c>
      <c r="J318" t="str">
        <f t="shared" si="13"/>
        <v>Medium</v>
      </c>
      <c r="K318" t="s">
        <v>50</v>
      </c>
      <c r="L318">
        <v>49</v>
      </c>
      <c r="M318">
        <v>76</v>
      </c>
      <c r="N318" t="str">
        <f t="shared" si="14"/>
        <v>Low Cost</v>
      </c>
      <c r="O318">
        <v>5.86</v>
      </c>
      <c r="P318" t="s">
        <v>23</v>
      </c>
      <c r="Q318" t="s">
        <v>58</v>
      </c>
      <c r="R318" t="s">
        <v>56</v>
      </c>
      <c r="S318" t="s">
        <v>364</v>
      </c>
      <c r="T318" t="s">
        <v>60</v>
      </c>
      <c r="U318">
        <v>29</v>
      </c>
      <c r="V318">
        <v>4.5999999999999996</v>
      </c>
      <c r="W318" t="s">
        <v>28</v>
      </c>
      <c r="X318" t="s">
        <v>68</v>
      </c>
    </row>
    <row r="319" spans="1:24" x14ac:dyDescent="0.3">
      <c r="A319" t="s">
        <v>1597</v>
      </c>
      <c r="B319" t="s">
        <v>126</v>
      </c>
      <c r="C319" t="s">
        <v>31</v>
      </c>
      <c r="D319" t="str">
        <f t="shared" si="12"/>
        <v>Morning</v>
      </c>
      <c r="E319">
        <f>HOUR(EV_Data[[#This Row],[Charging Start Time]])</f>
        <v>5</v>
      </c>
      <c r="F319" s="1">
        <v>44940.208333333336</v>
      </c>
      <c r="G319" s="1">
        <v>44940.246527777781</v>
      </c>
      <c r="H319">
        <v>55</v>
      </c>
      <c r="I319">
        <v>46.09</v>
      </c>
      <c r="J319" t="str">
        <f t="shared" si="13"/>
        <v>Medium</v>
      </c>
      <c r="K319" t="s">
        <v>42</v>
      </c>
      <c r="L319">
        <v>15</v>
      </c>
      <c r="M319">
        <v>40</v>
      </c>
      <c r="N319" t="str">
        <f t="shared" si="14"/>
        <v>Medium Cost</v>
      </c>
      <c r="O319">
        <v>9.61</v>
      </c>
      <c r="P319" t="s">
        <v>33</v>
      </c>
      <c r="Q319" t="s">
        <v>58</v>
      </c>
      <c r="R319" t="s">
        <v>56</v>
      </c>
      <c r="S319" t="s">
        <v>365</v>
      </c>
      <c r="T319" t="s">
        <v>37</v>
      </c>
      <c r="U319">
        <v>41</v>
      </c>
      <c r="V319">
        <v>3.8</v>
      </c>
      <c r="W319" t="s">
        <v>47</v>
      </c>
      <c r="X319" t="s">
        <v>29</v>
      </c>
    </row>
    <row r="320" spans="1:24" x14ac:dyDescent="0.3">
      <c r="A320" t="s">
        <v>1598</v>
      </c>
      <c r="B320" t="s">
        <v>77</v>
      </c>
      <c r="C320" t="s">
        <v>78</v>
      </c>
      <c r="D320" t="str">
        <f t="shared" si="12"/>
        <v>Morning</v>
      </c>
      <c r="E320">
        <f>HOUR(EV_Data[[#This Row],[Charging Start Time]])</f>
        <v>6</v>
      </c>
      <c r="F320" s="1">
        <v>44940.25</v>
      </c>
      <c r="G320" s="1">
        <v>44940.298611111109</v>
      </c>
      <c r="H320">
        <v>70</v>
      </c>
      <c r="I320">
        <v>31.21</v>
      </c>
      <c r="J320" t="str">
        <f t="shared" si="13"/>
        <v>Medium</v>
      </c>
      <c r="K320" t="s">
        <v>55</v>
      </c>
      <c r="L320">
        <v>74</v>
      </c>
      <c r="M320">
        <v>100</v>
      </c>
      <c r="N320" t="str">
        <f t="shared" si="14"/>
        <v>Medium Cost</v>
      </c>
      <c r="O320">
        <v>15.58</v>
      </c>
      <c r="P320" t="s">
        <v>51</v>
      </c>
      <c r="Q320" t="s">
        <v>48</v>
      </c>
      <c r="R320" t="s">
        <v>44</v>
      </c>
      <c r="S320" t="s">
        <v>366</v>
      </c>
      <c r="T320" t="s">
        <v>60</v>
      </c>
      <c r="U320">
        <v>34</v>
      </c>
      <c r="V320">
        <v>4.5999999999999996</v>
      </c>
      <c r="W320" t="s">
        <v>47</v>
      </c>
      <c r="X320" t="s">
        <v>29</v>
      </c>
    </row>
    <row r="321" spans="1:24" x14ac:dyDescent="0.3">
      <c r="A321" t="s">
        <v>1599</v>
      </c>
      <c r="B321" t="s">
        <v>20</v>
      </c>
      <c r="C321" t="s">
        <v>21</v>
      </c>
      <c r="D321" t="str">
        <f t="shared" si="12"/>
        <v>Morning</v>
      </c>
      <c r="E321">
        <f>HOUR(EV_Data[[#This Row],[Charging Start Time]])</f>
        <v>7</v>
      </c>
      <c r="F321" s="1">
        <v>44940.291666666664</v>
      </c>
      <c r="G321" s="1">
        <v>44940.333333333343</v>
      </c>
      <c r="H321">
        <v>60</v>
      </c>
      <c r="I321">
        <v>35.78</v>
      </c>
      <c r="J321" t="str">
        <f t="shared" si="13"/>
        <v>Medium</v>
      </c>
      <c r="K321" t="s">
        <v>69</v>
      </c>
      <c r="L321">
        <v>44</v>
      </c>
      <c r="M321">
        <v>67</v>
      </c>
      <c r="N321" t="str">
        <f t="shared" si="14"/>
        <v>Medium Cost</v>
      </c>
      <c r="O321">
        <v>16.739999999999998</v>
      </c>
      <c r="P321" t="s">
        <v>33</v>
      </c>
      <c r="Q321" t="s">
        <v>34</v>
      </c>
      <c r="R321" t="s">
        <v>44</v>
      </c>
      <c r="S321" t="s">
        <v>367</v>
      </c>
      <c r="T321" t="s">
        <v>27</v>
      </c>
      <c r="U321">
        <v>59</v>
      </c>
      <c r="V321">
        <v>1.4</v>
      </c>
      <c r="W321" t="s">
        <v>47</v>
      </c>
      <c r="X321" t="s">
        <v>29</v>
      </c>
    </row>
    <row r="322" spans="1:24" x14ac:dyDescent="0.3">
      <c r="A322" t="s">
        <v>1600</v>
      </c>
      <c r="B322" t="s">
        <v>126</v>
      </c>
      <c r="C322" t="s">
        <v>31</v>
      </c>
      <c r="D322" t="str">
        <f t="shared" ref="D322:D385" si="15">IF(E322&lt;12,"Morning",IF(E322&lt;17,"Afternoon","Evening"))</f>
        <v>Morning</v>
      </c>
      <c r="E322">
        <f>HOUR(EV_Data[[#This Row],[Charging Start Time]])</f>
        <v>8</v>
      </c>
      <c r="F322" s="1">
        <v>44940.333333333336</v>
      </c>
      <c r="G322" s="1">
        <v>44940.406944444447</v>
      </c>
      <c r="H322">
        <v>106</v>
      </c>
      <c r="I322">
        <v>40.89</v>
      </c>
      <c r="J322" t="str">
        <f t="shared" ref="J322:J385" si="16">IF(I322&lt;20,"Low",IF(I322&lt;50,"Medium","High"))</f>
        <v>Medium</v>
      </c>
      <c r="K322" t="s">
        <v>22</v>
      </c>
      <c r="L322">
        <v>33</v>
      </c>
      <c r="M322">
        <v>51</v>
      </c>
      <c r="N322" t="str">
        <f t="shared" ref="N322:N385" si="17">IF(O322&lt;8,"Low Cost",IF(O322&lt;17,"Medium Cost","High Cost"))</f>
        <v>Medium Cost</v>
      </c>
      <c r="O322">
        <v>10.210000000000001</v>
      </c>
      <c r="P322" t="s">
        <v>23</v>
      </c>
      <c r="Q322" t="s">
        <v>58</v>
      </c>
      <c r="R322" t="s">
        <v>56</v>
      </c>
      <c r="S322" t="s">
        <v>368</v>
      </c>
      <c r="T322" t="s">
        <v>46</v>
      </c>
      <c r="U322">
        <v>12</v>
      </c>
      <c r="V322">
        <v>3.7</v>
      </c>
      <c r="W322" t="s">
        <v>28</v>
      </c>
      <c r="X322" t="s">
        <v>68</v>
      </c>
    </row>
    <row r="323" spans="1:24" x14ac:dyDescent="0.3">
      <c r="A323" t="s">
        <v>1601</v>
      </c>
      <c r="B323" t="s">
        <v>77</v>
      </c>
      <c r="C323" t="s">
        <v>78</v>
      </c>
      <c r="D323" t="str">
        <f t="shared" si="15"/>
        <v>Morning</v>
      </c>
      <c r="E323">
        <f>HOUR(EV_Data[[#This Row],[Charging Start Time]])</f>
        <v>9</v>
      </c>
      <c r="F323" s="1">
        <v>44940.375</v>
      </c>
      <c r="G323" s="1">
        <v>44940.397222222222</v>
      </c>
      <c r="H323">
        <v>32</v>
      </c>
      <c r="I323">
        <v>31.18</v>
      </c>
      <c r="J323" t="str">
        <f t="shared" si="16"/>
        <v>Medium</v>
      </c>
      <c r="K323" t="s">
        <v>32</v>
      </c>
      <c r="L323">
        <v>12</v>
      </c>
      <c r="M323">
        <v>50</v>
      </c>
      <c r="N323" t="str">
        <f t="shared" si="17"/>
        <v>Medium Cost</v>
      </c>
      <c r="O323">
        <v>11.34</v>
      </c>
      <c r="P323" t="s">
        <v>43</v>
      </c>
      <c r="Q323" t="s">
        <v>48</v>
      </c>
      <c r="R323" t="s">
        <v>44</v>
      </c>
      <c r="S323" t="s">
        <v>312</v>
      </c>
      <c r="T323" t="s">
        <v>60</v>
      </c>
      <c r="U323">
        <v>61</v>
      </c>
      <c r="V323">
        <v>1.1000000000000001</v>
      </c>
      <c r="W323" t="s">
        <v>28</v>
      </c>
      <c r="X323" t="s">
        <v>68</v>
      </c>
    </row>
    <row r="324" spans="1:24" x14ac:dyDescent="0.3">
      <c r="A324" t="s">
        <v>1602</v>
      </c>
      <c r="B324" t="s">
        <v>40</v>
      </c>
      <c r="C324" t="s">
        <v>41</v>
      </c>
      <c r="D324" t="str">
        <f t="shared" si="15"/>
        <v>Morning</v>
      </c>
      <c r="E324">
        <f>HOUR(EV_Data[[#This Row],[Charging Start Time]])</f>
        <v>10</v>
      </c>
      <c r="F324" s="1">
        <v>44940.416666666664</v>
      </c>
      <c r="G324" s="1">
        <v>44940.431250000001</v>
      </c>
      <c r="H324">
        <v>21</v>
      </c>
      <c r="I324">
        <v>21.02</v>
      </c>
      <c r="J324" t="str">
        <f t="shared" si="16"/>
        <v>Medium</v>
      </c>
      <c r="K324" t="s">
        <v>22</v>
      </c>
      <c r="L324">
        <v>53</v>
      </c>
      <c r="M324">
        <v>72</v>
      </c>
      <c r="N324" t="str">
        <f t="shared" si="17"/>
        <v>Low Cost</v>
      </c>
      <c r="O324">
        <v>5.32</v>
      </c>
      <c r="P324" t="s">
        <v>23</v>
      </c>
      <c r="Q324" t="s">
        <v>58</v>
      </c>
      <c r="R324" t="s">
        <v>56</v>
      </c>
      <c r="S324" t="s">
        <v>369</v>
      </c>
      <c r="T324" t="s">
        <v>46</v>
      </c>
      <c r="U324">
        <v>91</v>
      </c>
      <c r="V324">
        <v>4.0999999999999996</v>
      </c>
      <c r="W324" t="s">
        <v>38</v>
      </c>
      <c r="X324" t="s">
        <v>62</v>
      </c>
    </row>
    <row r="325" spans="1:24" x14ac:dyDescent="0.3">
      <c r="A325" t="s">
        <v>1603</v>
      </c>
      <c r="B325" t="s">
        <v>92</v>
      </c>
      <c r="C325" t="s">
        <v>93</v>
      </c>
      <c r="D325" t="str">
        <f t="shared" si="15"/>
        <v>Morning</v>
      </c>
      <c r="E325">
        <f>HOUR(EV_Data[[#This Row],[Charging Start Time]])</f>
        <v>11</v>
      </c>
      <c r="F325" s="1">
        <v>44940.458333333336</v>
      </c>
      <c r="G325" s="1">
        <v>44940.489583333343</v>
      </c>
      <c r="H325">
        <v>45</v>
      </c>
      <c r="I325">
        <v>22.55</v>
      </c>
      <c r="J325" t="str">
        <f t="shared" si="16"/>
        <v>Medium</v>
      </c>
      <c r="K325" t="s">
        <v>42</v>
      </c>
      <c r="L325">
        <v>41</v>
      </c>
      <c r="M325">
        <v>80</v>
      </c>
      <c r="N325" t="str">
        <f t="shared" si="17"/>
        <v>Low Cost</v>
      </c>
      <c r="O325">
        <v>6.02</v>
      </c>
      <c r="P325" t="s">
        <v>64</v>
      </c>
      <c r="Q325" t="s">
        <v>48</v>
      </c>
      <c r="R325" t="s">
        <v>44</v>
      </c>
      <c r="S325" t="s">
        <v>370</v>
      </c>
      <c r="T325" t="s">
        <v>60</v>
      </c>
      <c r="U325">
        <v>43</v>
      </c>
      <c r="V325">
        <v>3.9</v>
      </c>
      <c r="W325" t="s">
        <v>38</v>
      </c>
      <c r="X325" t="s">
        <v>85</v>
      </c>
    </row>
    <row r="326" spans="1:24" x14ac:dyDescent="0.3">
      <c r="A326" t="s">
        <v>1604</v>
      </c>
      <c r="B326" t="s">
        <v>20</v>
      </c>
      <c r="C326" t="s">
        <v>21</v>
      </c>
      <c r="D326" t="str">
        <f t="shared" si="15"/>
        <v>Afternoon</v>
      </c>
      <c r="E326">
        <f>HOUR(EV_Data[[#This Row],[Charging Start Time]])</f>
        <v>12</v>
      </c>
      <c r="F326" s="1">
        <v>44940.5</v>
      </c>
      <c r="G326" s="1">
        <v>44940.54791666667</v>
      </c>
      <c r="H326">
        <v>69</v>
      </c>
      <c r="I326">
        <v>20.440000000000001</v>
      </c>
      <c r="J326" t="str">
        <f t="shared" si="16"/>
        <v>Medium</v>
      </c>
      <c r="K326" t="s">
        <v>32</v>
      </c>
      <c r="L326">
        <v>30</v>
      </c>
      <c r="M326">
        <v>45</v>
      </c>
      <c r="N326" t="str">
        <f t="shared" si="17"/>
        <v>Medium Cost</v>
      </c>
      <c r="O326">
        <v>8.75</v>
      </c>
      <c r="P326" t="s">
        <v>51</v>
      </c>
      <c r="Q326" t="s">
        <v>58</v>
      </c>
      <c r="R326" t="s">
        <v>44</v>
      </c>
      <c r="S326" t="s">
        <v>371</v>
      </c>
      <c r="T326" t="s">
        <v>37</v>
      </c>
      <c r="U326">
        <v>82</v>
      </c>
      <c r="V326">
        <v>2</v>
      </c>
      <c r="W326" t="s">
        <v>28</v>
      </c>
      <c r="X326" t="s">
        <v>68</v>
      </c>
    </row>
    <row r="327" spans="1:24" x14ac:dyDescent="0.3">
      <c r="A327" t="s">
        <v>1605</v>
      </c>
      <c r="B327" t="s">
        <v>126</v>
      </c>
      <c r="C327" t="s">
        <v>31</v>
      </c>
      <c r="D327" t="str">
        <f t="shared" si="15"/>
        <v>Afternoon</v>
      </c>
      <c r="E327">
        <f>HOUR(EV_Data[[#This Row],[Charging Start Time]])</f>
        <v>13</v>
      </c>
      <c r="F327" s="1">
        <v>44940.541666666664</v>
      </c>
      <c r="G327" s="1">
        <v>44940.573611111111</v>
      </c>
      <c r="H327">
        <v>46</v>
      </c>
      <c r="I327">
        <v>40</v>
      </c>
      <c r="J327" t="str">
        <f t="shared" si="16"/>
        <v>Medium</v>
      </c>
      <c r="K327" t="s">
        <v>55</v>
      </c>
      <c r="L327">
        <v>12</v>
      </c>
      <c r="M327">
        <v>50</v>
      </c>
      <c r="N327" t="str">
        <f t="shared" si="17"/>
        <v>Medium Cost</v>
      </c>
      <c r="O327">
        <v>15.47</v>
      </c>
      <c r="P327" t="s">
        <v>33</v>
      </c>
      <c r="Q327" t="s">
        <v>48</v>
      </c>
      <c r="R327" t="s">
        <v>35</v>
      </c>
      <c r="S327" t="s">
        <v>372</v>
      </c>
      <c r="T327" t="s">
        <v>60</v>
      </c>
      <c r="U327">
        <v>50</v>
      </c>
      <c r="V327">
        <v>3.8</v>
      </c>
      <c r="W327" t="s">
        <v>47</v>
      </c>
      <c r="X327" t="s">
        <v>29</v>
      </c>
    </row>
    <row r="328" spans="1:24" x14ac:dyDescent="0.3">
      <c r="A328" t="s">
        <v>1606</v>
      </c>
      <c r="B328" t="s">
        <v>53</v>
      </c>
      <c r="C328" t="s">
        <v>54</v>
      </c>
      <c r="D328" t="str">
        <f t="shared" si="15"/>
        <v>Afternoon</v>
      </c>
      <c r="E328">
        <f>HOUR(EV_Data[[#This Row],[Charging Start Time]])</f>
        <v>14</v>
      </c>
      <c r="F328" s="1">
        <v>44940.583333333336</v>
      </c>
      <c r="G328" s="1">
        <v>44940.62777777778</v>
      </c>
      <c r="H328">
        <v>64</v>
      </c>
      <c r="I328">
        <v>13.21</v>
      </c>
      <c r="J328" t="str">
        <f t="shared" si="16"/>
        <v>Low</v>
      </c>
      <c r="K328" t="s">
        <v>42</v>
      </c>
      <c r="L328">
        <v>27</v>
      </c>
      <c r="M328">
        <v>53</v>
      </c>
      <c r="N328" t="str">
        <f t="shared" si="17"/>
        <v>Low Cost</v>
      </c>
      <c r="O328">
        <v>3.93</v>
      </c>
      <c r="P328" t="s">
        <v>33</v>
      </c>
      <c r="Q328" t="s">
        <v>24</v>
      </c>
      <c r="R328" t="s">
        <v>44</v>
      </c>
      <c r="S328" t="s">
        <v>373</v>
      </c>
      <c r="T328" t="s">
        <v>37</v>
      </c>
      <c r="U328">
        <v>73</v>
      </c>
      <c r="V328">
        <v>4.0999999999999996</v>
      </c>
      <c r="W328" t="s">
        <v>38</v>
      </c>
      <c r="X328" t="s">
        <v>85</v>
      </c>
    </row>
    <row r="329" spans="1:24" x14ac:dyDescent="0.3">
      <c r="A329" t="s">
        <v>1607</v>
      </c>
      <c r="B329" t="s">
        <v>126</v>
      </c>
      <c r="C329" t="s">
        <v>31</v>
      </c>
      <c r="D329" t="str">
        <f t="shared" si="15"/>
        <v>Afternoon</v>
      </c>
      <c r="E329">
        <f>HOUR(EV_Data[[#This Row],[Charging Start Time]])</f>
        <v>15</v>
      </c>
      <c r="F329" s="1">
        <v>44940.625</v>
      </c>
      <c r="G329" s="1">
        <v>44940.691666666673</v>
      </c>
      <c r="H329">
        <v>96</v>
      </c>
      <c r="I329">
        <v>36.74</v>
      </c>
      <c r="J329" t="str">
        <f t="shared" si="16"/>
        <v>Medium</v>
      </c>
      <c r="K329" t="s">
        <v>32</v>
      </c>
      <c r="L329">
        <v>49</v>
      </c>
      <c r="M329">
        <v>87</v>
      </c>
      <c r="N329" t="str">
        <f t="shared" si="17"/>
        <v>Medium Cost</v>
      </c>
      <c r="O329">
        <v>10.84</v>
      </c>
      <c r="P329" t="s">
        <v>23</v>
      </c>
      <c r="Q329" t="s">
        <v>34</v>
      </c>
      <c r="R329" t="s">
        <v>25</v>
      </c>
      <c r="S329" t="s">
        <v>374</v>
      </c>
      <c r="T329" t="s">
        <v>60</v>
      </c>
      <c r="U329">
        <v>51</v>
      </c>
      <c r="V329">
        <v>2.9</v>
      </c>
      <c r="W329" t="s">
        <v>38</v>
      </c>
      <c r="X329" t="s">
        <v>83</v>
      </c>
    </row>
    <row r="330" spans="1:24" x14ac:dyDescent="0.3">
      <c r="A330" t="s">
        <v>1608</v>
      </c>
      <c r="B330" t="s">
        <v>53</v>
      </c>
      <c r="C330" t="s">
        <v>54</v>
      </c>
      <c r="D330" t="str">
        <f t="shared" si="15"/>
        <v>Afternoon</v>
      </c>
      <c r="E330">
        <f>HOUR(EV_Data[[#This Row],[Charging Start Time]])</f>
        <v>16</v>
      </c>
      <c r="F330" s="1">
        <v>44940.666666666664</v>
      </c>
      <c r="G330" s="1">
        <v>44940.7</v>
      </c>
      <c r="H330">
        <v>48</v>
      </c>
      <c r="I330">
        <v>36.75</v>
      </c>
      <c r="J330" t="str">
        <f t="shared" si="16"/>
        <v>Medium</v>
      </c>
      <c r="K330" t="s">
        <v>50</v>
      </c>
      <c r="L330">
        <v>45</v>
      </c>
      <c r="M330">
        <v>69</v>
      </c>
      <c r="N330" t="str">
        <f t="shared" si="17"/>
        <v>Medium Cost</v>
      </c>
      <c r="O330">
        <v>16</v>
      </c>
      <c r="P330" t="s">
        <v>43</v>
      </c>
      <c r="Q330" t="s">
        <v>58</v>
      </c>
      <c r="R330" t="s">
        <v>25</v>
      </c>
      <c r="S330" t="s">
        <v>375</v>
      </c>
      <c r="T330" t="s">
        <v>46</v>
      </c>
      <c r="U330">
        <v>49</v>
      </c>
      <c r="V330">
        <v>1.6</v>
      </c>
      <c r="W330" t="s">
        <v>28</v>
      </c>
      <c r="X330" t="s">
        <v>68</v>
      </c>
    </row>
    <row r="331" spans="1:24" x14ac:dyDescent="0.3">
      <c r="A331" t="s">
        <v>1609</v>
      </c>
      <c r="B331" t="s">
        <v>77</v>
      </c>
      <c r="C331" t="s">
        <v>78</v>
      </c>
      <c r="D331" t="str">
        <f t="shared" si="15"/>
        <v>Evening</v>
      </c>
      <c r="E331">
        <f>HOUR(EV_Data[[#This Row],[Charging Start Time]])</f>
        <v>17</v>
      </c>
      <c r="F331" s="1">
        <v>44940.708333333336</v>
      </c>
      <c r="G331" s="1">
        <v>44940.734027777777</v>
      </c>
      <c r="H331">
        <v>37</v>
      </c>
      <c r="I331">
        <v>13.99</v>
      </c>
      <c r="J331" t="str">
        <f t="shared" si="16"/>
        <v>Low</v>
      </c>
      <c r="K331" t="s">
        <v>22</v>
      </c>
      <c r="L331">
        <v>35</v>
      </c>
      <c r="M331">
        <v>62</v>
      </c>
      <c r="N331" t="str">
        <f t="shared" si="17"/>
        <v>Low Cost</v>
      </c>
      <c r="O331">
        <v>4.79</v>
      </c>
      <c r="P331" t="s">
        <v>43</v>
      </c>
      <c r="Q331" t="s">
        <v>58</v>
      </c>
      <c r="R331" t="s">
        <v>44</v>
      </c>
      <c r="S331" t="s">
        <v>376</v>
      </c>
      <c r="T331" t="s">
        <v>27</v>
      </c>
      <c r="U331">
        <v>4</v>
      </c>
      <c r="V331">
        <v>1.7</v>
      </c>
      <c r="W331" t="s">
        <v>28</v>
      </c>
      <c r="X331" t="s">
        <v>68</v>
      </c>
    </row>
    <row r="332" spans="1:24" x14ac:dyDescent="0.3">
      <c r="A332" t="s">
        <v>1610</v>
      </c>
      <c r="B332" t="s">
        <v>92</v>
      </c>
      <c r="C332" t="s">
        <v>93</v>
      </c>
      <c r="D332" t="str">
        <f t="shared" si="15"/>
        <v>Evening</v>
      </c>
      <c r="E332">
        <f>HOUR(EV_Data[[#This Row],[Charging Start Time]])</f>
        <v>18</v>
      </c>
      <c r="F332" s="1">
        <v>44940.75</v>
      </c>
      <c r="G332" s="1">
        <v>44940.772916666669</v>
      </c>
      <c r="H332">
        <v>33</v>
      </c>
      <c r="I332">
        <v>16.98</v>
      </c>
      <c r="J332" t="str">
        <f t="shared" si="16"/>
        <v>Low</v>
      </c>
      <c r="K332" t="s">
        <v>55</v>
      </c>
      <c r="L332">
        <v>29</v>
      </c>
      <c r="M332">
        <v>45</v>
      </c>
      <c r="N332" t="str">
        <f t="shared" si="17"/>
        <v>Low Cost</v>
      </c>
      <c r="O332">
        <v>7.86</v>
      </c>
      <c r="P332" t="s">
        <v>64</v>
      </c>
      <c r="Q332" t="s">
        <v>34</v>
      </c>
      <c r="R332" t="s">
        <v>44</v>
      </c>
      <c r="S332" t="s">
        <v>377</v>
      </c>
      <c r="T332" t="s">
        <v>27</v>
      </c>
      <c r="U332">
        <v>8</v>
      </c>
      <c r="V332">
        <v>1.9</v>
      </c>
      <c r="W332" t="s">
        <v>28</v>
      </c>
      <c r="X332" t="s">
        <v>68</v>
      </c>
    </row>
    <row r="333" spans="1:24" x14ac:dyDescent="0.3">
      <c r="A333" t="s">
        <v>1611</v>
      </c>
      <c r="B333" t="s">
        <v>92</v>
      </c>
      <c r="C333" t="s">
        <v>93</v>
      </c>
      <c r="D333" t="str">
        <f t="shared" si="15"/>
        <v>Evening</v>
      </c>
      <c r="E333">
        <f>HOUR(EV_Data[[#This Row],[Charging Start Time]])</f>
        <v>19</v>
      </c>
      <c r="F333" s="1">
        <v>44940.791666666664</v>
      </c>
      <c r="G333" s="1">
        <v>44940.840277777781</v>
      </c>
      <c r="H333">
        <v>70</v>
      </c>
      <c r="I333">
        <v>9.58</v>
      </c>
      <c r="J333" t="str">
        <f t="shared" si="16"/>
        <v>Low</v>
      </c>
      <c r="K333" t="s">
        <v>69</v>
      </c>
      <c r="L333">
        <v>32</v>
      </c>
      <c r="M333">
        <v>56</v>
      </c>
      <c r="N333" t="str">
        <f t="shared" si="17"/>
        <v>Low Cost</v>
      </c>
      <c r="O333">
        <v>2.88</v>
      </c>
      <c r="P333" t="s">
        <v>64</v>
      </c>
      <c r="Q333" t="s">
        <v>48</v>
      </c>
      <c r="R333" t="s">
        <v>44</v>
      </c>
      <c r="S333" t="s">
        <v>378</v>
      </c>
      <c r="T333" t="s">
        <v>60</v>
      </c>
      <c r="U333">
        <v>40</v>
      </c>
      <c r="V333">
        <v>4.9000000000000004</v>
      </c>
      <c r="W333" t="s">
        <v>28</v>
      </c>
      <c r="X333" t="s">
        <v>68</v>
      </c>
    </row>
    <row r="334" spans="1:24" x14ac:dyDescent="0.3">
      <c r="A334" t="s">
        <v>1612</v>
      </c>
      <c r="B334" t="s">
        <v>20</v>
      </c>
      <c r="C334" t="s">
        <v>21</v>
      </c>
      <c r="D334" t="str">
        <f t="shared" si="15"/>
        <v>Evening</v>
      </c>
      <c r="E334">
        <f>HOUR(EV_Data[[#This Row],[Charging Start Time]])</f>
        <v>20</v>
      </c>
      <c r="F334" s="1">
        <v>44940.833333333336</v>
      </c>
      <c r="G334" s="1">
        <v>44940.881944444453</v>
      </c>
      <c r="H334">
        <v>70</v>
      </c>
      <c r="I334">
        <v>11.31</v>
      </c>
      <c r="J334" t="str">
        <f t="shared" si="16"/>
        <v>Low</v>
      </c>
      <c r="K334" t="s">
        <v>55</v>
      </c>
      <c r="L334">
        <v>30</v>
      </c>
      <c r="M334">
        <v>66</v>
      </c>
      <c r="N334" t="str">
        <f t="shared" si="17"/>
        <v>Low Cost</v>
      </c>
      <c r="O334">
        <v>2.91</v>
      </c>
      <c r="P334" t="s">
        <v>51</v>
      </c>
      <c r="Q334" t="s">
        <v>34</v>
      </c>
      <c r="R334" t="s">
        <v>44</v>
      </c>
      <c r="S334" t="s">
        <v>379</v>
      </c>
      <c r="T334" t="s">
        <v>37</v>
      </c>
      <c r="U334">
        <v>57</v>
      </c>
      <c r="V334">
        <v>4.5999999999999996</v>
      </c>
      <c r="W334" t="s">
        <v>28</v>
      </c>
      <c r="X334" t="s">
        <v>68</v>
      </c>
    </row>
    <row r="335" spans="1:24" x14ac:dyDescent="0.3">
      <c r="A335" t="s">
        <v>1613</v>
      </c>
      <c r="B335" t="s">
        <v>30</v>
      </c>
      <c r="C335" t="s">
        <v>102</v>
      </c>
      <c r="D335" t="str">
        <f t="shared" si="15"/>
        <v>Evening</v>
      </c>
      <c r="E335">
        <f>HOUR(EV_Data[[#This Row],[Charging Start Time]])</f>
        <v>21</v>
      </c>
      <c r="F335" s="1">
        <v>44940.875</v>
      </c>
      <c r="G335" s="1">
        <v>44940.918749999997</v>
      </c>
      <c r="H335">
        <v>63</v>
      </c>
      <c r="I335">
        <v>11.75</v>
      </c>
      <c r="J335" t="str">
        <f t="shared" si="16"/>
        <v>Low</v>
      </c>
      <c r="K335" t="s">
        <v>50</v>
      </c>
      <c r="L335">
        <v>8</v>
      </c>
      <c r="M335">
        <v>38</v>
      </c>
      <c r="N335" t="str">
        <f t="shared" si="17"/>
        <v>Low Cost</v>
      </c>
      <c r="O335">
        <v>3.21</v>
      </c>
      <c r="P335" t="s">
        <v>64</v>
      </c>
      <c r="Q335" t="s">
        <v>48</v>
      </c>
      <c r="R335" t="s">
        <v>44</v>
      </c>
      <c r="S335" t="s">
        <v>380</v>
      </c>
      <c r="T335" t="s">
        <v>60</v>
      </c>
      <c r="U335">
        <v>4</v>
      </c>
      <c r="V335">
        <v>4.3</v>
      </c>
      <c r="W335" t="s">
        <v>38</v>
      </c>
      <c r="X335" t="s">
        <v>85</v>
      </c>
    </row>
    <row r="336" spans="1:24" x14ac:dyDescent="0.3">
      <c r="A336" t="s">
        <v>1614</v>
      </c>
      <c r="B336" t="s">
        <v>53</v>
      </c>
      <c r="C336" t="s">
        <v>54</v>
      </c>
      <c r="D336" t="str">
        <f t="shared" si="15"/>
        <v>Evening</v>
      </c>
      <c r="E336">
        <f>HOUR(EV_Data[[#This Row],[Charging Start Time]])</f>
        <v>22</v>
      </c>
      <c r="F336" s="1">
        <v>44940.916666666664</v>
      </c>
      <c r="G336" s="1">
        <v>44940.928472222222</v>
      </c>
      <c r="H336">
        <v>17</v>
      </c>
      <c r="I336">
        <v>30.51</v>
      </c>
      <c r="J336" t="str">
        <f t="shared" si="16"/>
        <v>Medium</v>
      </c>
      <c r="K336" t="s">
        <v>32</v>
      </c>
      <c r="L336">
        <v>10</v>
      </c>
      <c r="M336">
        <v>49</v>
      </c>
      <c r="N336" t="str">
        <f t="shared" si="17"/>
        <v>Medium Cost</v>
      </c>
      <c r="O336">
        <v>8.9600000000000009</v>
      </c>
      <c r="P336" t="s">
        <v>43</v>
      </c>
      <c r="Q336" t="s">
        <v>24</v>
      </c>
      <c r="R336" t="s">
        <v>44</v>
      </c>
      <c r="S336" t="s">
        <v>381</v>
      </c>
      <c r="T336" t="s">
        <v>37</v>
      </c>
      <c r="U336">
        <v>71</v>
      </c>
      <c r="V336">
        <v>4.7</v>
      </c>
      <c r="W336" t="s">
        <v>28</v>
      </c>
      <c r="X336" t="s">
        <v>68</v>
      </c>
    </row>
    <row r="337" spans="1:24" x14ac:dyDescent="0.3">
      <c r="A337" t="s">
        <v>1615</v>
      </c>
      <c r="B337" t="s">
        <v>77</v>
      </c>
      <c r="C337" t="s">
        <v>78</v>
      </c>
      <c r="D337" t="str">
        <f t="shared" si="15"/>
        <v>Evening</v>
      </c>
      <c r="E337">
        <f>HOUR(EV_Data[[#This Row],[Charging Start Time]])</f>
        <v>23</v>
      </c>
      <c r="F337" s="1">
        <v>44940.958333333336</v>
      </c>
      <c r="G337" s="1">
        <v>44940.977083333331</v>
      </c>
      <c r="H337">
        <v>27</v>
      </c>
      <c r="I337">
        <v>49.55</v>
      </c>
      <c r="J337" t="str">
        <f t="shared" si="16"/>
        <v>Medium</v>
      </c>
      <c r="K337" t="s">
        <v>32</v>
      </c>
      <c r="L337">
        <v>25</v>
      </c>
      <c r="M337">
        <v>57</v>
      </c>
      <c r="N337" t="str">
        <f t="shared" si="17"/>
        <v>Medium Cost</v>
      </c>
      <c r="O337">
        <v>10.06</v>
      </c>
      <c r="P337" t="s">
        <v>23</v>
      </c>
      <c r="Q337" t="s">
        <v>24</v>
      </c>
      <c r="R337" t="s">
        <v>35</v>
      </c>
      <c r="S337" t="s">
        <v>382</v>
      </c>
      <c r="T337" t="s">
        <v>46</v>
      </c>
      <c r="U337">
        <v>31</v>
      </c>
      <c r="V337">
        <v>2.7</v>
      </c>
      <c r="W337" t="s">
        <v>47</v>
      </c>
      <c r="X337" t="s">
        <v>29</v>
      </c>
    </row>
    <row r="338" spans="1:24" x14ac:dyDescent="0.3">
      <c r="A338" t="s">
        <v>1616</v>
      </c>
      <c r="B338" t="s">
        <v>20</v>
      </c>
      <c r="C338" t="s">
        <v>21</v>
      </c>
      <c r="D338" t="str">
        <f t="shared" si="15"/>
        <v>Morning</v>
      </c>
      <c r="E338">
        <f>HOUR(EV_Data[[#This Row],[Charging Start Time]])</f>
        <v>0</v>
      </c>
      <c r="F338" s="1">
        <v>44941</v>
      </c>
      <c r="G338" s="1">
        <v>44941.000694444447</v>
      </c>
      <c r="H338">
        <v>1</v>
      </c>
      <c r="I338">
        <v>12.8</v>
      </c>
      <c r="J338" t="str">
        <f t="shared" si="16"/>
        <v>Low</v>
      </c>
      <c r="K338" t="s">
        <v>22</v>
      </c>
      <c r="L338">
        <v>49</v>
      </c>
      <c r="M338">
        <v>66</v>
      </c>
      <c r="N338" t="str">
        <f t="shared" si="17"/>
        <v>Low Cost</v>
      </c>
      <c r="O338">
        <v>4.4400000000000004</v>
      </c>
      <c r="P338" t="s">
        <v>51</v>
      </c>
      <c r="Q338" t="s">
        <v>58</v>
      </c>
      <c r="R338" t="s">
        <v>56</v>
      </c>
      <c r="S338" t="s">
        <v>383</v>
      </c>
      <c r="T338" t="s">
        <v>27</v>
      </c>
      <c r="U338">
        <v>40</v>
      </c>
      <c r="V338">
        <v>4.2</v>
      </c>
      <c r="W338" t="s">
        <v>28</v>
      </c>
      <c r="X338" t="s">
        <v>68</v>
      </c>
    </row>
    <row r="339" spans="1:24" x14ac:dyDescent="0.3">
      <c r="A339" t="s">
        <v>1617</v>
      </c>
      <c r="B339" t="s">
        <v>53</v>
      </c>
      <c r="C339" t="s">
        <v>54</v>
      </c>
      <c r="D339" t="str">
        <f t="shared" si="15"/>
        <v>Morning</v>
      </c>
      <c r="E339">
        <f>HOUR(EV_Data[[#This Row],[Charging Start Time]])</f>
        <v>1</v>
      </c>
      <c r="F339" s="1">
        <v>44941.041666666664</v>
      </c>
      <c r="G339" s="1">
        <v>44941.075694444437</v>
      </c>
      <c r="H339">
        <v>49</v>
      </c>
      <c r="I339">
        <v>28.98</v>
      </c>
      <c r="J339" t="str">
        <f t="shared" si="16"/>
        <v>Medium</v>
      </c>
      <c r="K339" t="s">
        <v>42</v>
      </c>
      <c r="L339">
        <v>15</v>
      </c>
      <c r="M339">
        <v>30</v>
      </c>
      <c r="N339" t="str">
        <f t="shared" si="17"/>
        <v>Low Cost</v>
      </c>
      <c r="O339">
        <v>7.32</v>
      </c>
      <c r="P339" t="s">
        <v>43</v>
      </c>
      <c r="Q339" t="s">
        <v>48</v>
      </c>
      <c r="R339" t="s">
        <v>56</v>
      </c>
      <c r="S339" t="s">
        <v>301</v>
      </c>
      <c r="T339" t="s">
        <v>27</v>
      </c>
      <c r="U339">
        <v>27</v>
      </c>
      <c r="V339">
        <v>4.0999999999999996</v>
      </c>
      <c r="W339" t="s">
        <v>38</v>
      </c>
      <c r="X339" t="s">
        <v>39</v>
      </c>
    </row>
    <row r="340" spans="1:24" x14ac:dyDescent="0.3">
      <c r="A340" t="s">
        <v>1618</v>
      </c>
      <c r="B340" t="s">
        <v>20</v>
      </c>
      <c r="C340" t="s">
        <v>21</v>
      </c>
      <c r="D340" t="str">
        <f t="shared" si="15"/>
        <v>Morning</v>
      </c>
      <c r="E340">
        <f>HOUR(EV_Data[[#This Row],[Charging Start Time]])</f>
        <v>2</v>
      </c>
      <c r="F340" s="1">
        <v>44941.083333333336</v>
      </c>
      <c r="G340" s="1">
        <v>44941.117361111108</v>
      </c>
      <c r="H340">
        <v>49</v>
      </c>
      <c r="I340">
        <v>39.76</v>
      </c>
      <c r="J340" t="str">
        <f t="shared" si="16"/>
        <v>Medium</v>
      </c>
      <c r="K340" t="s">
        <v>22</v>
      </c>
      <c r="L340">
        <v>29</v>
      </c>
      <c r="M340">
        <v>46</v>
      </c>
      <c r="N340" t="str">
        <f t="shared" si="17"/>
        <v>Medium Cost</v>
      </c>
      <c r="O340">
        <v>11.38</v>
      </c>
      <c r="P340" t="s">
        <v>43</v>
      </c>
      <c r="Q340" t="s">
        <v>24</v>
      </c>
      <c r="R340" t="s">
        <v>25</v>
      </c>
      <c r="S340" t="s">
        <v>384</v>
      </c>
      <c r="T340" t="s">
        <v>60</v>
      </c>
      <c r="U340">
        <v>10</v>
      </c>
      <c r="V340">
        <v>2.8</v>
      </c>
      <c r="W340" t="s">
        <v>38</v>
      </c>
    </row>
    <row r="341" spans="1:24" x14ac:dyDescent="0.3">
      <c r="A341" t="s">
        <v>1619</v>
      </c>
      <c r="B341" t="s">
        <v>71</v>
      </c>
      <c r="C341" t="s">
        <v>72</v>
      </c>
      <c r="D341" t="str">
        <f t="shared" si="15"/>
        <v>Morning</v>
      </c>
      <c r="E341">
        <f>HOUR(EV_Data[[#This Row],[Charging Start Time]])</f>
        <v>3</v>
      </c>
      <c r="F341" s="1">
        <v>44941.125</v>
      </c>
      <c r="G341" s="1">
        <v>44941.162499999999</v>
      </c>
      <c r="H341">
        <v>54</v>
      </c>
      <c r="I341">
        <v>27.38</v>
      </c>
      <c r="J341" t="str">
        <f t="shared" si="16"/>
        <v>Medium</v>
      </c>
      <c r="K341" t="s">
        <v>22</v>
      </c>
      <c r="L341">
        <v>70</v>
      </c>
      <c r="M341">
        <v>80</v>
      </c>
      <c r="N341" t="str">
        <f t="shared" si="17"/>
        <v>Medium Cost</v>
      </c>
      <c r="O341">
        <v>12.55</v>
      </c>
      <c r="P341" t="s">
        <v>23</v>
      </c>
      <c r="Q341" t="s">
        <v>48</v>
      </c>
      <c r="R341" t="s">
        <v>25</v>
      </c>
      <c r="S341" t="s">
        <v>385</v>
      </c>
      <c r="T341" t="s">
        <v>27</v>
      </c>
      <c r="U341">
        <v>28</v>
      </c>
      <c r="V341">
        <v>2.8</v>
      </c>
      <c r="W341" t="s">
        <v>28</v>
      </c>
      <c r="X341" t="s">
        <v>68</v>
      </c>
    </row>
    <row r="342" spans="1:24" x14ac:dyDescent="0.3">
      <c r="A342" t="s">
        <v>1620</v>
      </c>
      <c r="B342" t="s">
        <v>126</v>
      </c>
      <c r="C342" t="s">
        <v>31</v>
      </c>
      <c r="D342" t="str">
        <f t="shared" si="15"/>
        <v>Morning</v>
      </c>
      <c r="E342">
        <f>HOUR(EV_Data[[#This Row],[Charging Start Time]])</f>
        <v>4</v>
      </c>
      <c r="F342" s="1">
        <v>44941.166666666664</v>
      </c>
      <c r="G342" s="1">
        <v>44941.199305555558</v>
      </c>
      <c r="H342">
        <v>47</v>
      </c>
      <c r="I342">
        <v>48.37</v>
      </c>
      <c r="J342" t="str">
        <f t="shared" si="16"/>
        <v>Medium</v>
      </c>
      <c r="K342" t="s">
        <v>42</v>
      </c>
      <c r="L342">
        <v>79</v>
      </c>
      <c r="M342">
        <v>100</v>
      </c>
      <c r="N342" t="str">
        <f t="shared" si="17"/>
        <v>High Cost</v>
      </c>
      <c r="O342">
        <v>17.329999999999998</v>
      </c>
      <c r="P342" t="s">
        <v>43</v>
      </c>
      <c r="Q342" t="s">
        <v>34</v>
      </c>
      <c r="R342" t="s">
        <v>44</v>
      </c>
      <c r="S342" t="s">
        <v>386</v>
      </c>
      <c r="T342" t="s">
        <v>60</v>
      </c>
      <c r="U342">
        <v>54</v>
      </c>
      <c r="V342">
        <v>1.8</v>
      </c>
      <c r="W342" t="s">
        <v>28</v>
      </c>
      <c r="X342" t="s">
        <v>68</v>
      </c>
    </row>
    <row r="343" spans="1:24" x14ac:dyDescent="0.3">
      <c r="A343" t="s">
        <v>1621</v>
      </c>
      <c r="B343" t="s">
        <v>92</v>
      </c>
      <c r="C343" t="s">
        <v>93</v>
      </c>
      <c r="D343" t="str">
        <f t="shared" si="15"/>
        <v>Morning</v>
      </c>
      <c r="E343">
        <f>HOUR(EV_Data[[#This Row],[Charging Start Time]])</f>
        <v>5</v>
      </c>
      <c r="F343" s="1">
        <v>44941.208333333336</v>
      </c>
      <c r="G343" s="1">
        <v>44941.292361111111</v>
      </c>
      <c r="H343">
        <v>121</v>
      </c>
      <c r="I343">
        <v>37.92</v>
      </c>
      <c r="J343" t="str">
        <f t="shared" si="16"/>
        <v>Medium</v>
      </c>
      <c r="K343" t="s">
        <v>69</v>
      </c>
      <c r="L343">
        <v>25</v>
      </c>
      <c r="M343">
        <v>45</v>
      </c>
      <c r="N343" t="str">
        <f t="shared" si="17"/>
        <v>Medium Cost</v>
      </c>
      <c r="O343">
        <v>13.59</v>
      </c>
      <c r="P343" t="s">
        <v>64</v>
      </c>
      <c r="Q343" t="s">
        <v>58</v>
      </c>
      <c r="R343" t="s">
        <v>56</v>
      </c>
      <c r="S343" t="s">
        <v>387</v>
      </c>
      <c r="T343" t="s">
        <v>37</v>
      </c>
      <c r="U343">
        <v>85</v>
      </c>
      <c r="V343">
        <v>4.9000000000000004</v>
      </c>
      <c r="W343" t="s">
        <v>28</v>
      </c>
      <c r="X343" t="s">
        <v>68</v>
      </c>
    </row>
    <row r="344" spans="1:24" x14ac:dyDescent="0.3">
      <c r="A344" t="s">
        <v>1622</v>
      </c>
      <c r="B344" t="s">
        <v>40</v>
      </c>
      <c r="C344" t="s">
        <v>41</v>
      </c>
      <c r="D344" t="str">
        <f t="shared" si="15"/>
        <v>Morning</v>
      </c>
      <c r="E344">
        <f>HOUR(EV_Data[[#This Row],[Charging Start Time]])</f>
        <v>6</v>
      </c>
      <c r="F344" s="1">
        <v>44941.25</v>
      </c>
      <c r="G344" s="1">
        <v>44941.285416666673</v>
      </c>
      <c r="H344">
        <v>51</v>
      </c>
      <c r="I344">
        <v>43.66</v>
      </c>
      <c r="J344" t="str">
        <f t="shared" si="16"/>
        <v>Medium</v>
      </c>
      <c r="K344" t="s">
        <v>42</v>
      </c>
      <c r="L344">
        <v>24</v>
      </c>
      <c r="M344">
        <v>51</v>
      </c>
      <c r="N344" t="str">
        <f t="shared" si="17"/>
        <v>High Cost</v>
      </c>
      <c r="O344">
        <v>18.52</v>
      </c>
      <c r="P344" t="s">
        <v>64</v>
      </c>
      <c r="Q344" t="s">
        <v>48</v>
      </c>
      <c r="R344" t="s">
        <v>44</v>
      </c>
      <c r="S344" t="s">
        <v>388</v>
      </c>
      <c r="T344" t="s">
        <v>60</v>
      </c>
      <c r="U344">
        <v>9</v>
      </c>
      <c r="V344">
        <v>4.4000000000000004</v>
      </c>
      <c r="W344" t="s">
        <v>38</v>
      </c>
      <c r="X344" t="s">
        <v>62</v>
      </c>
    </row>
    <row r="345" spans="1:24" x14ac:dyDescent="0.3">
      <c r="A345" t="s">
        <v>1623</v>
      </c>
      <c r="B345" t="s">
        <v>71</v>
      </c>
      <c r="C345" t="s">
        <v>72</v>
      </c>
      <c r="D345" t="str">
        <f t="shared" si="15"/>
        <v>Morning</v>
      </c>
      <c r="E345">
        <f>HOUR(EV_Data[[#This Row],[Charging Start Time]])</f>
        <v>7</v>
      </c>
      <c r="F345" s="1">
        <v>44941.291666666664</v>
      </c>
      <c r="G345" s="1">
        <v>44941.310416666667</v>
      </c>
      <c r="H345">
        <v>27</v>
      </c>
      <c r="I345">
        <v>35.5</v>
      </c>
      <c r="J345" t="str">
        <f t="shared" si="16"/>
        <v>Medium</v>
      </c>
      <c r="K345" t="s">
        <v>32</v>
      </c>
      <c r="L345">
        <v>11</v>
      </c>
      <c r="M345">
        <v>49</v>
      </c>
      <c r="N345" t="str">
        <f t="shared" si="17"/>
        <v>High Cost</v>
      </c>
      <c r="O345">
        <v>17.53</v>
      </c>
      <c r="P345" t="s">
        <v>43</v>
      </c>
      <c r="Q345" t="s">
        <v>24</v>
      </c>
      <c r="R345" t="s">
        <v>44</v>
      </c>
      <c r="S345" t="s">
        <v>389</v>
      </c>
      <c r="T345" t="s">
        <v>60</v>
      </c>
      <c r="U345">
        <v>19</v>
      </c>
      <c r="V345">
        <v>4.4000000000000004</v>
      </c>
      <c r="W345" t="s">
        <v>28</v>
      </c>
      <c r="X345" t="s">
        <v>68</v>
      </c>
    </row>
    <row r="346" spans="1:24" x14ac:dyDescent="0.3">
      <c r="A346" t="s">
        <v>1624</v>
      </c>
      <c r="B346" t="s">
        <v>126</v>
      </c>
      <c r="C346" t="s">
        <v>31</v>
      </c>
      <c r="D346" t="str">
        <f t="shared" si="15"/>
        <v>Morning</v>
      </c>
      <c r="E346">
        <f>HOUR(EV_Data[[#This Row],[Charging Start Time]])</f>
        <v>8</v>
      </c>
      <c r="F346" s="1">
        <v>44941.333333333336</v>
      </c>
      <c r="G346" s="1">
        <v>44941.37222222222</v>
      </c>
      <c r="H346">
        <v>56</v>
      </c>
      <c r="I346">
        <v>18.29</v>
      </c>
      <c r="J346" t="str">
        <f t="shared" si="16"/>
        <v>Low</v>
      </c>
      <c r="K346" t="s">
        <v>32</v>
      </c>
      <c r="L346">
        <v>30</v>
      </c>
      <c r="M346">
        <v>61</v>
      </c>
      <c r="N346" t="str">
        <f t="shared" si="17"/>
        <v>Low Cost</v>
      </c>
      <c r="O346">
        <v>6.47</v>
      </c>
      <c r="P346" t="s">
        <v>23</v>
      </c>
      <c r="Q346" t="s">
        <v>34</v>
      </c>
      <c r="R346" t="s">
        <v>35</v>
      </c>
      <c r="S346" t="s">
        <v>390</v>
      </c>
      <c r="T346" t="s">
        <v>27</v>
      </c>
      <c r="U346">
        <v>50</v>
      </c>
      <c r="V346">
        <v>2.7</v>
      </c>
      <c r="W346" t="s">
        <v>28</v>
      </c>
      <c r="X346" t="s">
        <v>68</v>
      </c>
    </row>
    <row r="347" spans="1:24" x14ac:dyDescent="0.3">
      <c r="A347" t="s">
        <v>1625</v>
      </c>
      <c r="B347" t="s">
        <v>126</v>
      </c>
      <c r="C347" t="s">
        <v>31</v>
      </c>
      <c r="D347" t="str">
        <f t="shared" si="15"/>
        <v>Morning</v>
      </c>
      <c r="E347">
        <f>HOUR(EV_Data[[#This Row],[Charging Start Time]])</f>
        <v>9</v>
      </c>
      <c r="F347" s="1">
        <v>44941.375</v>
      </c>
      <c r="G347" s="1">
        <v>44941.397916666669</v>
      </c>
      <c r="H347">
        <v>33</v>
      </c>
      <c r="I347">
        <v>23.61</v>
      </c>
      <c r="J347" t="str">
        <f t="shared" si="16"/>
        <v>Medium</v>
      </c>
      <c r="K347" t="s">
        <v>50</v>
      </c>
      <c r="L347">
        <v>33</v>
      </c>
      <c r="M347">
        <v>64</v>
      </c>
      <c r="N347" t="str">
        <f t="shared" si="17"/>
        <v>Medium Cost</v>
      </c>
      <c r="O347">
        <v>8.59</v>
      </c>
      <c r="P347" t="s">
        <v>64</v>
      </c>
      <c r="Q347" t="s">
        <v>34</v>
      </c>
      <c r="R347" t="s">
        <v>44</v>
      </c>
      <c r="S347" t="s">
        <v>391</v>
      </c>
      <c r="T347" t="s">
        <v>27</v>
      </c>
      <c r="U347">
        <v>35</v>
      </c>
      <c r="V347">
        <v>3.2</v>
      </c>
      <c r="W347" t="s">
        <v>47</v>
      </c>
      <c r="X347" t="s">
        <v>29</v>
      </c>
    </row>
    <row r="348" spans="1:24" x14ac:dyDescent="0.3">
      <c r="A348" t="s">
        <v>1626</v>
      </c>
      <c r="B348" t="s">
        <v>92</v>
      </c>
      <c r="C348" t="s">
        <v>93</v>
      </c>
      <c r="D348" t="str">
        <f t="shared" si="15"/>
        <v>Morning</v>
      </c>
      <c r="E348">
        <f>HOUR(EV_Data[[#This Row],[Charging Start Time]])</f>
        <v>10</v>
      </c>
      <c r="F348" s="1">
        <v>44941.416666666664</v>
      </c>
      <c r="G348" s="1">
        <v>44941.467361111107</v>
      </c>
      <c r="H348">
        <v>73</v>
      </c>
      <c r="I348">
        <v>13.97</v>
      </c>
      <c r="J348" t="str">
        <f t="shared" si="16"/>
        <v>Low</v>
      </c>
      <c r="K348" t="s">
        <v>69</v>
      </c>
      <c r="L348">
        <v>12</v>
      </c>
      <c r="M348">
        <v>38</v>
      </c>
      <c r="N348" t="str">
        <f t="shared" si="17"/>
        <v>Low Cost</v>
      </c>
      <c r="O348">
        <v>6.14</v>
      </c>
      <c r="P348" t="s">
        <v>43</v>
      </c>
      <c r="Q348" t="s">
        <v>34</v>
      </c>
      <c r="R348" t="s">
        <v>56</v>
      </c>
      <c r="S348" t="s">
        <v>392</v>
      </c>
      <c r="T348" t="s">
        <v>46</v>
      </c>
      <c r="U348">
        <v>92</v>
      </c>
      <c r="V348">
        <v>1.1000000000000001</v>
      </c>
      <c r="W348" t="s">
        <v>38</v>
      </c>
      <c r="X348" t="s">
        <v>62</v>
      </c>
    </row>
    <row r="349" spans="1:24" x14ac:dyDescent="0.3">
      <c r="A349" t="s">
        <v>1627</v>
      </c>
      <c r="B349" t="s">
        <v>20</v>
      </c>
      <c r="C349" t="s">
        <v>21</v>
      </c>
      <c r="D349" t="str">
        <f t="shared" si="15"/>
        <v>Morning</v>
      </c>
      <c r="E349">
        <f>HOUR(EV_Data[[#This Row],[Charging Start Time]])</f>
        <v>11</v>
      </c>
      <c r="F349" s="1">
        <v>44941.458333333336</v>
      </c>
      <c r="G349" s="1">
        <v>44941.529861111107</v>
      </c>
      <c r="H349">
        <v>103</v>
      </c>
      <c r="I349">
        <v>34.08</v>
      </c>
      <c r="J349" t="str">
        <f t="shared" si="16"/>
        <v>Medium</v>
      </c>
      <c r="K349" t="s">
        <v>42</v>
      </c>
      <c r="L349">
        <v>48</v>
      </c>
      <c r="M349">
        <v>58</v>
      </c>
      <c r="N349" t="str">
        <f t="shared" si="17"/>
        <v>Medium Cost</v>
      </c>
      <c r="O349">
        <v>12.52</v>
      </c>
      <c r="P349" t="s">
        <v>64</v>
      </c>
      <c r="Q349" t="s">
        <v>24</v>
      </c>
      <c r="R349" t="s">
        <v>35</v>
      </c>
      <c r="S349" t="s">
        <v>57</v>
      </c>
      <c r="T349" t="s">
        <v>27</v>
      </c>
      <c r="U349">
        <v>12</v>
      </c>
      <c r="V349">
        <v>2.9</v>
      </c>
      <c r="W349" t="s">
        <v>28</v>
      </c>
      <c r="X349" t="s">
        <v>68</v>
      </c>
    </row>
    <row r="350" spans="1:24" x14ac:dyDescent="0.3">
      <c r="A350" t="s">
        <v>1628</v>
      </c>
      <c r="B350" t="s">
        <v>20</v>
      </c>
      <c r="C350" t="s">
        <v>21</v>
      </c>
      <c r="D350" t="str">
        <f t="shared" si="15"/>
        <v>Afternoon</v>
      </c>
      <c r="E350">
        <f>HOUR(EV_Data[[#This Row],[Charging Start Time]])</f>
        <v>12</v>
      </c>
      <c r="F350" s="1">
        <v>44941.5</v>
      </c>
      <c r="G350" s="1">
        <v>44941.53125</v>
      </c>
      <c r="H350">
        <v>45</v>
      </c>
      <c r="I350">
        <v>21.54</v>
      </c>
      <c r="J350" t="str">
        <f t="shared" si="16"/>
        <v>Medium</v>
      </c>
      <c r="K350" t="s">
        <v>55</v>
      </c>
      <c r="L350">
        <v>42</v>
      </c>
      <c r="M350">
        <v>57</v>
      </c>
      <c r="N350" t="str">
        <f t="shared" si="17"/>
        <v>Medium Cost</v>
      </c>
      <c r="O350">
        <v>8.49</v>
      </c>
      <c r="P350" t="s">
        <v>33</v>
      </c>
      <c r="Q350" t="s">
        <v>48</v>
      </c>
      <c r="R350" t="s">
        <v>25</v>
      </c>
      <c r="S350" t="s">
        <v>383</v>
      </c>
      <c r="T350" t="s">
        <v>60</v>
      </c>
      <c r="U350">
        <v>5</v>
      </c>
      <c r="V350">
        <v>2.2000000000000002</v>
      </c>
      <c r="W350" t="s">
        <v>38</v>
      </c>
    </row>
    <row r="351" spans="1:24" x14ac:dyDescent="0.3">
      <c r="A351" t="s">
        <v>1629</v>
      </c>
      <c r="B351" t="s">
        <v>92</v>
      </c>
      <c r="C351" t="s">
        <v>93</v>
      </c>
      <c r="D351" t="str">
        <f t="shared" si="15"/>
        <v>Afternoon</v>
      </c>
      <c r="E351">
        <f>HOUR(EV_Data[[#This Row],[Charging Start Time]])</f>
        <v>13</v>
      </c>
      <c r="F351" s="1">
        <v>44941.541666666664</v>
      </c>
      <c r="G351" s="1">
        <v>44941.574999999997</v>
      </c>
      <c r="H351">
        <v>48</v>
      </c>
      <c r="I351">
        <v>37.51</v>
      </c>
      <c r="J351" t="str">
        <f t="shared" si="16"/>
        <v>Medium</v>
      </c>
      <c r="K351" t="s">
        <v>22</v>
      </c>
      <c r="L351">
        <v>16</v>
      </c>
      <c r="M351">
        <v>54</v>
      </c>
      <c r="N351" t="str">
        <f t="shared" si="17"/>
        <v>Medium Cost</v>
      </c>
      <c r="O351">
        <v>9.56</v>
      </c>
      <c r="P351" t="s">
        <v>64</v>
      </c>
      <c r="Q351" t="s">
        <v>24</v>
      </c>
      <c r="R351" t="s">
        <v>35</v>
      </c>
      <c r="S351" t="s">
        <v>393</v>
      </c>
      <c r="T351" t="s">
        <v>46</v>
      </c>
      <c r="U351">
        <v>34</v>
      </c>
      <c r="V351">
        <v>3.9</v>
      </c>
      <c r="W351" t="s">
        <v>38</v>
      </c>
      <c r="X351" t="s">
        <v>62</v>
      </c>
    </row>
    <row r="352" spans="1:24" x14ac:dyDescent="0.3">
      <c r="A352" t="s">
        <v>1630</v>
      </c>
      <c r="B352" t="s">
        <v>40</v>
      </c>
      <c r="C352" t="s">
        <v>41</v>
      </c>
      <c r="D352" t="str">
        <f t="shared" si="15"/>
        <v>Afternoon</v>
      </c>
      <c r="E352">
        <f>HOUR(EV_Data[[#This Row],[Charging Start Time]])</f>
        <v>14</v>
      </c>
      <c r="F352" s="1">
        <v>44941.583333333336</v>
      </c>
      <c r="G352" s="1">
        <v>44941.647222222222</v>
      </c>
      <c r="H352">
        <v>92</v>
      </c>
      <c r="I352">
        <v>24.35</v>
      </c>
      <c r="J352" t="str">
        <f t="shared" si="16"/>
        <v>Medium</v>
      </c>
      <c r="K352" t="s">
        <v>32</v>
      </c>
      <c r="L352">
        <v>47</v>
      </c>
      <c r="M352">
        <v>60</v>
      </c>
      <c r="N352" t="str">
        <f t="shared" si="17"/>
        <v>Low Cost</v>
      </c>
      <c r="O352">
        <v>6.32</v>
      </c>
      <c r="P352" t="s">
        <v>33</v>
      </c>
      <c r="Q352" t="s">
        <v>34</v>
      </c>
      <c r="R352" t="s">
        <v>44</v>
      </c>
      <c r="S352" t="s">
        <v>394</v>
      </c>
      <c r="T352" t="s">
        <v>27</v>
      </c>
      <c r="U352">
        <v>17</v>
      </c>
      <c r="V352">
        <v>1.8</v>
      </c>
      <c r="W352" t="s">
        <v>28</v>
      </c>
      <c r="X352" t="s">
        <v>68</v>
      </c>
    </row>
    <row r="353" spans="1:24" x14ac:dyDescent="0.3">
      <c r="A353" t="s">
        <v>1631</v>
      </c>
      <c r="B353" t="s">
        <v>92</v>
      </c>
      <c r="C353" t="s">
        <v>93</v>
      </c>
      <c r="D353" t="str">
        <f t="shared" si="15"/>
        <v>Afternoon</v>
      </c>
      <c r="E353">
        <f>HOUR(EV_Data[[#This Row],[Charging Start Time]])</f>
        <v>15</v>
      </c>
      <c r="F353" s="1">
        <v>44941.625</v>
      </c>
      <c r="G353" s="1">
        <v>44941.67291666667</v>
      </c>
      <c r="H353">
        <v>69</v>
      </c>
      <c r="I353">
        <v>37.520000000000003</v>
      </c>
      <c r="J353" t="str">
        <f t="shared" si="16"/>
        <v>Medium</v>
      </c>
      <c r="K353" t="s">
        <v>42</v>
      </c>
      <c r="L353">
        <v>27</v>
      </c>
      <c r="M353">
        <v>39</v>
      </c>
      <c r="N353" t="str">
        <f t="shared" si="17"/>
        <v>High Cost</v>
      </c>
      <c r="O353">
        <v>17.64</v>
      </c>
      <c r="P353" t="s">
        <v>43</v>
      </c>
      <c r="Q353" t="s">
        <v>24</v>
      </c>
      <c r="R353" t="s">
        <v>25</v>
      </c>
      <c r="S353" t="s">
        <v>395</v>
      </c>
      <c r="T353" t="s">
        <v>60</v>
      </c>
      <c r="U353">
        <v>43</v>
      </c>
      <c r="V353">
        <v>4.2</v>
      </c>
      <c r="W353" t="s">
        <v>47</v>
      </c>
      <c r="X353" t="s">
        <v>29</v>
      </c>
    </row>
    <row r="354" spans="1:24" x14ac:dyDescent="0.3">
      <c r="A354" t="s">
        <v>1632</v>
      </c>
      <c r="B354" t="s">
        <v>92</v>
      </c>
      <c r="C354" t="s">
        <v>93</v>
      </c>
      <c r="D354" t="str">
        <f t="shared" si="15"/>
        <v>Afternoon</v>
      </c>
      <c r="E354">
        <f>HOUR(EV_Data[[#This Row],[Charging Start Time]])</f>
        <v>16</v>
      </c>
      <c r="F354" s="1">
        <v>44941.666666666664</v>
      </c>
      <c r="G354" s="1">
        <v>44941.690972222219</v>
      </c>
      <c r="H354">
        <v>35</v>
      </c>
      <c r="I354">
        <v>41.68</v>
      </c>
      <c r="J354" t="str">
        <f t="shared" si="16"/>
        <v>Medium</v>
      </c>
      <c r="K354" t="s">
        <v>42</v>
      </c>
      <c r="L354">
        <v>13</v>
      </c>
      <c r="M354">
        <v>53</v>
      </c>
      <c r="N354" t="str">
        <f t="shared" si="17"/>
        <v>Medium Cost</v>
      </c>
      <c r="O354">
        <v>12.57</v>
      </c>
      <c r="P354" t="s">
        <v>23</v>
      </c>
      <c r="Q354" t="s">
        <v>48</v>
      </c>
      <c r="R354" t="s">
        <v>35</v>
      </c>
      <c r="S354" t="s">
        <v>396</v>
      </c>
      <c r="T354" t="s">
        <v>60</v>
      </c>
      <c r="U354">
        <v>15</v>
      </c>
      <c r="V354">
        <v>3.4</v>
      </c>
      <c r="W354" t="s">
        <v>38</v>
      </c>
      <c r="X354" t="s">
        <v>39</v>
      </c>
    </row>
    <row r="355" spans="1:24" x14ac:dyDescent="0.3">
      <c r="A355" t="s">
        <v>1633</v>
      </c>
      <c r="B355" t="s">
        <v>20</v>
      </c>
      <c r="C355" t="s">
        <v>21</v>
      </c>
      <c r="D355" t="str">
        <f t="shared" si="15"/>
        <v>Evening</v>
      </c>
      <c r="E355">
        <f>HOUR(EV_Data[[#This Row],[Charging Start Time]])</f>
        <v>17</v>
      </c>
      <c r="F355" s="1">
        <v>44941.708333333336</v>
      </c>
      <c r="G355" s="1">
        <v>44941.740972222222</v>
      </c>
      <c r="H355">
        <v>47</v>
      </c>
      <c r="I355">
        <v>48.9</v>
      </c>
      <c r="J355" t="str">
        <f t="shared" si="16"/>
        <v>Medium</v>
      </c>
      <c r="K355" t="s">
        <v>22</v>
      </c>
      <c r="L355">
        <v>44</v>
      </c>
      <c r="M355">
        <v>56</v>
      </c>
      <c r="N355" t="str">
        <f t="shared" si="17"/>
        <v>High Cost</v>
      </c>
      <c r="O355">
        <v>20.059999999999999</v>
      </c>
      <c r="P355" t="s">
        <v>64</v>
      </c>
      <c r="Q355" t="s">
        <v>24</v>
      </c>
      <c r="R355" t="s">
        <v>44</v>
      </c>
      <c r="S355" t="s">
        <v>397</v>
      </c>
      <c r="T355" t="s">
        <v>27</v>
      </c>
      <c r="U355">
        <v>79</v>
      </c>
      <c r="V355">
        <v>3</v>
      </c>
      <c r="W355" t="s">
        <v>28</v>
      </c>
      <c r="X355" t="s">
        <v>68</v>
      </c>
    </row>
    <row r="356" spans="1:24" x14ac:dyDescent="0.3">
      <c r="A356" t="s">
        <v>1634</v>
      </c>
      <c r="B356" t="s">
        <v>71</v>
      </c>
      <c r="C356" t="s">
        <v>72</v>
      </c>
      <c r="D356" t="str">
        <f t="shared" si="15"/>
        <v>Evening</v>
      </c>
      <c r="E356">
        <f>HOUR(EV_Data[[#This Row],[Charging Start Time]])</f>
        <v>18</v>
      </c>
      <c r="F356" s="1">
        <v>44941.75</v>
      </c>
      <c r="G356" s="1">
        <v>44941.768055555563</v>
      </c>
      <c r="H356">
        <v>26</v>
      </c>
      <c r="I356">
        <v>10.53</v>
      </c>
      <c r="J356" t="str">
        <f t="shared" si="16"/>
        <v>Low</v>
      </c>
      <c r="K356" t="s">
        <v>50</v>
      </c>
      <c r="L356">
        <v>59</v>
      </c>
      <c r="M356">
        <v>92</v>
      </c>
      <c r="N356" t="str">
        <f t="shared" si="17"/>
        <v>Low Cost</v>
      </c>
      <c r="O356">
        <v>3.11</v>
      </c>
      <c r="P356" t="s">
        <v>64</v>
      </c>
      <c r="Q356" t="s">
        <v>24</v>
      </c>
      <c r="R356" t="s">
        <v>25</v>
      </c>
      <c r="S356" t="s">
        <v>398</v>
      </c>
      <c r="T356" t="s">
        <v>46</v>
      </c>
      <c r="U356">
        <v>9</v>
      </c>
      <c r="V356">
        <v>2.2999999999999998</v>
      </c>
      <c r="W356" t="s">
        <v>47</v>
      </c>
      <c r="X356" t="s">
        <v>29</v>
      </c>
    </row>
    <row r="357" spans="1:24" x14ac:dyDescent="0.3">
      <c r="A357" t="s">
        <v>1635</v>
      </c>
      <c r="B357" t="s">
        <v>126</v>
      </c>
      <c r="C357" t="s">
        <v>31</v>
      </c>
      <c r="D357" t="str">
        <f t="shared" si="15"/>
        <v>Evening</v>
      </c>
      <c r="E357">
        <f>HOUR(EV_Data[[#This Row],[Charging Start Time]])</f>
        <v>19</v>
      </c>
      <c r="F357" s="1">
        <v>44941.791666666664</v>
      </c>
      <c r="G357" s="1">
        <v>44941.835416666669</v>
      </c>
      <c r="H357">
        <v>63</v>
      </c>
      <c r="I357">
        <v>40.54</v>
      </c>
      <c r="J357" t="str">
        <f t="shared" si="16"/>
        <v>Medium</v>
      </c>
      <c r="K357" t="s">
        <v>69</v>
      </c>
      <c r="L357">
        <v>54</v>
      </c>
      <c r="M357">
        <v>64</v>
      </c>
      <c r="N357" t="str">
        <f t="shared" si="17"/>
        <v>Medium Cost</v>
      </c>
      <c r="O357">
        <v>16.53</v>
      </c>
      <c r="P357" t="s">
        <v>23</v>
      </c>
      <c r="Q357" t="s">
        <v>48</v>
      </c>
      <c r="R357" t="s">
        <v>56</v>
      </c>
      <c r="S357" t="s">
        <v>150</v>
      </c>
      <c r="T357" t="s">
        <v>27</v>
      </c>
      <c r="U357">
        <v>44</v>
      </c>
      <c r="V357">
        <v>3.7</v>
      </c>
      <c r="W357" t="s">
        <v>38</v>
      </c>
      <c r="X357" t="s">
        <v>83</v>
      </c>
    </row>
    <row r="358" spans="1:24" x14ac:dyDescent="0.3">
      <c r="A358" t="s">
        <v>1636</v>
      </c>
      <c r="B358" t="s">
        <v>126</v>
      </c>
      <c r="C358" t="s">
        <v>31</v>
      </c>
      <c r="D358" t="str">
        <f t="shared" si="15"/>
        <v>Evening</v>
      </c>
      <c r="E358">
        <f>HOUR(EV_Data[[#This Row],[Charging Start Time]])</f>
        <v>20</v>
      </c>
      <c r="F358" s="1">
        <v>44941.833333333336</v>
      </c>
      <c r="G358" s="1">
        <v>44941.834027777782</v>
      </c>
      <c r="H358">
        <v>1</v>
      </c>
      <c r="I358">
        <v>39.479999999999997</v>
      </c>
      <c r="J358" t="str">
        <f t="shared" si="16"/>
        <v>Medium</v>
      </c>
      <c r="K358" t="s">
        <v>69</v>
      </c>
      <c r="L358">
        <v>43</v>
      </c>
      <c r="M358">
        <v>57</v>
      </c>
      <c r="N358" t="str">
        <f t="shared" si="17"/>
        <v>High Cost</v>
      </c>
      <c r="O358">
        <v>18.239999999999998</v>
      </c>
      <c r="P358" t="s">
        <v>23</v>
      </c>
      <c r="Q358" t="s">
        <v>48</v>
      </c>
      <c r="R358" t="s">
        <v>56</v>
      </c>
      <c r="S358" t="s">
        <v>399</v>
      </c>
      <c r="T358" t="s">
        <v>37</v>
      </c>
      <c r="U358">
        <v>84</v>
      </c>
      <c r="V358">
        <v>1.8</v>
      </c>
      <c r="W358" t="s">
        <v>28</v>
      </c>
      <c r="X358" t="s">
        <v>68</v>
      </c>
    </row>
    <row r="359" spans="1:24" x14ac:dyDescent="0.3">
      <c r="A359" t="s">
        <v>1637</v>
      </c>
      <c r="B359" t="s">
        <v>77</v>
      </c>
      <c r="C359" t="s">
        <v>78</v>
      </c>
      <c r="D359" t="str">
        <f t="shared" si="15"/>
        <v>Evening</v>
      </c>
      <c r="E359">
        <f>HOUR(EV_Data[[#This Row],[Charging Start Time]])</f>
        <v>21</v>
      </c>
      <c r="F359" s="1">
        <v>44941.875</v>
      </c>
      <c r="G359" s="1">
        <v>44941.947916666657</v>
      </c>
      <c r="H359">
        <v>105</v>
      </c>
      <c r="I359">
        <v>20.81</v>
      </c>
      <c r="J359" t="str">
        <f t="shared" si="16"/>
        <v>Medium</v>
      </c>
      <c r="K359" t="s">
        <v>55</v>
      </c>
      <c r="L359">
        <v>60</v>
      </c>
      <c r="M359">
        <v>92</v>
      </c>
      <c r="N359" t="str">
        <f t="shared" si="17"/>
        <v>Medium Cost</v>
      </c>
      <c r="O359">
        <v>9.43</v>
      </c>
      <c r="P359" t="s">
        <v>33</v>
      </c>
      <c r="Q359" t="s">
        <v>34</v>
      </c>
      <c r="R359" t="s">
        <v>44</v>
      </c>
      <c r="S359" t="s">
        <v>400</v>
      </c>
      <c r="T359" t="s">
        <v>27</v>
      </c>
      <c r="U359">
        <v>29</v>
      </c>
      <c r="V359">
        <v>5</v>
      </c>
      <c r="W359" t="s">
        <v>38</v>
      </c>
      <c r="X359" t="s">
        <v>39</v>
      </c>
    </row>
    <row r="360" spans="1:24" x14ac:dyDescent="0.3">
      <c r="A360" t="s">
        <v>1638</v>
      </c>
      <c r="B360" t="s">
        <v>30</v>
      </c>
      <c r="C360" t="s">
        <v>102</v>
      </c>
      <c r="D360" t="str">
        <f t="shared" si="15"/>
        <v>Evening</v>
      </c>
      <c r="E360">
        <f>HOUR(EV_Data[[#This Row],[Charging Start Time]])</f>
        <v>22</v>
      </c>
      <c r="F360" s="1">
        <v>44941.916666666664</v>
      </c>
      <c r="G360" s="1">
        <v>44941.941666666673</v>
      </c>
      <c r="H360">
        <v>36</v>
      </c>
      <c r="I360">
        <v>47.55</v>
      </c>
      <c r="J360" t="str">
        <f t="shared" si="16"/>
        <v>Medium</v>
      </c>
      <c r="K360" t="s">
        <v>55</v>
      </c>
      <c r="L360">
        <v>24</v>
      </c>
      <c r="M360">
        <v>61</v>
      </c>
      <c r="N360" t="str">
        <f t="shared" si="17"/>
        <v>Medium Cost</v>
      </c>
      <c r="O360">
        <v>13.13</v>
      </c>
      <c r="P360" t="s">
        <v>64</v>
      </c>
      <c r="Q360" t="s">
        <v>24</v>
      </c>
      <c r="R360" t="s">
        <v>35</v>
      </c>
      <c r="S360" t="s">
        <v>401</v>
      </c>
      <c r="T360" t="s">
        <v>60</v>
      </c>
      <c r="U360">
        <v>67</v>
      </c>
      <c r="V360">
        <v>1.2</v>
      </c>
      <c r="W360" t="s">
        <v>28</v>
      </c>
      <c r="X360" t="s">
        <v>68</v>
      </c>
    </row>
    <row r="361" spans="1:24" x14ac:dyDescent="0.3">
      <c r="A361" t="s">
        <v>1639</v>
      </c>
      <c r="B361" t="s">
        <v>92</v>
      </c>
      <c r="C361" t="s">
        <v>93</v>
      </c>
      <c r="D361" t="str">
        <f t="shared" si="15"/>
        <v>Evening</v>
      </c>
      <c r="E361">
        <f>HOUR(EV_Data[[#This Row],[Charging Start Time]])</f>
        <v>23</v>
      </c>
      <c r="F361" s="1">
        <v>44941.958333333336</v>
      </c>
      <c r="G361" s="1">
        <v>44941.979861111111</v>
      </c>
      <c r="H361">
        <v>31</v>
      </c>
      <c r="I361">
        <v>46.37</v>
      </c>
      <c r="J361" t="str">
        <f t="shared" si="16"/>
        <v>Medium</v>
      </c>
      <c r="K361" t="s">
        <v>50</v>
      </c>
      <c r="L361">
        <v>64</v>
      </c>
      <c r="M361">
        <v>78</v>
      </c>
      <c r="N361" t="str">
        <f t="shared" si="17"/>
        <v>Medium Cost</v>
      </c>
      <c r="O361">
        <v>9.36</v>
      </c>
      <c r="P361" t="s">
        <v>64</v>
      </c>
      <c r="Q361" t="s">
        <v>24</v>
      </c>
      <c r="R361" t="s">
        <v>56</v>
      </c>
      <c r="S361" t="s">
        <v>402</v>
      </c>
      <c r="T361" t="s">
        <v>37</v>
      </c>
      <c r="U361">
        <v>17</v>
      </c>
      <c r="V361">
        <v>3.1</v>
      </c>
      <c r="W361" t="s">
        <v>28</v>
      </c>
      <c r="X361" t="s">
        <v>68</v>
      </c>
    </row>
    <row r="362" spans="1:24" x14ac:dyDescent="0.3">
      <c r="A362" t="s">
        <v>1640</v>
      </c>
      <c r="B362" t="s">
        <v>77</v>
      </c>
      <c r="C362" t="s">
        <v>78</v>
      </c>
      <c r="D362" t="str">
        <f t="shared" si="15"/>
        <v>Morning</v>
      </c>
      <c r="E362">
        <f>HOUR(EV_Data[[#This Row],[Charging Start Time]])</f>
        <v>0</v>
      </c>
      <c r="F362" s="1">
        <v>44942</v>
      </c>
      <c r="G362" s="1">
        <v>44942.038194444453</v>
      </c>
      <c r="H362">
        <v>55</v>
      </c>
      <c r="I362">
        <v>24.08</v>
      </c>
      <c r="J362" t="str">
        <f t="shared" si="16"/>
        <v>Medium</v>
      </c>
      <c r="K362" t="s">
        <v>22</v>
      </c>
      <c r="L362">
        <v>31</v>
      </c>
      <c r="M362">
        <v>69</v>
      </c>
      <c r="N362" t="str">
        <f t="shared" si="17"/>
        <v>Medium Cost</v>
      </c>
      <c r="O362">
        <v>11.09</v>
      </c>
      <c r="P362" t="s">
        <v>64</v>
      </c>
      <c r="Q362" t="s">
        <v>58</v>
      </c>
      <c r="R362" t="s">
        <v>35</v>
      </c>
      <c r="S362" t="s">
        <v>403</v>
      </c>
      <c r="T362" t="s">
        <v>46</v>
      </c>
      <c r="U362">
        <v>14</v>
      </c>
      <c r="V362">
        <v>2.9</v>
      </c>
      <c r="W362" t="s">
        <v>47</v>
      </c>
      <c r="X362" t="s">
        <v>29</v>
      </c>
    </row>
    <row r="363" spans="1:24" x14ac:dyDescent="0.3">
      <c r="A363" t="s">
        <v>1641</v>
      </c>
      <c r="B363" t="s">
        <v>30</v>
      </c>
      <c r="C363" t="s">
        <v>102</v>
      </c>
      <c r="D363" t="str">
        <f t="shared" si="15"/>
        <v>Morning</v>
      </c>
      <c r="E363">
        <f>HOUR(EV_Data[[#This Row],[Charging Start Time]])</f>
        <v>1</v>
      </c>
      <c r="F363" s="1">
        <v>44942.041666666664</v>
      </c>
      <c r="G363" s="1">
        <v>44942.074305555558</v>
      </c>
      <c r="H363">
        <v>47</v>
      </c>
      <c r="I363">
        <v>17.21</v>
      </c>
      <c r="J363" t="str">
        <f t="shared" si="16"/>
        <v>Low</v>
      </c>
      <c r="K363" t="s">
        <v>55</v>
      </c>
      <c r="L363">
        <v>7</v>
      </c>
      <c r="M363">
        <v>27</v>
      </c>
      <c r="N363" t="str">
        <f t="shared" si="17"/>
        <v>Low Cost</v>
      </c>
      <c r="O363">
        <v>4.29</v>
      </c>
      <c r="P363" t="s">
        <v>33</v>
      </c>
      <c r="Q363" t="s">
        <v>58</v>
      </c>
      <c r="R363" t="s">
        <v>44</v>
      </c>
      <c r="S363" t="s">
        <v>404</v>
      </c>
      <c r="T363" t="s">
        <v>37</v>
      </c>
      <c r="U363">
        <v>43</v>
      </c>
      <c r="V363">
        <v>2.5</v>
      </c>
      <c r="W363" t="s">
        <v>38</v>
      </c>
      <c r="X363" t="s">
        <v>85</v>
      </c>
    </row>
    <row r="364" spans="1:24" x14ac:dyDescent="0.3">
      <c r="A364" t="s">
        <v>1642</v>
      </c>
      <c r="B364" t="s">
        <v>30</v>
      </c>
      <c r="C364" t="s">
        <v>102</v>
      </c>
      <c r="D364" t="str">
        <f t="shared" si="15"/>
        <v>Morning</v>
      </c>
      <c r="E364">
        <f>HOUR(EV_Data[[#This Row],[Charging Start Time]])</f>
        <v>2</v>
      </c>
      <c r="F364" s="1">
        <v>44942.083333333336</v>
      </c>
      <c r="G364" s="1">
        <v>44942.107638888891</v>
      </c>
      <c r="H364">
        <v>35</v>
      </c>
      <c r="I364">
        <v>38.26</v>
      </c>
      <c r="J364" t="str">
        <f t="shared" si="16"/>
        <v>Medium</v>
      </c>
      <c r="K364" t="s">
        <v>32</v>
      </c>
      <c r="L364">
        <v>31</v>
      </c>
      <c r="M364">
        <v>42</v>
      </c>
      <c r="N364" t="str">
        <f t="shared" si="17"/>
        <v>Medium Cost</v>
      </c>
      <c r="O364">
        <v>8.8000000000000007</v>
      </c>
      <c r="P364" t="s">
        <v>64</v>
      </c>
      <c r="Q364" t="s">
        <v>24</v>
      </c>
      <c r="R364" t="s">
        <v>56</v>
      </c>
      <c r="S364" t="s">
        <v>405</v>
      </c>
      <c r="T364" t="s">
        <v>27</v>
      </c>
      <c r="U364">
        <v>75</v>
      </c>
      <c r="V364">
        <v>3.9</v>
      </c>
      <c r="W364" t="s">
        <v>28</v>
      </c>
      <c r="X364" t="s">
        <v>68</v>
      </c>
    </row>
    <row r="365" spans="1:24" x14ac:dyDescent="0.3">
      <c r="A365" t="s">
        <v>1643</v>
      </c>
      <c r="B365" t="s">
        <v>20</v>
      </c>
      <c r="C365" t="s">
        <v>21</v>
      </c>
      <c r="D365" t="str">
        <f t="shared" si="15"/>
        <v>Morning</v>
      </c>
      <c r="E365">
        <f>HOUR(EV_Data[[#This Row],[Charging Start Time]])</f>
        <v>3</v>
      </c>
      <c r="F365" s="1">
        <v>44942.125</v>
      </c>
      <c r="G365" s="1">
        <v>44942.152777777781</v>
      </c>
      <c r="H365">
        <v>40</v>
      </c>
      <c r="I365">
        <v>36.49</v>
      </c>
      <c r="J365" t="str">
        <f t="shared" si="16"/>
        <v>Medium</v>
      </c>
      <c r="K365" t="s">
        <v>22</v>
      </c>
      <c r="L365">
        <v>29</v>
      </c>
      <c r="M365">
        <v>62</v>
      </c>
      <c r="N365" t="str">
        <f t="shared" si="17"/>
        <v>Medium Cost</v>
      </c>
      <c r="O365">
        <v>12.74</v>
      </c>
      <c r="P365" t="s">
        <v>51</v>
      </c>
      <c r="Q365" t="s">
        <v>58</v>
      </c>
      <c r="R365" t="s">
        <v>56</v>
      </c>
      <c r="S365" t="s">
        <v>406</v>
      </c>
      <c r="T365" t="s">
        <v>60</v>
      </c>
      <c r="U365">
        <v>23</v>
      </c>
      <c r="V365">
        <v>4.0999999999999996</v>
      </c>
      <c r="W365" t="s">
        <v>38</v>
      </c>
      <c r="X365" t="s">
        <v>62</v>
      </c>
    </row>
    <row r="366" spans="1:24" x14ac:dyDescent="0.3">
      <c r="A366" t="s">
        <v>1644</v>
      </c>
      <c r="B366" t="s">
        <v>92</v>
      </c>
      <c r="C366" t="s">
        <v>93</v>
      </c>
      <c r="D366" t="str">
        <f t="shared" si="15"/>
        <v>Morning</v>
      </c>
      <c r="E366">
        <f>HOUR(EV_Data[[#This Row],[Charging Start Time]])</f>
        <v>4</v>
      </c>
      <c r="F366" s="1">
        <v>44942.166666666664</v>
      </c>
      <c r="G366" s="1">
        <v>44942.205555555563</v>
      </c>
      <c r="H366">
        <v>56</v>
      </c>
      <c r="I366">
        <v>8.4700000000000006</v>
      </c>
      <c r="J366" t="str">
        <f t="shared" si="16"/>
        <v>Low</v>
      </c>
      <c r="K366" t="s">
        <v>42</v>
      </c>
      <c r="L366">
        <v>7</v>
      </c>
      <c r="M366">
        <v>19</v>
      </c>
      <c r="N366" t="str">
        <f t="shared" si="17"/>
        <v>Low Cost</v>
      </c>
      <c r="O366">
        <v>2.8</v>
      </c>
      <c r="P366" t="s">
        <v>64</v>
      </c>
      <c r="Q366" t="s">
        <v>34</v>
      </c>
      <c r="R366" t="s">
        <v>35</v>
      </c>
      <c r="S366" t="s">
        <v>407</v>
      </c>
      <c r="T366" t="s">
        <v>60</v>
      </c>
      <c r="U366">
        <v>54</v>
      </c>
      <c r="V366">
        <v>1.4</v>
      </c>
      <c r="W366" t="s">
        <v>38</v>
      </c>
      <c r="X366" t="s">
        <v>85</v>
      </c>
    </row>
    <row r="367" spans="1:24" x14ac:dyDescent="0.3">
      <c r="A367" t="s">
        <v>1645</v>
      </c>
      <c r="B367" t="s">
        <v>71</v>
      </c>
      <c r="C367" t="s">
        <v>72</v>
      </c>
      <c r="D367" t="str">
        <f t="shared" si="15"/>
        <v>Morning</v>
      </c>
      <c r="E367">
        <f>HOUR(EV_Data[[#This Row],[Charging Start Time]])</f>
        <v>5</v>
      </c>
      <c r="F367" s="1">
        <v>44942.208333333336</v>
      </c>
      <c r="G367" s="1">
        <v>44942.257638888892</v>
      </c>
      <c r="H367">
        <v>71</v>
      </c>
      <c r="I367">
        <v>23.14</v>
      </c>
      <c r="J367" t="str">
        <f t="shared" si="16"/>
        <v>Medium</v>
      </c>
      <c r="K367" t="s">
        <v>50</v>
      </c>
      <c r="L367">
        <v>67</v>
      </c>
      <c r="M367">
        <v>77</v>
      </c>
      <c r="N367" t="str">
        <f t="shared" si="17"/>
        <v>Low Cost</v>
      </c>
      <c r="O367">
        <v>6.74</v>
      </c>
      <c r="P367" t="s">
        <v>23</v>
      </c>
      <c r="Q367" t="s">
        <v>34</v>
      </c>
      <c r="R367" t="s">
        <v>25</v>
      </c>
      <c r="S367" t="s">
        <v>408</v>
      </c>
      <c r="T367" t="s">
        <v>46</v>
      </c>
      <c r="U367">
        <v>64</v>
      </c>
      <c r="V367">
        <v>2.1</v>
      </c>
      <c r="W367" t="s">
        <v>28</v>
      </c>
      <c r="X367" t="s">
        <v>68</v>
      </c>
    </row>
    <row r="368" spans="1:24" x14ac:dyDescent="0.3">
      <c r="A368" t="s">
        <v>1646</v>
      </c>
      <c r="B368" t="s">
        <v>20</v>
      </c>
      <c r="C368" t="s">
        <v>21</v>
      </c>
      <c r="D368" t="str">
        <f t="shared" si="15"/>
        <v>Morning</v>
      </c>
      <c r="E368">
        <f>HOUR(EV_Data[[#This Row],[Charging Start Time]])</f>
        <v>6</v>
      </c>
      <c r="F368" s="1">
        <v>44942.25</v>
      </c>
      <c r="G368" s="1">
        <v>44942.287499999999</v>
      </c>
      <c r="H368">
        <v>54</v>
      </c>
      <c r="I368">
        <v>44.73</v>
      </c>
      <c r="J368" t="str">
        <f t="shared" si="16"/>
        <v>Medium</v>
      </c>
      <c r="K368" t="s">
        <v>55</v>
      </c>
      <c r="L368">
        <v>46</v>
      </c>
      <c r="M368">
        <v>72</v>
      </c>
      <c r="N368" t="str">
        <f t="shared" si="17"/>
        <v>High Cost</v>
      </c>
      <c r="O368">
        <v>21.43</v>
      </c>
      <c r="P368" t="s">
        <v>51</v>
      </c>
      <c r="Q368" t="s">
        <v>48</v>
      </c>
      <c r="R368" t="s">
        <v>56</v>
      </c>
      <c r="S368" t="s">
        <v>409</v>
      </c>
      <c r="T368" t="s">
        <v>27</v>
      </c>
      <c r="U368">
        <v>67</v>
      </c>
      <c r="V368">
        <v>3.1</v>
      </c>
      <c r="W368" t="s">
        <v>28</v>
      </c>
      <c r="X368" t="s">
        <v>68</v>
      </c>
    </row>
    <row r="369" spans="1:24" x14ac:dyDescent="0.3">
      <c r="A369" t="s">
        <v>1647</v>
      </c>
      <c r="B369" t="s">
        <v>71</v>
      </c>
      <c r="C369" t="s">
        <v>72</v>
      </c>
      <c r="D369" t="str">
        <f t="shared" si="15"/>
        <v>Morning</v>
      </c>
      <c r="E369">
        <f>HOUR(EV_Data[[#This Row],[Charging Start Time]])</f>
        <v>7</v>
      </c>
      <c r="F369" s="1">
        <v>44942.291666666664</v>
      </c>
      <c r="G369" s="1">
        <v>44942.319444444453</v>
      </c>
      <c r="H369">
        <v>40</v>
      </c>
      <c r="I369">
        <v>35.21</v>
      </c>
      <c r="J369" t="str">
        <f t="shared" si="16"/>
        <v>Medium</v>
      </c>
      <c r="K369" t="s">
        <v>69</v>
      </c>
      <c r="L369">
        <v>44</v>
      </c>
      <c r="M369">
        <v>64</v>
      </c>
      <c r="N369" t="str">
        <f t="shared" si="17"/>
        <v>Medium Cost</v>
      </c>
      <c r="O369">
        <v>13.38</v>
      </c>
      <c r="P369" t="s">
        <v>33</v>
      </c>
      <c r="Q369" t="s">
        <v>34</v>
      </c>
      <c r="R369" t="s">
        <v>25</v>
      </c>
      <c r="S369" t="s">
        <v>352</v>
      </c>
      <c r="T369" t="s">
        <v>60</v>
      </c>
      <c r="U369">
        <v>81</v>
      </c>
      <c r="V369">
        <v>4.9000000000000004</v>
      </c>
      <c r="W369" t="s">
        <v>28</v>
      </c>
      <c r="X369" t="s">
        <v>68</v>
      </c>
    </row>
    <row r="370" spans="1:24" x14ac:dyDescent="0.3">
      <c r="A370" t="s">
        <v>1648</v>
      </c>
      <c r="B370" t="s">
        <v>126</v>
      </c>
      <c r="C370" t="s">
        <v>31</v>
      </c>
      <c r="D370" t="str">
        <f t="shared" si="15"/>
        <v>Morning</v>
      </c>
      <c r="E370">
        <f>HOUR(EV_Data[[#This Row],[Charging Start Time]])</f>
        <v>8</v>
      </c>
      <c r="F370" s="1">
        <v>44942.333333333336</v>
      </c>
      <c r="G370" s="1">
        <v>44942.386111111111</v>
      </c>
      <c r="H370">
        <v>76</v>
      </c>
      <c r="I370">
        <v>38.93</v>
      </c>
      <c r="J370" t="str">
        <f t="shared" si="16"/>
        <v>Medium</v>
      </c>
      <c r="K370" t="s">
        <v>69</v>
      </c>
      <c r="L370">
        <v>71</v>
      </c>
      <c r="M370">
        <v>98</v>
      </c>
      <c r="N370" t="str">
        <f t="shared" si="17"/>
        <v>Medium Cost</v>
      </c>
      <c r="O370">
        <v>14.27</v>
      </c>
      <c r="P370" t="s">
        <v>43</v>
      </c>
      <c r="Q370" t="s">
        <v>58</v>
      </c>
      <c r="R370" t="s">
        <v>25</v>
      </c>
      <c r="S370" t="s">
        <v>410</v>
      </c>
      <c r="T370" t="s">
        <v>27</v>
      </c>
      <c r="U370">
        <v>53</v>
      </c>
      <c r="V370">
        <v>2.9</v>
      </c>
      <c r="W370" t="s">
        <v>38</v>
      </c>
      <c r="X370" t="s">
        <v>85</v>
      </c>
    </row>
    <row r="371" spans="1:24" x14ac:dyDescent="0.3">
      <c r="A371" t="s">
        <v>1649</v>
      </c>
      <c r="B371" t="s">
        <v>71</v>
      </c>
      <c r="C371" t="s">
        <v>72</v>
      </c>
      <c r="D371" t="str">
        <f t="shared" si="15"/>
        <v>Morning</v>
      </c>
      <c r="E371">
        <f>HOUR(EV_Data[[#This Row],[Charging Start Time]])</f>
        <v>9</v>
      </c>
      <c r="F371" s="1">
        <v>44942.375</v>
      </c>
      <c r="G371" s="1">
        <v>44942.442361111112</v>
      </c>
      <c r="H371">
        <v>97</v>
      </c>
      <c r="I371">
        <v>15.25</v>
      </c>
      <c r="J371" t="str">
        <f t="shared" si="16"/>
        <v>Low</v>
      </c>
      <c r="K371" t="s">
        <v>69</v>
      </c>
      <c r="L371">
        <v>62</v>
      </c>
      <c r="M371">
        <v>97</v>
      </c>
      <c r="N371" t="str">
        <f t="shared" si="17"/>
        <v>Low Cost</v>
      </c>
      <c r="O371">
        <v>6.07</v>
      </c>
      <c r="P371" t="s">
        <v>51</v>
      </c>
      <c r="Q371" t="s">
        <v>48</v>
      </c>
      <c r="R371" t="s">
        <v>56</v>
      </c>
      <c r="S371" t="s">
        <v>411</v>
      </c>
      <c r="T371" t="s">
        <v>46</v>
      </c>
      <c r="U371">
        <v>86</v>
      </c>
      <c r="V371">
        <v>4.5</v>
      </c>
      <c r="W371" t="s">
        <v>28</v>
      </c>
      <c r="X371" t="s">
        <v>68</v>
      </c>
    </row>
    <row r="372" spans="1:24" x14ac:dyDescent="0.3">
      <c r="A372" t="s">
        <v>1650</v>
      </c>
      <c r="B372" t="s">
        <v>20</v>
      </c>
      <c r="C372" t="s">
        <v>21</v>
      </c>
      <c r="D372" t="str">
        <f t="shared" si="15"/>
        <v>Morning</v>
      </c>
      <c r="E372">
        <f>HOUR(EV_Data[[#This Row],[Charging Start Time]])</f>
        <v>10</v>
      </c>
      <c r="F372" s="1">
        <v>44942.416666666664</v>
      </c>
      <c r="G372" s="1">
        <v>44942.462500000001</v>
      </c>
      <c r="H372">
        <v>66</v>
      </c>
      <c r="I372">
        <v>33.840000000000003</v>
      </c>
      <c r="J372" t="str">
        <f t="shared" si="16"/>
        <v>Medium</v>
      </c>
      <c r="K372" t="s">
        <v>42</v>
      </c>
      <c r="L372">
        <v>49</v>
      </c>
      <c r="M372">
        <v>88</v>
      </c>
      <c r="N372" t="str">
        <f t="shared" si="17"/>
        <v>Medium Cost</v>
      </c>
      <c r="O372">
        <v>15.04</v>
      </c>
      <c r="P372" t="s">
        <v>51</v>
      </c>
      <c r="Q372" t="s">
        <v>34</v>
      </c>
      <c r="R372" t="s">
        <v>25</v>
      </c>
      <c r="S372" t="s">
        <v>412</v>
      </c>
      <c r="T372" t="s">
        <v>60</v>
      </c>
      <c r="U372">
        <v>98</v>
      </c>
      <c r="V372">
        <v>4.3</v>
      </c>
      <c r="W372" t="s">
        <v>47</v>
      </c>
      <c r="X372" t="s">
        <v>29</v>
      </c>
    </row>
    <row r="373" spans="1:24" x14ac:dyDescent="0.3">
      <c r="A373" t="s">
        <v>1651</v>
      </c>
      <c r="B373" t="s">
        <v>92</v>
      </c>
      <c r="C373" t="s">
        <v>93</v>
      </c>
      <c r="D373" t="str">
        <f t="shared" si="15"/>
        <v>Morning</v>
      </c>
      <c r="E373">
        <f>HOUR(EV_Data[[#This Row],[Charging Start Time]])</f>
        <v>11</v>
      </c>
      <c r="F373" s="1">
        <v>44942.458333333336</v>
      </c>
      <c r="G373" s="1">
        <v>44942.477083333331</v>
      </c>
      <c r="H373">
        <v>27</v>
      </c>
      <c r="I373">
        <v>48.81</v>
      </c>
      <c r="J373" t="str">
        <f t="shared" si="16"/>
        <v>Medium</v>
      </c>
      <c r="K373" t="s">
        <v>22</v>
      </c>
      <c r="L373">
        <v>13</v>
      </c>
      <c r="M373">
        <v>37</v>
      </c>
      <c r="N373" t="str">
        <f t="shared" si="17"/>
        <v>High Cost</v>
      </c>
      <c r="O373">
        <v>20.21</v>
      </c>
      <c r="P373" t="s">
        <v>64</v>
      </c>
      <c r="Q373" t="s">
        <v>58</v>
      </c>
      <c r="R373" t="s">
        <v>25</v>
      </c>
      <c r="S373" t="s">
        <v>413</v>
      </c>
      <c r="T373" t="s">
        <v>37</v>
      </c>
      <c r="U373">
        <v>89</v>
      </c>
      <c r="V373">
        <v>3.1</v>
      </c>
      <c r="W373" t="s">
        <v>38</v>
      </c>
    </row>
    <row r="374" spans="1:24" x14ac:dyDescent="0.3">
      <c r="A374" t="s">
        <v>1652</v>
      </c>
      <c r="B374" t="s">
        <v>20</v>
      </c>
      <c r="C374" t="s">
        <v>21</v>
      </c>
      <c r="D374" t="str">
        <f t="shared" si="15"/>
        <v>Afternoon</v>
      </c>
      <c r="E374">
        <f>HOUR(EV_Data[[#This Row],[Charging Start Time]])</f>
        <v>12</v>
      </c>
      <c r="F374" s="1">
        <v>44942.5</v>
      </c>
      <c r="G374" s="1">
        <v>44942.524305555547</v>
      </c>
      <c r="H374">
        <v>35</v>
      </c>
      <c r="I374">
        <v>40.299999999999997</v>
      </c>
      <c r="J374" t="str">
        <f t="shared" si="16"/>
        <v>Medium</v>
      </c>
      <c r="K374" t="s">
        <v>32</v>
      </c>
      <c r="L374">
        <v>76</v>
      </c>
      <c r="M374">
        <v>100</v>
      </c>
      <c r="N374" t="str">
        <f t="shared" si="17"/>
        <v>Medium Cost</v>
      </c>
      <c r="O374">
        <v>13.66</v>
      </c>
      <c r="P374" t="s">
        <v>64</v>
      </c>
      <c r="Q374" t="s">
        <v>24</v>
      </c>
      <c r="R374" t="s">
        <v>44</v>
      </c>
      <c r="S374" t="s">
        <v>414</v>
      </c>
      <c r="T374" t="s">
        <v>46</v>
      </c>
      <c r="U374">
        <v>13</v>
      </c>
      <c r="V374">
        <v>3.7</v>
      </c>
      <c r="W374" t="s">
        <v>28</v>
      </c>
      <c r="X374" t="s">
        <v>68</v>
      </c>
    </row>
    <row r="375" spans="1:24" x14ac:dyDescent="0.3">
      <c r="A375" t="s">
        <v>1653</v>
      </c>
      <c r="B375" t="s">
        <v>20</v>
      </c>
      <c r="C375" t="s">
        <v>21</v>
      </c>
      <c r="D375" t="str">
        <f t="shared" si="15"/>
        <v>Afternoon</v>
      </c>
      <c r="E375">
        <f>HOUR(EV_Data[[#This Row],[Charging Start Time]])</f>
        <v>13</v>
      </c>
      <c r="F375" s="1">
        <v>44942.541666666664</v>
      </c>
      <c r="G375" s="1">
        <v>44942.595833333333</v>
      </c>
      <c r="H375">
        <v>78</v>
      </c>
      <c r="I375">
        <v>12.54</v>
      </c>
      <c r="J375" t="str">
        <f t="shared" si="16"/>
        <v>Low</v>
      </c>
      <c r="K375" t="s">
        <v>22</v>
      </c>
      <c r="L375">
        <v>39</v>
      </c>
      <c r="M375">
        <v>66</v>
      </c>
      <c r="N375" t="str">
        <f t="shared" si="17"/>
        <v>Low Cost</v>
      </c>
      <c r="O375">
        <v>3.19</v>
      </c>
      <c r="P375" t="s">
        <v>43</v>
      </c>
      <c r="Q375" t="s">
        <v>48</v>
      </c>
      <c r="R375" t="s">
        <v>25</v>
      </c>
      <c r="S375" t="s">
        <v>415</v>
      </c>
      <c r="T375" t="s">
        <v>60</v>
      </c>
      <c r="U375">
        <v>13</v>
      </c>
      <c r="V375">
        <v>3.6</v>
      </c>
      <c r="W375" t="s">
        <v>28</v>
      </c>
      <c r="X375" t="s">
        <v>68</v>
      </c>
    </row>
    <row r="376" spans="1:24" x14ac:dyDescent="0.3">
      <c r="A376" t="s">
        <v>1654</v>
      </c>
      <c r="B376" t="s">
        <v>20</v>
      </c>
      <c r="C376" t="s">
        <v>21</v>
      </c>
      <c r="D376" t="str">
        <f t="shared" si="15"/>
        <v>Afternoon</v>
      </c>
      <c r="E376">
        <f>HOUR(EV_Data[[#This Row],[Charging Start Time]])</f>
        <v>14</v>
      </c>
      <c r="F376" s="1">
        <v>44942.583333333336</v>
      </c>
      <c r="G376" s="1">
        <v>44942.62777777778</v>
      </c>
      <c r="H376">
        <v>64</v>
      </c>
      <c r="I376">
        <v>17.579999999999998</v>
      </c>
      <c r="J376" t="str">
        <f t="shared" si="16"/>
        <v>Low</v>
      </c>
      <c r="K376" t="s">
        <v>32</v>
      </c>
      <c r="L376">
        <v>36</v>
      </c>
      <c r="M376">
        <v>72</v>
      </c>
      <c r="N376" t="str">
        <f t="shared" si="17"/>
        <v>Low Cost</v>
      </c>
      <c r="O376">
        <v>5.45</v>
      </c>
      <c r="P376" t="s">
        <v>51</v>
      </c>
      <c r="Q376" t="s">
        <v>34</v>
      </c>
      <c r="R376" t="s">
        <v>35</v>
      </c>
      <c r="S376" t="s">
        <v>282</v>
      </c>
      <c r="T376" t="s">
        <v>27</v>
      </c>
      <c r="U376">
        <v>41</v>
      </c>
      <c r="V376">
        <v>2.1</v>
      </c>
      <c r="W376" t="s">
        <v>47</v>
      </c>
      <c r="X376" t="s">
        <v>29</v>
      </c>
    </row>
    <row r="377" spans="1:24" x14ac:dyDescent="0.3">
      <c r="A377" t="s">
        <v>1655</v>
      </c>
      <c r="B377" t="s">
        <v>40</v>
      </c>
      <c r="C377" t="s">
        <v>41</v>
      </c>
      <c r="D377" t="str">
        <f t="shared" si="15"/>
        <v>Afternoon</v>
      </c>
      <c r="E377">
        <f>HOUR(EV_Data[[#This Row],[Charging Start Time]])</f>
        <v>15</v>
      </c>
      <c r="F377" s="1">
        <v>44942.625</v>
      </c>
      <c r="G377" s="1">
        <v>44942.665277777778</v>
      </c>
      <c r="H377">
        <v>58</v>
      </c>
      <c r="I377">
        <v>46.04</v>
      </c>
      <c r="J377" t="str">
        <f t="shared" si="16"/>
        <v>Medium</v>
      </c>
      <c r="K377" t="s">
        <v>55</v>
      </c>
      <c r="L377">
        <v>65</v>
      </c>
      <c r="M377">
        <v>95</v>
      </c>
      <c r="N377" t="str">
        <f t="shared" si="17"/>
        <v>High Cost</v>
      </c>
      <c r="O377">
        <v>19.23</v>
      </c>
      <c r="P377" t="s">
        <v>43</v>
      </c>
      <c r="Q377" t="s">
        <v>58</v>
      </c>
      <c r="R377" t="s">
        <v>35</v>
      </c>
      <c r="S377" t="s">
        <v>416</v>
      </c>
      <c r="T377" t="s">
        <v>46</v>
      </c>
      <c r="U377">
        <v>30</v>
      </c>
      <c r="V377">
        <v>1</v>
      </c>
      <c r="W377" t="s">
        <v>38</v>
      </c>
      <c r="X377" t="s">
        <v>62</v>
      </c>
    </row>
    <row r="378" spans="1:24" x14ac:dyDescent="0.3">
      <c r="A378" t="s">
        <v>1656</v>
      </c>
      <c r="B378" t="s">
        <v>20</v>
      </c>
      <c r="C378" t="s">
        <v>21</v>
      </c>
      <c r="D378" t="str">
        <f t="shared" si="15"/>
        <v>Afternoon</v>
      </c>
      <c r="E378">
        <f>HOUR(EV_Data[[#This Row],[Charging Start Time]])</f>
        <v>16</v>
      </c>
      <c r="F378" s="1">
        <v>44942.666666666664</v>
      </c>
      <c r="G378" s="1">
        <v>44942.6875</v>
      </c>
      <c r="H378">
        <v>30</v>
      </c>
      <c r="I378">
        <v>47.77</v>
      </c>
      <c r="J378" t="str">
        <f t="shared" si="16"/>
        <v>Medium</v>
      </c>
      <c r="K378" t="s">
        <v>32</v>
      </c>
      <c r="L378">
        <v>36</v>
      </c>
      <c r="M378">
        <v>60</v>
      </c>
      <c r="N378" t="str">
        <f t="shared" si="17"/>
        <v>High Cost</v>
      </c>
      <c r="O378">
        <v>19.739999999999998</v>
      </c>
      <c r="P378" t="s">
        <v>43</v>
      </c>
      <c r="Q378" t="s">
        <v>48</v>
      </c>
      <c r="R378" t="s">
        <v>56</v>
      </c>
      <c r="S378" t="s">
        <v>201</v>
      </c>
      <c r="T378" t="s">
        <v>37</v>
      </c>
      <c r="U378">
        <v>48</v>
      </c>
      <c r="V378">
        <v>1.9</v>
      </c>
      <c r="W378" t="s">
        <v>28</v>
      </c>
      <c r="X378" t="s">
        <v>68</v>
      </c>
    </row>
    <row r="379" spans="1:24" x14ac:dyDescent="0.3">
      <c r="A379" t="s">
        <v>1657</v>
      </c>
      <c r="B379" t="s">
        <v>53</v>
      </c>
      <c r="C379" t="s">
        <v>54</v>
      </c>
      <c r="D379" t="str">
        <f t="shared" si="15"/>
        <v>Evening</v>
      </c>
      <c r="E379">
        <f>HOUR(EV_Data[[#This Row],[Charging Start Time]])</f>
        <v>17</v>
      </c>
      <c r="F379" s="1">
        <v>44942.708333333336</v>
      </c>
      <c r="G379" s="1">
        <v>44942.756944444453</v>
      </c>
      <c r="H379">
        <v>70</v>
      </c>
      <c r="I379">
        <v>10.95</v>
      </c>
      <c r="J379" t="str">
        <f t="shared" si="16"/>
        <v>Low</v>
      </c>
      <c r="K379" t="s">
        <v>55</v>
      </c>
      <c r="L379">
        <v>58</v>
      </c>
      <c r="M379">
        <v>94</v>
      </c>
      <c r="N379" t="str">
        <f t="shared" si="17"/>
        <v>Low Cost</v>
      </c>
      <c r="O379">
        <v>5.0999999999999996</v>
      </c>
      <c r="P379" t="s">
        <v>23</v>
      </c>
      <c r="Q379" t="s">
        <v>24</v>
      </c>
      <c r="R379" t="s">
        <v>56</v>
      </c>
      <c r="S379" t="s">
        <v>417</v>
      </c>
      <c r="T379" t="s">
        <v>60</v>
      </c>
      <c r="U379">
        <v>0</v>
      </c>
      <c r="V379">
        <v>3.7</v>
      </c>
      <c r="W379" t="s">
        <v>38</v>
      </c>
      <c r="X379" t="s">
        <v>39</v>
      </c>
    </row>
    <row r="380" spans="1:24" x14ac:dyDescent="0.3">
      <c r="A380" t="s">
        <v>1658</v>
      </c>
      <c r="B380" t="s">
        <v>40</v>
      </c>
      <c r="C380" t="s">
        <v>41</v>
      </c>
      <c r="D380" t="str">
        <f t="shared" si="15"/>
        <v>Evening</v>
      </c>
      <c r="E380">
        <f>HOUR(EV_Data[[#This Row],[Charging Start Time]])</f>
        <v>18</v>
      </c>
      <c r="F380" s="1">
        <v>44942.75</v>
      </c>
      <c r="G380" s="1">
        <v>44942.750694444447</v>
      </c>
      <c r="H380">
        <v>1</v>
      </c>
      <c r="I380">
        <v>5.43</v>
      </c>
      <c r="J380" t="str">
        <f t="shared" si="16"/>
        <v>Low</v>
      </c>
      <c r="K380" t="s">
        <v>50</v>
      </c>
      <c r="L380">
        <v>10</v>
      </c>
      <c r="M380">
        <v>27</v>
      </c>
      <c r="N380" t="str">
        <f t="shared" si="17"/>
        <v>Low Cost</v>
      </c>
      <c r="O380">
        <v>2.37</v>
      </c>
      <c r="P380" t="s">
        <v>64</v>
      </c>
      <c r="Q380" t="s">
        <v>34</v>
      </c>
      <c r="R380" t="s">
        <v>35</v>
      </c>
      <c r="S380" t="s">
        <v>418</v>
      </c>
      <c r="T380" t="s">
        <v>60</v>
      </c>
      <c r="U380">
        <v>93</v>
      </c>
      <c r="V380">
        <v>2.4</v>
      </c>
      <c r="W380" t="s">
        <v>28</v>
      </c>
      <c r="X380" t="s">
        <v>68</v>
      </c>
    </row>
    <row r="381" spans="1:24" x14ac:dyDescent="0.3">
      <c r="A381" t="s">
        <v>1659</v>
      </c>
      <c r="B381" t="s">
        <v>20</v>
      </c>
      <c r="C381" t="s">
        <v>21</v>
      </c>
      <c r="D381" t="str">
        <f t="shared" si="15"/>
        <v>Evening</v>
      </c>
      <c r="E381">
        <f>HOUR(EV_Data[[#This Row],[Charging Start Time]])</f>
        <v>19</v>
      </c>
      <c r="F381" s="1">
        <v>44942.791666666664</v>
      </c>
      <c r="G381" s="1">
        <v>44942.822916666657</v>
      </c>
      <c r="H381">
        <v>45</v>
      </c>
      <c r="I381">
        <v>37.64</v>
      </c>
      <c r="J381" t="str">
        <f t="shared" si="16"/>
        <v>Medium</v>
      </c>
      <c r="K381" t="s">
        <v>69</v>
      </c>
      <c r="L381">
        <v>26</v>
      </c>
      <c r="M381">
        <v>43</v>
      </c>
      <c r="N381" t="str">
        <f t="shared" si="17"/>
        <v>Medium Cost</v>
      </c>
      <c r="O381">
        <v>8.34</v>
      </c>
      <c r="P381" t="s">
        <v>51</v>
      </c>
      <c r="Q381" t="s">
        <v>34</v>
      </c>
      <c r="R381" t="s">
        <v>56</v>
      </c>
      <c r="S381" t="s">
        <v>419</v>
      </c>
      <c r="T381" t="s">
        <v>37</v>
      </c>
      <c r="U381">
        <v>27</v>
      </c>
      <c r="V381">
        <v>2</v>
      </c>
      <c r="W381" t="s">
        <v>38</v>
      </c>
      <c r="X381" t="s">
        <v>39</v>
      </c>
    </row>
    <row r="382" spans="1:24" x14ac:dyDescent="0.3">
      <c r="A382" t="s">
        <v>1660</v>
      </c>
      <c r="B382" t="s">
        <v>126</v>
      </c>
      <c r="C382" t="s">
        <v>31</v>
      </c>
      <c r="D382" t="str">
        <f t="shared" si="15"/>
        <v>Evening</v>
      </c>
      <c r="E382">
        <f>HOUR(EV_Data[[#This Row],[Charging Start Time]])</f>
        <v>20</v>
      </c>
      <c r="F382" s="1">
        <v>44942.833333333336</v>
      </c>
      <c r="G382" s="1">
        <v>44942.898611111108</v>
      </c>
      <c r="H382">
        <v>94</v>
      </c>
      <c r="I382">
        <v>37.25</v>
      </c>
      <c r="J382" t="str">
        <f t="shared" si="16"/>
        <v>Medium</v>
      </c>
      <c r="K382" t="s">
        <v>50</v>
      </c>
      <c r="L382">
        <v>33</v>
      </c>
      <c r="M382">
        <v>49</v>
      </c>
      <c r="N382" t="str">
        <f t="shared" si="17"/>
        <v>Medium Cost</v>
      </c>
      <c r="O382">
        <v>10.86</v>
      </c>
      <c r="P382" t="s">
        <v>23</v>
      </c>
      <c r="Q382" t="s">
        <v>24</v>
      </c>
      <c r="R382" t="s">
        <v>56</v>
      </c>
      <c r="S382" t="s">
        <v>420</v>
      </c>
      <c r="T382" t="s">
        <v>46</v>
      </c>
      <c r="U382">
        <v>3</v>
      </c>
      <c r="V382">
        <v>1.4</v>
      </c>
      <c r="W382" t="s">
        <v>47</v>
      </c>
      <c r="X382" t="s">
        <v>29</v>
      </c>
    </row>
    <row r="383" spans="1:24" x14ac:dyDescent="0.3">
      <c r="A383" t="s">
        <v>1661</v>
      </c>
      <c r="B383" t="s">
        <v>30</v>
      </c>
      <c r="C383" t="s">
        <v>102</v>
      </c>
      <c r="D383" t="str">
        <f t="shared" si="15"/>
        <v>Evening</v>
      </c>
      <c r="E383">
        <f>HOUR(EV_Data[[#This Row],[Charging Start Time]])</f>
        <v>21</v>
      </c>
      <c r="F383" s="1">
        <v>44942.875</v>
      </c>
      <c r="G383" s="1">
        <v>44942.924305555563</v>
      </c>
      <c r="H383">
        <v>71</v>
      </c>
      <c r="I383">
        <v>32.44</v>
      </c>
      <c r="J383" t="str">
        <f t="shared" si="16"/>
        <v>Medium</v>
      </c>
      <c r="K383" t="s">
        <v>22</v>
      </c>
      <c r="L383">
        <v>12</v>
      </c>
      <c r="M383">
        <v>27</v>
      </c>
      <c r="N383" t="str">
        <f t="shared" si="17"/>
        <v>Medium Cost</v>
      </c>
      <c r="O383">
        <v>14.04</v>
      </c>
      <c r="P383" t="s">
        <v>64</v>
      </c>
      <c r="Q383" t="s">
        <v>34</v>
      </c>
      <c r="R383" t="s">
        <v>56</v>
      </c>
      <c r="S383" t="s">
        <v>421</v>
      </c>
      <c r="T383" t="s">
        <v>60</v>
      </c>
      <c r="U383">
        <v>72</v>
      </c>
      <c r="V383">
        <v>1.7</v>
      </c>
      <c r="W383" t="s">
        <v>28</v>
      </c>
      <c r="X383" t="s">
        <v>68</v>
      </c>
    </row>
    <row r="384" spans="1:24" x14ac:dyDescent="0.3">
      <c r="A384" t="s">
        <v>1662</v>
      </c>
      <c r="B384" t="s">
        <v>30</v>
      </c>
      <c r="C384" t="s">
        <v>102</v>
      </c>
      <c r="D384" t="str">
        <f t="shared" si="15"/>
        <v>Evening</v>
      </c>
      <c r="E384">
        <f>HOUR(EV_Data[[#This Row],[Charging Start Time]])</f>
        <v>22</v>
      </c>
      <c r="F384" s="1">
        <v>44942.916666666664</v>
      </c>
      <c r="G384" s="1">
        <v>44942.997916666667</v>
      </c>
      <c r="H384">
        <v>117</v>
      </c>
      <c r="I384">
        <v>41.72</v>
      </c>
      <c r="J384" t="str">
        <f t="shared" si="16"/>
        <v>Medium</v>
      </c>
      <c r="K384" t="s">
        <v>50</v>
      </c>
      <c r="L384">
        <v>51</v>
      </c>
      <c r="M384">
        <v>77</v>
      </c>
      <c r="N384" t="str">
        <f t="shared" si="17"/>
        <v>Medium Cost</v>
      </c>
      <c r="O384">
        <v>10.53</v>
      </c>
      <c r="P384" t="s">
        <v>23</v>
      </c>
      <c r="Q384" t="s">
        <v>34</v>
      </c>
      <c r="R384" t="s">
        <v>35</v>
      </c>
      <c r="S384" t="s">
        <v>170</v>
      </c>
      <c r="T384" t="s">
        <v>27</v>
      </c>
      <c r="U384">
        <v>46</v>
      </c>
      <c r="V384">
        <v>3.9</v>
      </c>
      <c r="W384" t="s">
        <v>38</v>
      </c>
      <c r="X384" t="s">
        <v>62</v>
      </c>
    </row>
    <row r="385" spans="1:24" x14ac:dyDescent="0.3">
      <c r="A385" t="s">
        <v>1663</v>
      </c>
      <c r="B385" t="s">
        <v>40</v>
      </c>
      <c r="C385" t="s">
        <v>41</v>
      </c>
      <c r="D385" t="str">
        <f t="shared" si="15"/>
        <v>Evening</v>
      </c>
      <c r="E385">
        <f>HOUR(EV_Data[[#This Row],[Charging Start Time]])</f>
        <v>23</v>
      </c>
      <c r="F385" s="1">
        <v>44942.958333333336</v>
      </c>
      <c r="G385" s="1">
        <v>44942.988194444442</v>
      </c>
      <c r="H385">
        <v>43</v>
      </c>
      <c r="I385">
        <v>10.29</v>
      </c>
      <c r="J385" t="str">
        <f t="shared" si="16"/>
        <v>Low</v>
      </c>
      <c r="K385" t="s">
        <v>69</v>
      </c>
      <c r="L385">
        <v>17</v>
      </c>
      <c r="M385">
        <v>46</v>
      </c>
      <c r="N385" t="str">
        <f t="shared" si="17"/>
        <v>Low Cost</v>
      </c>
      <c r="O385">
        <v>4.95</v>
      </c>
      <c r="P385" t="s">
        <v>23</v>
      </c>
      <c r="Q385" t="s">
        <v>58</v>
      </c>
      <c r="R385" t="s">
        <v>56</v>
      </c>
      <c r="S385" t="s">
        <v>201</v>
      </c>
      <c r="T385" t="s">
        <v>37</v>
      </c>
      <c r="U385">
        <v>53</v>
      </c>
      <c r="V385">
        <v>3.1</v>
      </c>
      <c r="W385" t="s">
        <v>28</v>
      </c>
      <c r="X385" t="s">
        <v>68</v>
      </c>
    </row>
    <row r="386" spans="1:24" x14ac:dyDescent="0.3">
      <c r="A386" t="s">
        <v>1664</v>
      </c>
      <c r="B386" t="s">
        <v>77</v>
      </c>
      <c r="C386" t="s">
        <v>78</v>
      </c>
      <c r="D386" t="str">
        <f t="shared" ref="D386:D449" si="18">IF(E386&lt;12,"Morning",IF(E386&lt;17,"Afternoon","Evening"))</f>
        <v>Morning</v>
      </c>
      <c r="E386">
        <f>HOUR(EV_Data[[#This Row],[Charging Start Time]])</f>
        <v>0</v>
      </c>
      <c r="F386" s="1">
        <v>44943</v>
      </c>
      <c r="G386" s="1">
        <v>44943.034722222219</v>
      </c>
      <c r="H386">
        <v>50</v>
      </c>
      <c r="I386">
        <v>15.47</v>
      </c>
      <c r="J386" t="str">
        <f t="shared" ref="J386:J449" si="19">IF(I386&lt;20,"Low",IF(I386&lt;50,"Medium","High"))</f>
        <v>Low</v>
      </c>
      <c r="K386" t="s">
        <v>69</v>
      </c>
      <c r="L386">
        <v>66</v>
      </c>
      <c r="M386">
        <v>100</v>
      </c>
      <c r="N386" t="str">
        <f t="shared" ref="N386:N449" si="20">IF(O386&lt;8,"Low Cost",IF(O386&lt;17,"Medium Cost","High Cost"))</f>
        <v>Low Cost</v>
      </c>
      <c r="O386">
        <v>5.79</v>
      </c>
      <c r="P386" t="s">
        <v>43</v>
      </c>
      <c r="Q386" t="s">
        <v>34</v>
      </c>
      <c r="R386" t="s">
        <v>25</v>
      </c>
      <c r="S386" t="s">
        <v>422</v>
      </c>
      <c r="T386" t="s">
        <v>27</v>
      </c>
      <c r="U386">
        <v>46</v>
      </c>
      <c r="V386">
        <v>1.6</v>
      </c>
      <c r="W386" t="s">
        <v>28</v>
      </c>
      <c r="X386" t="s">
        <v>68</v>
      </c>
    </row>
    <row r="387" spans="1:24" x14ac:dyDescent="0.3">
      <c r="A387" t="s">
        <v>1665</v>
      </c>
      <c r="B387" t="s">
        <v>20</v>
      </c>
      <c r="C387" t="s">
        <v>21</v>
      </c>
      <c r="D387" t="str">
        <f t="shared" si="18"/>
        <v>Morning</v>
      </c>
      <c r="E387">
        <f>HOUR(EV_Data[[#This Row],[Charging Start Time]])</f>
        <v>1</v>
      </c>
      <c r="F387" s="1">
        <v>44943.041666666664</v>
      </c>
      <c r="G387" s="1">
        <v>44943.109722222223</v>
      </c>
      <c r="H387">
        <v>98</v>
      </c>
      <c r="I387">
        <v>10.77</v>
      </c>
      <c r="J387" t="str">
        <f t="shared" si="19"/>
        <v>Low</v>
      </c>
      <c r="K387" t="s">
        <v>55</v>
      </c>
      <c r="L387">
        <v>60</v>
      </c>
      <c r="M387">
        <v>94</v>
      </c>
      <c r="N387" t="str">
        <f t="shared" si="20"/>
        <v>Low Cost</v>
      </c>
      <c r="O387">
        <v>3.24</v>
      </c>
      <c r="P387" t="s">
        <v>43</v>
      </c>
      <c r="Q387" t="s">
        <v>24</v>
      </c>
      <c r="R387" t="s">
        <v>56</v>
      </c>
      <c r="S387" t="s">
        <v>423</v>
      </c>
      <c r="T387" t="s">
        <v>37</v>
      </c>
      <c r="U387">
        <v>74</v>
      </c>
      <c r="V387">
        <v>2.9</v>
      </c>
      <c r="W387" t="s">
        <v>47</v>
      </c>
      <c r="X387" t="s">
        <v>29</v>
      </c>
    </row>
    <row r="388" spans="1:24" x14ac:dyDescent="0.3">
      <c r="A388" t="s">
        <v>1666</v>
      </c>
      <c r="B388" t="s">
        <v>71</v>
      </c>
      <c r="C388" t="s">
        <v>72</v>
      </c>
      <c r="D388" t="str">
        <f t="shared" si="18"/>
        <v>Morning</v>
      </c>
      <c r="E388">
        <f>HOUR(EV_Data[[#This Row],[Charging Start Time]])</f>
        <v>2</v>
      </c>
      <c r="F388" s="1">
        <v>44943.083333333336</v>
      </c>
      <c r="G388" s="1">
        <v>44943.113194444442</v>
      </c>
      <c r="H388">
        <v>43</v>
      </c>
      <c r="I388">
        <v>40.659999999999997</v>
      </c>
      <c r="J388" t="str">
        <f t="shared" si="19"/>
        <v>Medium</v>
      </c>
      <c r="K388" t="s">
        <v>32</v>
      </c>
      <c r="L388">
        <v>57</v>
      </c>
      <c r="M388">
        <v>78</v>
      </c>
      <c r="N388" t="str">
        <f t="shared" si="20"/>
        <v>Medium Cost</v>
      </c>
      <c r="O388">
        <v>8.7799999999999994</v>
      </c>
      <c r="P388" t="s">
        <v>51</v>
      </c>
      <c r="Q388" t="s">
        <v>24</v>
      </c>
      <c r="R388" t="s">
        <v>44</v>
      </c>
      <c r="S388" t="s">
        <v>424</v>
      </c>
      <c r="T388" t="s">
        <v>37</v>
      </c>
      <c r="U388">
        <v>29</v>
      </c>
      <c r="V388">
        <v>3.6</v>
      </c>
      <c r="W388" t="s">
        <v>38</v>
      </c>
      <c r="X388" t="s">
        <v>85</v>
      </c>
    </row>
    <row r="389" spans="1:24" x14ac:dyDescent="0.3">
      <c r="A389" t="s">
        <v>1667</v>
      </c>
      <c r="B389" t="s">
        <v>126</v>
      </c>
      <c r="C389" t="s">
        <v>31</v>
      </c>
      <c r="D389" t="str">
        <f t="shared" si="18"/>
        <v>Morning</v>
      </c>
      <c r="E389">
        <f>HOUR(EV_Data[[#This Row],[Charging Start Time]])</f>
        <v>3</v>
      </c>
      <c r="F389" s="1">
        <v>44943.125</v>
      </c>
      <c r="G389" s="1">
        <v>44943.193055555559</v>
      </c>
      <c r="H389">
        <v>98</v>
      </c>
      <c r="I389">
        <v>48.85</v>
      </c>
      <c r="J389" t="str">
        <f t="shared" si="19"/>
        <v>Medium</v>
      </c>
      <c r="K389" t="s">
        <v>42</v>
      </c>
      <c r="L389">
        <v>35</v>
      </c>
      <c r="M389">
        <v>50</v>
      </c>
      <c r="N389" t="str">
        <f t="shared" si="20"/>
        <v>Medium Cost</v>
      </c>
      <c r="O389">
        <v>11.17</v>
      </c>
      <c r="P389" t="s">
        <v>23</v>
      </c>
      <c r="Q389" t="s">
        <v>58</v>
      </c>
      <c r="R389" t="s">
        <v>35</v>
      </c>
      <c r="S389" t="s">
        <v>425</v>
      </c>
      <c r="T389" t="s">
        <v>27</v>
      </c>
      <c r="U389">
        <v>3</v>
      </c>
      <c r="V389">
        <v>1.3</v>
      </c>
      <c r="W389" t="s">
        <v>47</v>
      </c>
      <c r="X389" t="s">
        <v>29</v>
      </c>
    </row>
    <row r="390" spans="1:24" x14ac:dyDescent="0.3">
      <c r="A390" t="s">
        <v>1668</v>
      </c>
      <c r="B390" t="s">
        <v>53</v>
      </c>
      <c r="C390" t="s">
        <v>54</v>
      </c>
      <c r="D390" t="str">
        <f t="shared" si="18"/>
        <v>Morning</v>
      </c>
      <c r="E390">
        <f>HOUR(EV_Data[[#This Row],[Charging Start Time]])</f>
        <v>4</v>
      </c>
      <c r="F390" s="1">
        <v>44943.166666666664</v>
      </c>
      <c r="G390" s="1">
        <v>44943.209722222222</v>
      </c>
      <c r="H390">
        <v>62</v>
      </c>
      <c r="I390">
        <v>41.24</v>
      </c>
      <c r="J390" t="str">
        <f t="shared" si="19"/>
        <v>Medium</v>
      </c>
      <c r="K390" t="s">
        <v>55</v>
      </c>
      <c r="L390">
        <v>76</v>
      </c>
      <c r="M390">
        <v>88</v>
      </c>
      <c r="N390" t="str">
        <f t="shared" si="20"/>
        <v>Medium Cost</v>
      </c>
      <c r="O390">
        <v>15.02</v>
      </c>
      <c r="P390" t="s">
        <v>33</v>
      </c>
      <c r="Q390" t="s">
        <v>48</v>
      </c>
      <c r="R390" t="s">
        <v>35</v>
      </c>
      <c r="S390" t="s">
        <v>190</v>
      </c>
      <c r="T390" t="s">
        <v>60</v>
      </c>
      <c r="U390">
        <v>90</v>
      </c>
      <c r="V390">
        <v>3.3</v>
      </c>
      <c r="W390" t="s">
        <v>38</v>
      </c>
    </row>
    <row r="391" spans="1:24" x14ac:dyDescent="0.3">
      <c r="A391" t="s">
        <v>1669</v>
      </c>
      <c r="B391" t="s">
        <v>71</v>
      </c>
      <c r="C391" t="s">
        <v>72</v>
      </c>
      <c r="D391" t="str">
        <f t="shared" si="18"/>
        <v>Morning</v>
      </c>
      <c r="E391">
        <f>HOUR(EV_Data[[#This Row],[Charging Start Time]])</f>
        <v>5</v>
      </c>
      <c r="F391" s="1">
        <v>44943.208333333336</v>
      </c>
      <c r="G391" s="1">
        <v>44943.256249999999</v>
      </c>
      <c r="H391">
        <v>69</v>
      </c>
      <c r="I391">
        <v>7.22</v>
      </c>
      <c r="J391" t="str">
        <f t="shared" si="19"/>
        <v>Low</v>
      </c>
      <c r="K391" t="s">
        <v>32</v>
      </c>
      <c r="L391">
        <v>72</v>
      </c>
      <c r="M391">
        <v>89</v>
      </c>
      <c r="N391" t="str">
        <f t="shared" si="20"/>
        <v>Low Cost</v>
      </c>
      <c r="O391">
        <v>1.95</v>
      </c>
      <c r="P391" t="s">
        <v>23</v>
      </c>
      <c r="Q391" t="s">
        <v>34</v>
      </c>
      <c r="R391" t="s">
        <v>25</v>
      </c>
      <c r="S391" t="s">
        <v>426</v>
      </c>
      <c r="T391" t="s">
        <v>37</v>
      </c>
      <c r="U391">
        <v>36</v>
      </c>
      <c r="V391">
        <v>4.0999999999999996</v>
      </c>
      <c r="W391" t="s">
        <v>28</v>
      </c>
      <c r="X391" t="s">
        <v>68</v>
      </c>
    </row>
    <row r="392" spans="1:24" x14ac:dyDescent="0.3">
      <c r="A392" t="s">
        <v>1670</v>
      </c>
      <c r="B392" t="s">
        <v>20</v>
      </c>
      <c r="C392" t="s">
        <v>21</v>
      </c>
      <c r="D392" t="str">
        <f t="shared" si="18"/>
        <v>Morning</v>
      </c>
      <c r="E392">
        <f>HOUR(EV_Data[[#This Row],[Charging Start Time]])</f>
        <v>6</v>
      </c>
      <c r="F392" s="1">
        <v>44943.25</v>
      </c>
      <c r="G392" s="1">
        <v>44943.254861111112</v>
      </c>
      <c r="H392">
        <v>7</v>
      </c>
      <c r="I392">
        <v>14.6</v>
      </c>
      <c r="J392" t="str">
        <f t="shared" si="19"/>
        <v>Low</v>
      </c>
      <c r="K392" t="s">
        <v>69</v>
      </c>
      <c r="L392">
        <v>60</v>
      </c>
      <c r="M392">
        <v>77</v>
      </c>
      <c r="N392" t="str">
        <f t="shared" si="20"/>
        <v>Low Cost</v>
      </c>
      <c r="O392">
        <v>3.88</v>
      </c>
      <c r="P392" t="s">
        <v>33</v>
      </c>
      <c r="Q392" t="s">
        <v>48</v>
      </c>
      <c r="R392" t="s">
        <v>35</v>
      </c>
      <c r="S392" t="s">
        <v>427</v>
      </c>
      <c r="T392" t="s">
        <v>37</v>
      </c>
      <c r="U392">
        <v>11</v>
      </c>
      <c r="V392">
        <v>2.8</v>
      </c>
      <c r="W392" t="s">
        <v>47</v>
      </c>
      <c r="X392" t="s">
        <v>29</v>
      </c>
    </row>
    <row r="393" spans="1:24" x14ac:dyDescent="0.3">
      <c r="A393" t="s">
        <v>1671</v>
      </c>
      <c r="B393" t="s">
        <v>77</v>
      </c>
      <c r="C393" t="s">
        <v>78</v>
      </c>
      <c r="D393" t="str">
        <f t="shared" si="18"/>
        <v>Morning</v>
      </c>
      <c r="E393">
        <f>HOUR(EV_Data[[#This Row],[Charging Start Time]])</f>
        <v>7</v>
      </c>
      <c r="F393" s="1">
        <v>44943.291666666664</v>
      </c>
      <c r="G393" s="1">
        <v>44943.376388888893</v>
      </c>
      <c r="H393">
        <v>122</v>
      </c>
      <c r="I393">
        <v>18.34</v>
      </c>
      <c r="J393" t="str">
        <f t="shared" si="19"/>
        <v>Low</v>
      </c>
      <c r="K393" t="s">
        <v>50</v>
      </c>
      <c r="L393">
        <v>65</v>
      </c>
      <c r="M393">
        <v>100</v>
      </c>
      <c r="N393" t="str">
        <f t="shared" si="20"/>
        <v>Low Cost</v>
      </c>
      <c r="O393">
        <v>5.44</v>
      </c>
      <c r="P393" t="s">
        <v>51</v>
      </c>
      <c r="Q393" t="s">
        <v>58</v>
      </c>
      <c r="R393" t="s">
        <v>25</v>
      </c>
      <c r="S393" t="s">
        <v>428</v>
      </c>
      <c r="T393" t="s">
        <v>37</v>
      </c>
      <c r="U393">
        <v>51</v>
      </c>
      <c r="V393">
        <v>1.9</v>
      </c>
      <c r="W393" t="s">
        <v>38</v>
      </c>
      <c r="X393" t="s">
        <v>39</v>
      </c>
    </row>
    <row r="394" spans="1:24" x14ac:dyDescent="0.3">
      <c r="A394" t="s">
        <v>1672</v>
      </c>
      <c r="B394" t="s">
        <v>126</v>
      </c>
      <c r="C394" t="s">
        <v>31</v>
      </c>
      <c r="D394" t="str">
        <f t="shared" si="18"/>
        <v>Morning</v>
      </c>
      <c r="E394">
        <f>HOUR(EV_Data[[#This Row],[Charging Start Time]])</f>
        <v>8</v>
      </c>
      <c r="F394" s="1">
        <v>44943.333333333336</v>
      </c>
      <c r="G394" s="1">
        <v>44943.395138888889</v>
      </c>
      <c r="H394">
        <v>89</v>
      </c>
      <c r="I394">
        <v>30.01</v>
      </c>
      <c r="J394" t="str">
        <f t="shared" si="19"/>
        <v>Medium</v>
      </c>
      <c r="K394" t="s">
        <v>42</v>
      </c>
      <c r="L394">
        <v>63</v>
      </c>
      <c r="M394">
        <v>99</v>
      </c>
      <c r="N394" t="str">
        <f t="shared" si="20"/>
        <v>Medium Cost</v>
      </c>
      <c r="O394">
        <v>9.64</v>
      </c>
      <c r="P394" t="s">
        <v>64</v>
      </c>
      <c r="Q394" t="s">
        <v>24</v>
      </c>
      <c r="R394" t="s">
        <v>35</v>
      </c>
      <c r="S394" t="s">
        <v>429</v>
      </c>
      <c r="T394" t="s">
        <v>27</v>
      </c>
      <c r="U394">
        <v>72</v>
      </c>
      <c r="V394">
        <v>4.5999999999999996</v>
      </c>
      <c r="W394" t="s">
        <v>28</v>
      </c>
      <c r="X394" t="s">
        <v>68</v>
      </c>
    </row>
    <row r="395" spans="1:24" x14ac:dyDescent="0.3">
      <c r="A395" t="s">
        <v>1673</v>
      </c>
      <c r="B395" t="s">
        <v>20</v>
      </c>
      <c r="C395" t="s">
        <v>21</v>
      </c>
      <c r="D395" t="str">
        <f t="shared" si="18"/>
        <v>Morning</v>
      </c>
      <c r="E395">
        <f>HOUR(EV_Data[[#This Row],[Charging Start Time]])</f>
        <v>9</v>
      </c>
      <c r="F395" s="1">
        <v>44943.375</v>
      </c>
      <c r="G395" s="1">
        <v>44943.390972222223</v>
      </c>
      <c r="H395">
        <v>23</v>
      </c>
      <c r="I395">
        <v>30.1</v>
      </c>
      <c r="J395" t="str">
        <f t="shared" si="19"/>
        <v>Medium</v>
      </c>
      <c r="K395" t="s">
        <v>32</v>
      </c>
      <c r="L395">
        <v>27</v>
      </c>
      <c r="M395">
        <v>57</v>
      </c>
      <c r="N395" t="str">
        <f t="shared" si="20"/>
        <v>Medium Cost</v>
      </c>
      <c r="O395">
        <v>12.54</v>
      </c>
      <c r="P395" t="s">
        <v>33</v>
      </c>
      <c r="Q395" t="s">
        <v>58</v>
      </c>
      <c r="R395" t="s">
        <v>56</v>
      </c>
      <c r="S395" t="s">
        <v>293</v>
      </c>
      <c r="T395" t="s">
        <v>60</v>
      </c>
      <c r="U395">
        <v>46</v>
      </c>
      <c r="V395">
        <v>1.3</v>
      </c>
      <c r="W395" t="s">
        <v>28</v>
      </c>
      <c r="X395" t="s">
        <v>68</v>
      </c>
    </row>
    <row r="396" spans="1:24" x14ac:dyDescent="0.3">
      <c r="A396" t="s">
        <v>1674</v>
      </c>
      <c r="B396" t="s">
        <v>40</v>
      </c>
      <c r="C396" t="s">
        <v>41</v>
      </c>
      <c r="D396" t="str">
        <f t="shared" si="18"/>
        <v>Morning</v>
      </c>
      <c r="E396">
        <f>HOUR(EV_Data[[#This Row],[Charging Start Time]])</f>
        <v>10</v>
      </c>
      <c r="F396" s="1">
        <v>44943.416666666664</v>
      </c>
      <c r="G396" s="1">
        <v>44943.456250000003</v>
      </c>
      <c r="H396">
        <v>57</v>
      </c>
      <c r="I396">
        <v>45.06</v>
      </c>
      <c r="J396" t="str">
        <f t="shared" si="19"/>
        <v>Medium</v>
      </c>
      <c r="K396" t="s">
        <v>55</v>
      </c>
      <c r="L396">
        <v>77</v>
      </c>
      <c r="M396">
        <v>100</v>
      </c>
      <c r="N396" t="str">
        <f t="shared" si="20"/>
        <v>Medium Cost</v>
      </c>
      <c r="O396">
        <v>14.14</v>
      </c>
      <c r="P396" t="s">
        <v>43</v>
      </c>
      <c r="Q396" t="s">
        <v>48</v>
      </c>
      <c r="R396" t="s">
        <v>35</v>
      </c>
      <c r="S396" t="s">
        <v>430</v>
      </c>
      <c r="T396" t="s">
        <v>37</v>
      </c>
      <c r="U396">
        <v>67</v>
      </c>
      <c r="V396">
        <v>3.9</v>
      </c>
      <c r="W396" t="s">
        <v>28</v>
      </c>
      <c r="X396" t="s">
        <v>68</v>
      </c>
    </row>
    <row r="397" spans="1:24" x14ac:dyDescent="0.3">
      <c r="A397" t="s">
        <v>1675</v>
      </c>
      <c r="B397" t="s">
        <v>71</v>
      </c>
      <c r="C397" t="s">
        <v>72</v>
      </c>
      <c r="D397" t="str">
        <f t="shared" si="18"/>
        <v>Morning</v>
      </c>
      <c r="E397">
        <f>HOUR(EV_Data[[#This Row],[Charging Start Time]])</f>
        <v>11</v>
      </c>
      <c r="F397" s="1">
        <v>44943.458333333336</v>
      </c>
      <c r="G397" s="1">
        <v>44943.489583333343</v>
      </c>
      <c r="H397">
        <v>45</v>
      </c>
      <c r="I397">
        <v>41.03</v>
      </c>
      <c r="J397" t="str">
        <f t="shared" si="19"/>
        <v>Medium</v>
      </c>
      <c r="K397" t="s">
        <v>22</v>
      </c>
      <c r="L397">
        <v>66</v>
      </c>
      <c r="M397">
        <v>96</v>
      </c>
      <c r="N397" t="str">
        <f t="shared" si="20"/>
        <v>Medium Cost</v>
      </c>
      <c r="O397">
        <v>15.85</v>
      </c>
      <c r="P397" t="s">
        <v>43</v>
      </c>
      <c r="Q397" t="s">
        <v>34</v>
      </c>
      <c r="R397" t="s">
        <v>25</v>
      </c>
      <c r="S397" t="s">
        <v>431</v>
      </c>
      <c r="T397" t="s">
        <v>37</v>
      </c>
      <c r="U397">
        <v>31</v>
      </c>
      <c r="V397">
        <v>2.6</v>
      </c>
      <c r="W397" t="s">
        <v>28</v>
      </c>
      <c r="X397" t="s">
        <v>68</v>
      </c>
    </row>
    <row r="398" spans="1:24" x14ac:dyDescent="0.3">
      <c r="A398" t="s">
        <v>1676</v>
      </c>
      <c r="B398" t="s">
        <v>53</v>
      </c>
      <c r="C398" t="s">
        <v>54</v>
      </c>
      <c r="D398" t="str">
        <f t="shared" si="18"/>
        <v>Afternoon</v>
      </c>
      <c r="E398">
        <f>HOUR(EV_Data[[#This Row],[Charging Start Time]])</f>
        <v>12</v>
      </c>
      <c r="F398" s="1">
        <v>44943.5</v>
      </c>
      <c r="G398" s="1">
        <v>44943.500694444447</v>
      </c>
      <c r="H398">
        <v>1</v>
      </c>
      <c r="I398">
        <v>37.85</v>
      </c>
      <c r="J398" t="str">
        <f t="shared" si="19"/>
        <v>Medium</v>
      </c>
      <c r="K398" t="s">
        <v>50</v>
      </c>
      <c r="L398">
        <v>17</v>
      </c>
      <c r="M398">
        <v>28</v>
      </c>
      <c r="N398" t="str">
        <f t="shared" si="20"/>
        <v>High Cost</v>
      </c>
      <c r="O398">
        <v>18.27</v>
      </c>
      <c r="P398" t="s">
        <v>64</v>
      </c>
      <c r="Q398" t="s">
        <v>24</v>
      </c>
      <c r="R398" t="s">
        <v>44</v>
      </c>
      <c r="S398" t="s">
        <v>432</v>
      </c>
      <c r="T398" t="s">
        <v>27</v>
      </c>
      <c r="U398">
        <v>26</v>
      </c>
      <c r="V398">
        <v>3.3</v>
      </c>
      <c r="W398" t="s">
        <v>38</v>
      </c>
      <c r="X398" t="s">
        <v>39</v>
      </c>
    </row>
    <row r="399" spans="1:24" x14ac:dyDescent="0.3">
      <c r="A399" t="s">
        <v>1677</v>
      </c>
      <c r="B399" t="s">
        <v>30</v>
      </c>
      <c r="C399" t="s">
        <v>102</v>
      </c>
      <c r="D399" t="str">
        <f t="shared" si="18"/>
        <v>Afternoon</v>
      </c>
      <c r="E399">
        <f>HOUR(EV_Data[[#This Row],[Charging Start Time]])</f>
        <v>13</v>
      </c>
      <c r="F399" s="1">
        <v>44943.541666666664</v>
      </c>
      <c r="G399" s="1">
        <v>44943.60833333333</v>
      </c>
      <c r="H399">
        <v>96</v>
      </c>
      <c r="I399">
        <v>40.1</v>
      </c>
      <c r="J399" t="str">
        <f t="shared" si="19"/>
        <v>Medium</v>
      </c>
      <c r="K399" t="s">
        <v>32</v>
      </c>
      <c r="L399">
        <v>22</v>
      </c>
      <c r="M399">
        <v>56</v>
      </c>
      <c r="N399" t="str">
        <f t="shared" si="20"/>
        <v>Medium Cost</v>
      </c>
      <c r="O399">
        <v>10.02</v>
      </c>
      <c r="P399" t="s">
        <v>51</v>
      </c>
      <c r="Q399" t="s">
        <v>34</v>
      </c>
      <c r="R399" t="s">
        <v>25</v>
      </c>
      <c r="S399" t="s">
        <v>433</v>
      </c>
      <c r="T399" t="s">
        <v>27</v>
      </c>
      <c r="U399">
        <v>99</v>
      </c>
      <c r="V399">
        <v>1.6</v>
      </c>
      <c r="W399" t="s">
        <v>38</v>
      </c>
      <c r="X399" t="s">
        <v>62</v>
      </c>
    </row>
    <row r="400" spans="1:24" x14ac:dyDescent="0.3">
      <c r="A400" t="s">
        <v>1678</v>
      </c>
      <c r="B400" t="s">
        <v>30</v>
      </c>
      <c r="C400" t="s">
        <v>102</v>
      </c>
      <c r="D400" t="str">
        <f t="shared" si="18"/>
        <v>Afternoon</v>
      </c>
      <c r="E400">
        <f>HOUR(EV_Data[[#This Row],[Charging Start Time]])</f>
        <v>14</v>
      </c>
      <c r="F400" s="1">
        <v>44943.583333333336</v>
      </c>
      <c r="G400" s="1">
        <v>44943.599305555559</v>
      </c>
      <c r="H400">
        <v>23</v>
      </c>
      <c r="I400">
        <v>11.84</v>
      </c>
      <c r="J400" t="str">
        <f t="shared" si="19"/>
        <v>Low</v>
      </c>
      <c r="K400" t="s">
        <v>55</v>
      </c>
      <c r="L400">
        <v>23</v>
      </c>
      <c r="M400">
        <v>35</v>
      </c>
      <c r="N400" t="str">
        <f t="shared" si="20"/>
        <v>Low Cost</v>
      </c>
      <c r="O400">
        <v>2.85</v>
      </c>
      <c r="P400" t="s">
        <v>43</v>
      </c>
      <c r="Q400" t="s">
        <v>24</v>
      </c>
      <c r="R400" t="s">
        <v>44</v>
      </c>
      <c r="S400" t="s">
        <v>434</v>
      </c>
      <c r="T400" t="s">
        <v>46</v>
      </c>
      <c r="U400">
        <v>96</v>
      </c>
      <c r="V400">
        <v>2.1</v>
      </c>
      <c r="W400" t="s">
        <v>28</v>
      </c>
      <c r="X400" t="s">
        <v>68</v>
      </c>
    </row>
    <row r="401" spans="1:24" x14ac:dyDescent="0.3">
      <c r="A401" t="s">
        <v>1679</v>
      </c>
      <c r="B401" t="s">
        <v>77</v>
      </c>
      <c r="C401" t="s">
        <v>78</v>
      </c>
      <c r="D401" t="str">
        <f t="shared" si="18"/>
        <v>Afternoon</v>
      </c>
      <c r="E401">
        <f>HOUR(EV_Data[[#This Row],[Charging Start Time]])</f>
        <v>15</v>
      </c>
      <c r="F401" s="1">
        <v>44943.625</v>
      </c>
      <c r="G401" s="1">
        <v>44943.677083333343</v>
      </c>
      <c r="H401">
        <v>75</v>
      </c>
      <c r="I401">
        <v>34.81</v>
      </c>
      <c r="J401" t="str">
        <f t="shared" si="19"/>
        <v>Medium</v>
      </c>
      <c r="K401" t="s">
        <v>50</v>
      </c>
      <c r="L401">
        <v>62</v>
      </c>
      <c r="M401">
        <v>79</v>
      </c>
      <c r="N401" t="str">
        <f t="shared" si="20"/>
        <v>Medium Cost</v>
      </c>
      <c r="O401">
        <v>10.37</v>
      </c>
      <c r="P401" t="s">
        <v>51</v>
      </c>
      <c r="Q401" t="s">
        <v>58</v>
      </c>
      <c r="R401" t="s">
        <v>25</v>
      </c>
      <c r="S401" t="s">
        <v>435</v>
      </c>
      <c r="T401" t="s">
        <v>37</v>
      </c>
      <c r="U401">
        <v>97</v>
      </c>
      <c r="V401">
        <v>2.7</v>
      </c>
      <c r="W401" t="s">
        <v>28</v>
      </c>
      <c r="X401" t="s">
        <v>68</v>
      </c>
    </row>
    <row r="402" spans="1:24" x14ac:dyDescent="0.3">
      <c r="A402" t="s">
        <v>1680</v>
      </c>
      <c r="B402" t="s">
        <v>30</v>
      </c>
      <c r="C402" t="s">
        <v>102</v>
      </c>
      <c r="D402" t="str">
        <f t="shared" si="18"/>
        <v>Afternoon</v>
      </c>
      <c r="E402">
        <f>HOUR(EV_Data[[#This Row],[Charging Start Time]])</f>
        <v>16</v>
      </c>
      <c r="F402" s="1">
        <v>44943.666666666664</v>
      </c>
      <c r="G402" s="1">
        <v>44943.686111111107</v>
      </c>
      <c r="H402">
        <v>28</v>
      </c>
      <c r="I402">
        <v>9.25</v>
      </c>
      <c r="J402" t="str">
        <f t="shared" si="19"/>
        <v>Low</v>
      </c>
      <c r="K402" t="s">
        <v>42</v>
      </c>
      <c r="L402">
        <v>77</v>
      </c>
      <c r="M402">
        <v>100</v>
      </c>
      <c r="N402" t="str">
        <f t="shared" si="20"/>
        <v>Low Cost</v>
      </c>
      <c r="O402">
        <v>2.4300000000000002</v>
      </c>
      <c r="P402" t="s">
        <v>51</v>
      </c>
      <c r="Q402" t="s">
        <v>58</v>
      </c>
      <c r="R402" t="s">
        <v>56</v>
      </c>
      <c r="S402" t="s">
        <v>219</v>
      </c>
      <c r="T402" t="s">
        <v>37</v>
      </c>
      <c r="U402">
        <v>17</v>
      </c>
      <c r="V402">
        <v>1</v>
      </c>
      <c r="W402" t="s">
        <v>28</v>
      </c>
      <c r="X402" t="s">
        <v>68</v>
      </c>
    </row>
    <row r="403" spans="1:24" x14ac:dyDescent="0.3">
      <c r="A403" t="s">
        <v>1681</v>
      </c>
      <c r="B403" t="s">
        <v>40</v>
      </c>
      <c r="C403" t="s">
        <v>41</v>
      </c>
      <c r="D403" t="str">
        <f t="shared" si="18"/>
        <v>Evening</v>
      </c>
      <c r="E403">
        <f>HOUR(EV_Data[[#This Row],[Charging Start Time]])</f>
        <v>17</v>
      </c>
      <c r="F403" s="1">
        <v>44943.708333333336</v>
      </c>
      <c r="G403" s="1">
        <v>44943.789583333331</v>
      </c>
      <c r="H403">
        <v>117</v>
      </c>
      <c r="I403">
        <v>22.56</v>
      </c>
      <c r="J403" t="str">
        <f t="shared" si="19"/>
        <v>Medium</v>
      </c>
      <c r="K403" t="s">
        <v>32</v>
      </c>
      <c r="L403">
        <v>50</v>
      </c>
      <c r="M403">
        <v>78</v>
      </c>
      <c r="N403" t="str">
        <f t="shared" si="20"/>
        <v>Medium Cost</v>
      </c>
      <c r="O403">
        <v>10.69</v>
      </c>
      <c r="P403" t="s">
        <v>51</v>
      </c>
      <c r="Q403" t="s">
        <v>58</v>
      </c>
      <c r="R403" t="s">
        <v>56</v>
      </c>
      <c r="S403" t="s">
        <v>436</v>
      </c>
      <c r="T403" t="s">
        <v>27</v>
      </c>
      <c r="U403">
        <v>51</v>
      </c>
      <c r="V403">
        <v>4.5</v>
      </c>
      <c r="W403" t="s">
        <v>28</v>
      </c>
      <c r="X403" t="s">
        <v>68</v>
      </c>
    </row>
    <row r="404" spans="1:24" x14ac:dyDescent="0.3">
      <c r="A404" t="s">
        <v>1682</v>
      </c>
      <c r="B404" t="s">
        <v>30</v>
      </c>
      <c r="C404" t="s">
        <v>102</v>
      </c>
      <c r="D404" t="str">
        <f t="shared" si="18"/>
        <v>Evening</v>
      </c>
      <c r="E404">
        <f>HOUR(EV_Data[[#This Row],[Charging Start Time]])</f>
        <v>18</v>
      </c>
      <c r="F404" s="1">
        <v>44943.75</v>
      </c>
      <c r="G404" s="1">
        <v>44943.799305555563</v>
      </c>
      <c r="H404">
        <v>71</v>
      </c>
      <c r="I404">
        <v>47.66</v>
      </c>
      <c r="J404" t="str">
        <f t="shared" si="19"/>
        <v>Medium</v>
      </c>
      <c r="K404" t="s">
        <v>22</v>
      </c>
      <c r="L404">
        <v>15</v>
      </c>
      <c r="M404">
        <v>45</v>
      </c>
      <c r="N404" t="str">
        <f t="shared" si="20"/>
        <v>Medium Cost</v>
      </c>
      <c r="O404">
        <v>10.77</v>
      </c>
      <c r="P404" t="s">
        <v>33</v>
      </c>
      <c r="Q404" t="s">
        <v>24</v>
      </c>
      <c r="R404" t="s">
        <v>44</v>
      </c>
      <c r="S404" t="s">
        <v>437</v>
      </c>
      <c r="T404" t="s">
        <v>27</v>
      </c>
      <c r="U404">
        <v>14</v>
      </c>
      <c r="V404">
        <v>4.8</v>
      </c>
      <c r="W404" t="s">
        <v>28</v>
      </c>
      <c r="X404" t="s">
        <v>68</v>
      </c>
    </row>
    <row r="405" spans="1:24" x14ac:dyDescent="0.3">
      <c r="A405" t="s">
        <v>1683</v>
      </c>
      <c r="B405" t="s">
        <v>126</v>
      </c>
      <c r="C405" t="s">
        <v>31</v>
      </c>
      <c r="D405" t="str">
        <f t="shared" si="18"/>
        <v>Evening</v>
      </c>
      <c r="E405">
        <f>HOUR(EV_Data[[#This Row],[Charging Start Time]])</f>
        <v>19</v>
      </c>
      <c r="F405" s="1">
        <v>44943.791666666664</v>
      </c>
      <c r="G405" s="1">
        <v>44943.845138888893</v>
      </c>
      <c r="H405">
        <v>77</v>
      </c>
      <c r="I405">
        <v>45.61</v>
      </c>
      <c r="J405" t="str">
        <f t="shared" si="19"/>
        <v>Medium</v>
      </c>
      <c r="K405" t="s">
        <v>50</v>
      </c>
      <c r="L405">
        <v>75</v>
      </c>
      <c r="M405">
        <v>96</v>
      </c>
      <c r="N405" t="str">
        <f t="shared" si="20"/>
        <v>Medium Cost</v>
      </c>
      <c r="O405">
        <v>13.25</v>
      </c>
      <c r="P405" t="s">
        <v>23</v>
      </c>
      <c r="Q405" t="s">
        <v>24</v>
      </c>
      <c r="R405" t="s">
        <v>56</v>
      </c>
      <c r="S405" t="s">
        <v>438</v>
      </c>
      <c r="T405" t="s">
        <v>37</v>
      </c>
      <c r="U405">
        <v>12</v>
      </c>
      <c r="V405">
        <v>3</v>
      </c>
      <c r="W405" t="s">
        <v>28</v>
      </c>
      <c r="X405" t="s">
        <v>68</v>
      </c>
    </row>
    <row r="406" spans="1:24" x14ac:dyDescent="0.3">
      <c r="A406" t="s">
        <v>1684</v>
      </c>
      <c r="B406" t="s">
        <v>71</v>
      </c>
      <c r="C406" t="s">
        <v>72</v>
      </c>
      <c r="D406" t="str">
        <f t="shared" si="18"/>
        <v>Evening</v>
      </c>
      <c r="E406">
        <f>HOUR(EV_Data[[#This Row],[Charging Start Time]])</f>
        <v>20</v>
      </c>
      <c r="F406" s="1">
        <v>44943.833333333336</v>
      </c>
      <c r="G406" s="1">
        <v>44943.880555555559</v>
      </c>
      <c r="H406">
        <v>68</v>
      </c>
      <c r="I406">
        <v>9</v>
      </c>
      <c r="J406" t="str">
        <f t="shared" si="19"/>
        <v>Low</v>
      </c>
      <c r="K406" t="s">
        <v>22</v>
      </c>
      <c r="L406">
        <v>60</v>
      </c>
      <c r="M406">
        <v>91</v>
      </c>
      <c r="N406" t="str">
        <f t="shared" si="20"/>
        <v>Low Cost</v>
      </c>
      <c r="O406">
        <v>3.37</v>
      </c>
      <c r="P406" t="s">
        <v>33</v>
      </c>
      <c r="Q406" t="s">
        <v>58</v>
      </c>
      <c r="R406" t="s">
        <v>25</v>
      </c>
      <c r="S406" t="s">
        <v>439</v>
      </c>
      <c r="T406" t="s">
        <v>37</v>
      </c>
      <c r="U406">
        <v>86</v>
      </c>
      <c r="V406">
        <v>4.2</v>
      </c>
      <c r="W406" t="s">
        <v>47</v>
      </c>
      <c r="X406" t="s">
        <v>29</v>
      </c>
    </row>
    <row r="407" spans="1:24" x14ac:dyDescent="0.3">
      <c r="A407" t="s">
        <v>1685</v>
      </c>
      <c r="B407" t="s">
        <v>20</v>
      </c>
      <c r="C407" t="s">
        <v>21</v>
      </c>
      <c r="D407" t="str">
        <f t="shared" si="18"/>
        <v>Evening</v>
      </c>
      <c r="E407">
        <f>HOUR(EV_Data[[#This Row],[Charging Start Time]])</f>
        <v>21</v>
      </c>
      <c r="F407" s="1">
        <v>44943.875</v>
      </c>
      <c r="G407" s="1">
        <v>44943.899305555547</v>
      </c>
      <c r="H407">
        <v>35</v>
      </c>
      <c r="I407">
        <v>27.09</v>
      </c>
      <c r="J407" t="str">
        <f t="shared" si="19"/>
        <v>Medium</v>
      </c>
      <c r="K407" t="s">
        <v>50</v>
      </c>
      <c r="L407">
        <v>57</v>
      </c>
      <c r="M407">
        <v>68</v>
      </c>
      <c r="N407" t="str">
        <f t="shared" si="20"/>
        <v>Medium Cost</v>
      </c>
      <c r="O407">
        <v>9.36</v>
      </c>
      <c r="P407" t="s">
        <v>64</v>
      </c>
      <c r="Q407" t="s">
        <v>58</v>
      </c>
      <c r="R407" t="s">
        <v>44</v>
      </c>
      <c r="S407" t="s">
        <v>440</v>
      </c>
      <c r="T407" t="s">
        <v>60</v>
      </c>
      <c r="U407">
        <v>66</v>
      </c>
      <c r="V407">
        <v>3.8</v>
      </c>
      <c r="W407" t="s">
        <v>38</v>
      </c>
      <c r="X407" t="s">
        <v>83</v>
      </c>
    </row>
    <row r="408" spans="1:24" x14ac:dyDescent="0.3">
      <c r="A408" t="s">
        <v>1686</v>
      </c>
      <c r="B408" t="s">
        <v>126</v>
      </c>
      <c r="C408" t="s">
        <v>31</v>
      </c>
      <c r="D408" t="str">
        <f t="shared" si="18"/>
        <v>Evening</v>
      </c>
      <c r="E408">
        <f>HOUR(EV_Data[[#This Row],[Charging Start Time]])</f>
        <v>22</v>
      </c>
      <c r="F408" s="1">
        <v>44943.916666666664</v>
      </c>
      <c r="G408" s="1">
        <v>44943.940972222219</v>
      </c>
      <c r="H408">
        <v>35</v>
      </c>
      <c r="I408">
        <v>15.2</v>
      </c>
      <c r="J408" t="str">
        <f t="shared" si="19"/>
        <v>Low</v>
      </c>
      <c r="K408" t="s">
        <v>32</v>
      </c>
      <c r="L408">
        <v>43</v>
      </c>
      <c r="M408">
        <v>69</v>
      </c>
      <c r="N408" t="str">
        <f t="shared" si="20"/>
        <v>Low Cost</v>
      </c>
      <c r="O408">
        <v>6.28</v>
      </c>
      <c r="P408" t="s">
        <v>64</v>
      </c>
      <c r="Q408" t="s">
        <v>48</v>
      </c>
      <c r="R408" t="s">
        <v>25</v>
      </c>
      <c r="S408" t="s">
        <v>441</v>
      </c>
      <c r="T408" t="s">
        <v>46</v>
      </c>
      <c r="U408">
        <v>59</v>
      </c>
      <c r="V408">
        <v>2.6</v>
      </c>
      <c r="W408" t="s">
        <v>28</v>
      </c>
      <c r="X408" t="s">
        <v>68</v>
      </c>
    </row>
    <row r="409" spans="1:24" x14ac:dyDescent="0.3">
      <c r="A409" t="s">
        <v>1687</v>
      </c>
      <c r="B409" t="s">
        <v>77</v>
      </c>
      <c r="C409" t="s">
        <v>78</v>
      </c>
      <c r="D409" t="str">
        <f t="shared" si="18"/>
        <v>Evening</v>
      </c>
      <c r="E409">
        <f>HOUR(EV_Data[[#This Row],[Charging Start Time]])</f>
        <v>23</v>
      </c>
      <c r="F409" s="1">
        <v>44943.958333333336</v>
      </c>
      <c r="G409" s="1">
        <v>44944.035416666673</v>
      </c>
      <c r="H409">
        <v>111</v>
      </c>
      <c r="I409">
        <v>36.299999999999997</v>
      </c>
      <c r="J409" t="str">
        <f t="shared" si="19"/>
        <v>Medium</v>
      </c>
      <c r="K409" t="s">
        <v>69</v>
      </c>
      <c r="L409">
        <v>46</v>
      </c>
      <c r="M409">
        <v>71</v>
      </c>
      <c r="N409" t="str">
        <f t="shared" si="20"/>
        <v>High Cost</v>
      </c>
      <c r="O409">
        <v>17.79</v>
      </c>
      <c r="P409" t="s">
        <v>43</v>
      </c>
      <c r="Q409" t="s">
        <v>24</v>
      </c>
      <c r="R409" t="s">
        <v>56</v>
      </c>
      <c r="S409" t="s">
        <v>442</v>
      </c>
      <c r="T409" t="s">
        <v>27</v>
      </c>
      <c r="U409">
        <v>7</v>
      </c>
      <c r="V409">
        <v>3.9</v>
      </c>
      <c r="W409" t="s">
        <v>47</v>
      </c>
      <c r="X409" t="s">
        <v>29</v>
      </c>
    </row>
    <row r="410" spans="1:24" x14ac:dyDescent="0.3">
      <c r="A410" t="s">
        <v>1688</v>
      </c>
      <c r="B410" t="s">
        <v>20</v>
      </c>
      <c r="C410" t="s">
        <v>21</v>
      </c>
      <c r="D410" t="str">
        <f t="shared" si="18"/>
        <v>Morning</v>
      </c>
      <c r="E410">
        <f>HOUR(EV_Data[[#This Row],[Charging Start Time]])</f>
        <v>0</v>
      </c>
      <c r="F410" s="1">
        <v>44944</v>
      </c>
      <c r="G410" s="1">
        <v>44944.000694444447</v>
      </c>
      <c r="H410">
        <v>1</v>
      </c>
      <c r="I410">
        <v>20.100000000000001</v>
      </c>
      <c r="J410" t="str">
        <f t="shared" si="19"/>
        <v>Medium</v>
      </c>
      <c r="K410" t="s">
        <v>42</v>
      </c>
      <c r="L410">
        <v>31</v>
      </c>
      <c r="M410">
        <v>52</v>
      </c>
      <c r="N410" t="str">
        <f t="shared" si="20"/>
        <v>Medium Cost</v>
      </c>
      <c r="O410">
        <v>9.2899999999999991</v>
      </c>
      <c r="P410" t="s">
        <v>51</v>
      </c>
      <c r="Q410" t="s">
        <v>34</v>
      </c>
      <c r="R410" t="s">
        <v>35</v>
      </c>
      <c r="S410" t="s">
        <v>443</v>
      </c>
      <c r="T410" t="s">
        <v>60</v>
      </c>
      <c r="U410">
        <v>70</v>
      </c>
      <c r="V410">
        <v>3.3</v>
      </c>
      <c r="W410" t="s">
        <v>28</v>
      </c>
      <c r="X410" t="s">
        <v>68</v>
      </c>
    </row>
    <row r="411" spans="1:24" x14ac:dyDescent="0.3">
      <c r="A411" t="s">
        <v>1689</v>
      </c>
      <c r="B411" t="s">
        <v>20</v>
      </c>
      <c r="C411" t="s">
        <v>21</v>
      </c>
      <c r="D411" t="str">
        <f t="shared" si="18"/>
        <v>Morning</v>
      </c>
      <c r="E411">
        <f>HOUR(EV_Data[[#This Row],[Charging Start Time]])</f>
        <v>1</v>
      </c>
      <c r="F411" s="1">
        <v>44944.041666666664</v>
      </c>
      <c r="G411" s="1">
        <v>44944.077777777777</v>
      </c>
      <c r="H411">
        <v>52</v>
      </c>
      <c r="I411">
        <v>49.86</v>
      </c>
      <c r="J411" t="str">
        <f t="shared" si="19"/>
        <v>Medium</v>
      </c>
      <c r="K411" t="s">
        <v>55</v>
      </c>
      <c r="L411">
        <v>58</v>
      </c>
      <c r="M411">
        <v>68</v>
      </c>
      <c r="N411" t="str">
        <f t="shared" si="20"/>
        <v>Medium Cost</v>
      </c>
      <c r="O411">
        <v>15.28</v>
      </c>
      <c r="P411" t="s">
        <v>43</v>
      </c>
      <c r="Q411" t="s">
        <v>24</v>
      </c>
      <c r="R411" t="s">
        <v>35</v>
      </c>
      <c r="S411" t="s">
        <v>444</v>
      </c>
      <c r="T411" t="s">
        <v>46</v>
      </c>
      <c r="U411">
        <v>47</v>
      </c>
      <c r="V411">
        <v>4.3</v>
      </c>
      <c r="W411" t="s">
        <v>38</v>
      </c>
    </row>
    <row r="412" spans="1:24" x14ac:dyDescent="0.3">
      <c r="A412" t="s">
        <v>1690</v>
      </c>
      <c r="B412" t="s">
        <v>92</v>
      </c>
      <c r="C412" t="s">
        <v>93</v>
      </c>
      <c r="D412" t="str">
        <f t="shared" si="18"/>
        <v>Morning</v>
      </c>
      <c r="E412">
        <f>HOUR(EV_Data[[#This Row],[Charging Start Time]])</f>
        <v>2</v>
      </c>
      <c r="F412" s="1">
        <v>44944.083333333336</v>
      </c>
      <c r="G412" s="1">
        <v>44944.15625</v>
      </c>
      <c r="H412">
        <v>105</v>
      </c>
      <c r="I412">
        <v>5.07</v>
      </c>
      <c r="J412" t="str">
        <f t="shared" si="19"/>
        <v>Low</v>
      </c>
      <c r="K412" t="s">
        <v>55</v>
      </c>
      <c r="L412">
        <v>10</v>
      </c>
      <c r="M412">
        <v>28</v>
      </c>
      <c r="N412" t="str">
        <f t="shared" si="20"/>
        <v>Low Cost</v>
      </c>
      <c r="O412">
        <v>1.42</v>
      </c>
      <c r="P412" t="s">
        <v>33</v>
      </c>
      <c r="Q412" t="s">
        <v>34</v>
      </c>
      <c r="R412" t="s">
        <v>25</v>
      </c>
      <c r="S412" t="s">
        <v>445</v>
      </c>
      <c r="T412" t="s">
        <v>60</v>
      </c>
      <c r="U412">
        <v>35</v>
      </c>
      <c r="V412">
        <v>4.8</v>
      </c>
      <c r="W412" t="s">
        <v>38</v>
      </c>
      <c r="X412" t="s">
        <v>85</v>
      </c>
    </row>
    <row r="413" spans="1:24" x14ac:dyDescent="0.3">
      <c r="A413" t="s">
        <v>1691</v>
      </c>
      <c r="B413" t="s">
        <v>126</v>
      </c>
      <c r="C413" t="s">
        <v>31</v>
      </c>
      <c r="D413" t="str">
        <f t="shared" si="18"/>
        <v>Morning</v>
      </c>
      <c r="E413">
        <f>HOUR(EV_Data[[#This Row],[Charging Start Time]])</f>
        <v>3</v>
      </c>
      <c r="F413" s="1">
        <v>44944.125</v>
      </c>
      <c r="G413" s="1">
        <v>44944.148611111108</v>
      </c>
      <c r="H413">
        <v>34</v>
      </c>
      <c r="I413">
        <v>41.13</v>
      </c>
      <c r="J413" t="str">
        <f t="shared" si="19"/>
        <v>Medium</v>
      </c>
      <c r="K413" t="s">
        <v>55</v>
      </c>
      <c r="L413">
        <v>26</v>
      </c>
      <c r="M413">
        <v>59</v>
      </c>
      <c r="N413" t="str">
        <f t="shared" si="20"/>
        <v>Medium Cost</v>
      </c>
      <c r="O413">
        <v>16.22</v>
      </c>
      <c r="P413" t="s">
        <v>33</v>
      </c>
      <c r="Q413" t="s">
        <v>58</v>
      </c>
      <c r="R413" t="s">
        <v>25</v>
      </c>
      <c r="S413" t="s">
        <v>446</v>
      </c>
      <c r="T413" t="s">
        <v>60</v>
      </c>
      <c r="U413">
        <v>70</v>
      </c>
      <c r="V413">
        <v>2.4</v>
      </c>
      <c r="W413" t="s">
        <v>47</v>
      </c>
      <c r="X413" t="s">
        <v>29</v>
      </c>
    </row>
    <row r="414" spans="1:24" x14ac:dyDescent="0.3">
      <c r="A414" t="s">
        <v>1692</v>
      </c>
      <c r="B414" t="s">
        <v>71</v>
      </c>
      <c r="C414" t="s">
        <v>72</v>
      </c>
      <c r="D414" t="str">
        <f t="shared" si="18"/>
        <v>Morning</v>
      </c>
      <c r="E414">
        <f>HOUR(EV_Data[[#This Row],[Charging Start Time]])</f>
        <v>4</v>
      </c>
      <c r="F414" s="1">
        <v>44944.166666666664</v>
      </c>
      <c r="G414" s="1">
        <v>44944.185416666667</v>
      </c>
      <c r="H414">
        <v>27</v>
      </c>
      <c r="I414">
        <v>17.54</v>
      </c>
      <c r="J414" t="str">
        <f t="shared" si="19"/>
        <v>Low</v>
      </c>
      <c r="K414" t="s">
        <v>50</v>
      </c>
      <c r="L414">
        <v>25</v>
      </c>
      <c r="M414">
        <v>45</v>
      </c>
      <c r="N414" t="str">
        <f t="shared" si="20"/>
        <v>Low Cost</v>
      </c>
      <c r="O414">
        <v>4.49</v>
      </c>
      <c r="P414" t="s">
        <v>23</v>
      </c>
      <c r="Q414" t="s">
        <v>48</v>
      </c>
      <c r="R414" t="s">
        <v>56</v>
      </c>
      <c r="S414" t="s">
        <v>447</v>
      </c>
      <c r="T414" t="s">
        <v>27</v>
      </c>
      <c r="U414">
        <v>57</v>
      </c>
      <c r="V414">
        <v>3.2</v>
      </c>
      <c r="W414" t="s">
        <v>28</v>
      </c>
      <c r="X414" t="s">
        <v>68</v>
      </c>
    </row>
    <row r="415" spans="1:24" x14ac:dyDescent="0.3">
      <c r="A415" t="s">
        <v>1693</v>
      </c>
      <c r="B415" t="s">
        <v>77</v>
      </c>
      <c r="C415" t="s">
        <v>78</v>
      </c>
      <c r="D415" t="str">
        <f t="shared" si="18"/>
        <v>Morning</v>
      </c>
      <c r="E415">
        <f>HOUR(EV_Data[[#This Row],[Charging Start Time]])</f>
        <v>5</v>
      </c>
      <c r="F415" s="1">
        <v>44944.208333333336</v>
      </c>
      <c r="G415" s="1">
        <v>44944.236805555563</v>
      </c>
      <c r="H415">
        <v>41</v>
      </c>
      <c r="I415">
        <v>47.78</v>
      </c>
      <c r="J415" t="str">
        <f t="shared" si="19"/>
        <v>Medium</v>
      </c>
      <c r="K415" t="s">
        <v>42</v>
      </c>
      <c r="L415">
        <v>19</v>
      </c>
      <c r="M415">
        <v>31</v>
      </c>
      <c r="N415" t="str">
        <f t="shared" si="20"/>
        <v>High Cost</v>
      </c>
      <c r="O415">
        <v>23.79</v>
      </c>
      <c r="P415" t="s">
        <v>33</v>
      </c>
      <c r="Q415" t="s">
        <v>34</v>
      </c>
      <c r="R415" t="s">
        <v>44</v>
      </c>
      <c r="S415" t="s">
        <v>448</v>
      </c>
      <c r="T415" t="s">
        <v>46</v>
      </c>
      <c r="U415">
        <v>40</v>
      </c>
      <c r="V415">
        <v>4.5999999999999996</v>
      </c>
      <c r="W415" t="s">
        <v>28</v>
      </c>
      <c r="X415" t="s">
        <v>68</v>
      </c>
    </row>
    <row r="416" spans="1:24" x14ac:dyDescent="0.3">
      <c r="A416" t="s">
        <v>1694</v>
      </c>
      <c r="B416" t="s">
        <v>77</v>
      </c>
      <c r="C416" t="s">
        <v>78</v>
      </c>
      <c r="D416" t="str">
        <f t="shared" si="18"/>
        <v>Morning</v>
      </c>
      <c r="E416">
        <f>HOUR(EV_Data[[#This Row],[Charging Start Time]])</f>
        <v>6</v>
      </c>
      <c r="F416" s="1">
        <v>44944.25</v>
      </c>
      <c r="G416" s="1">
        <v>44944.268750000003</v>
      </c>
      <c r="H416">
        <v>27</v>
      </c>
      <c r="I416">
        <v>25.39</v>
      </c>
      <c r="J416" t="str">
        <f t="shared" si="19"/>
        <v>Medium</v>
      </c>
      <c r="K416" t="s">
        <v>50</v>
      </c>
      <c r="L416">
        <v>49</v>
      </c>
      <c r="M416">
        <v>66</v>
      </c>
      <c r="N416" t="str">
        <f t="shared" si="20"/>
        <v>Low Cost</v>
      </c>
      <c r="O416">
        <v>6.92</v>
      </c>
      <c r="P416" t="s">
        <v>43</v>
      </c>
      <c r="Q416" t="s">
        <v>48</v>
      </c>
      <c r="R416" t="s">
        <v>35</v>
      </c>
      <c r="S416" t="s">
        <v>449</v>
      </c>
      <c r="T416" t="s">
        <v>37</v>
      </c>
      <c r="U416">
        <v>33</v>
      </c>
      <c r="V416">
        <v>4.3</v>
      </c>
      <c r="W416" t="s">
        <v>47</v>
      </c>
      <c r="X416" t="s">
        <v>29</v>
      </c>
    </row>
    <row r="417" spans="1:24" x14ac:dyDescent="0.3">
      <c r="A417" t="s">
        <v>1695</v>
      </c>
      <c r="B417" t="s">
        <v>30</v>
      </c>
      <c r="C417" t="s">
        <v>102</v>
      </c>
      <c r="D417" t="str">
        <f t="shared" si="18"/>
        <v>Morning</v>
      </c>
      <c r="E417">
        <f>HOUR(EV_Data[[#This Row],[Charging Start Time]])</f>
        <v>7</v>
      </c>
      <c r="F417" s="1">
        <v>44944.291666666664</v>
      </c>
      <c r="G417" s="1">
        <v>44944.322222222218</v>
      </c>
      <c r="H417">
        <v>44</v>
      </c>
      <c r="I417">
        <v>36.47</v>
      </c>
      <c r="J417" t="str">
        <f t="shared" si="19"/>
        <v>Medium</v>
      </c>
      <c r="K417" t="s">
        <v>22</v>
      </c>
      <c r="L417">
        <v>21</v>
      </c>
      <c r="M417">
        <v>53</v>
      </c>
      <c r="N417" t="str">
        <f t="shared" si="20"/>
        <v>Medium Cost</v>
      </c>
      <c r="O417">
        <v>16.72</v>
      </c>
      <c r="P417" t="s">
        <v>33</v>
      </c>
      <c r="Q417" t="s">
        <v>34</v>
      </c>
      <c r="R417" t="s">
        <v>35</v>
      </c>
      <c r="S417" t="s">
        <v>450</v>
      </c>
      <c r="T417" t="s">
        <v>46</v>
      </c>
      <c r="U417">
        <v>41</v>
      </c>
      <c r="V417">
        <v>2.8</v>
      </c>
      <c r="W417" t="s">
        <v>28</v>
      </c>
      <c r="X417" t="s">
        <v>68</v>
      </c>
    </row>
    <row r="418" spans="1:24" x14ac:dyDescent="0.3">
      <c r="A418" t="s">
        <v>1696</v>
      </c>
      <c r="B418" t="s">
        <v>77</v>
      </c>
      <c r="C418" t="s">
        <v>78</v>
      </c>
      <c r="D418" t="str">
        <f t="shared" si="18"/>
        <v>Morning</v>
      </c>
      <c r="E418">
        <f>HOUR(EV_Data[[#This Row],[Charging Start Time]])</f>
        <v>8</v>
      </c>
      <c r="F418" s="1">
        <v>44944.333333333336</v>
      </c>
      <c r="G418" s="1">
        <v>44944.354166666657</v>
      </c>
      <c r="H418">
        <v>30</v>
      </c>
      <c r="I418">
        <v>12.88</v>
      </c>
      <c r="J418" t="str">
        <f t="shared" si="19"/>
        <v>Low</v>
      </c>
      <c r="K418" t="s">
        <v>32</v>
      </c>
      <c r="L418">
        <v>80</v>
      </c>
      <c r="M418">
        <v>100</v>
      </c>
      <c r="N418" t="str">
        <f t="shared" si="20"/>
        <v>Low Cost</v>
      </c>
      <c r="O418">
        <v>5.56</v>
      </c>
      <c r="P418" t="s">
        <v>43</v>
      </c>
      <c r="Q418" t="s">
        <v>58</v>
      </c>
      <c r="R418" t="s">
        <v>44</v>
      </c>
      <c r="S418" t="s">
        <v>143</v>
      </c>
      <c r="T418" t="s">
        <v>37</v>
      </c>
      <c r="U418">
        <v>63</v>
      </c>
      <c r="V418">
        <v>4.2</v>
      </c>
      <c r="W418" t="s">
        <v>28</v>
      </c>
      <c r="X418" t="s">
        <v>68</v>
      </c>
    </row>
    <row r="419" spans="1:24" x14ac:dyDescent="0.3">
      <c r="A419" t="s">
        <v>1697</v>
      </c>
      <c r="B419" t="s">
        <v>40</v>
      </c>
      <c r="C419" t="s">
        <v>41</v>
      </c>
      <c r="D419" t="str">
        <f t="shared" si="18"/>
        <v>Morning</v>
      </c>
      <c r="E419">
        <f>HOUR(EV_Data[[#This Row],[Charging Start Time]])</f>
        <v>9</v>
      </c>
      <c r="F419" s="1">
        <v>44944.375</v>
      </c>
      <c r="G419" s="1">
        <v>44944.386111111111</v>
      </c>
      <c r="H419">
        <v>16</v>
      </c>
      <c r="I419">
        <v>48.37</v>
      </c>
      <c r="J419" t="str">
        <f t="shared" si="19"/>
        <v>Medium</v>
      </c>
      <c r="K419" t="s">
        <v>22</v>
      </c>
      <c r="L419">
        <v>71</v>
      </c>
      <c r="M419">
        <v>100</v>
      </c>
      <c r="N419" t="str">
        <f t="shared" si="20"/>
        <v>Medium Cost</v>
      </c>
      <c r="O419">
        <v>14.63</v>
      </c>
      <c r="P419" t="s">
        <v>33</v>
      </c>
      <c r="Q419" t="s">
        <v>58</v>
      </c>
      <c r="R419" t="s">
        <v>35</v>
      </c>
      <c r="S419" t="s">
        <v>451</v>
      </c>
      <c r="T419" t="s">
        <v>27</v>
      </c>
      <c r="U419">
        <v>80</v>
      </c>
      <c r="V419">
        <v>2.1</v>
      </c>
      <c r="W419" t="s">
        <v>38</v>
      </c>
      <c r="X419" t="s">
        <v>85</v>
      </c>
    </row>
    <row r="420" spans="1:24" x14ac:dyDescent="0.3">
      <c r="A420" t="s">
        <v>1698</v>
      </c>
      <c r="B420" t="s">
        <v>71</v>
      </c>
      <c r="C420" t="s">
        <v>72</v>
      </c>
      <c r="D420" t="str">
        <f t="shared" si="18"/>
        <v>Morning</v>
      </c>
      <c r="E420">
        <f>HOUR(EV_Data[[#This Row],[Charging Start Time]])</f>
        <v>10</v>
      </c>
      <c r="F420" s="1">
        <v>44944.416666666664</v>
      </c>
      <c r="G420" s="1">
        <v>44944.440972222219</v>
      </c>
      <c r="H420">
        <v>35</v>
      </c>
      <c r="I420">
        <v>16.3</v>
      </c>
      <c r="J420" t="str">
        <f t="shared" si="19"/>
        <v>Low</v>
      </c>
      <c r="K420" t="s">
        <v>22</v>
      </c>
      <c r="L420">
        <v>27</v>
      </c>
      <c r="M420">
        <v>55</v>
      </c>
      <c r="N420" t="str">
        <f t="shared" si="20"/>
        <v>Low Cost</v>
      </c>
      <c r="O420">
        <v>5.5</v>
      </c>
      <c r="P420" t="s">
        <v>64</v>
      </c>
      <c r="Q420" t="s">
        <v>24</v>
      </c>
      <c r="R420" t="s">
        <v>25</v>
      </c>
      <c r="S420" t="s">
        <v>452</v>
      </c>
      <c r="T420" t="s">
        <v>37</v>
      </c>
      <c r="U420">
        <v>17</v>
      </c>
      <c r="V420">
        <v>2</v>
      </c>
      <c r="W420" t="s">
        <v>47</v>
      </c>
      <c r="X420" t="s">
        <v>29</v>
      </c>
    </row>
    <row r="421" spans="1:24" x14ac:dyDescent="0.3">
      <c r="A421" t="s">
        <v>1699</v>
      </c>
      <c r="B421" t="s">
        <v>53</v>
      </c>
      <c r="C421" t="s">
        <v>54</v>
      </c>
      <c r="D421" t="str">
        <f t="shared" si="18"/>
        <v>Morning</v>
      </c>
      <c r="E421">
        <f>HOUR(EV_Data[[#This Row],[Charging Start Time]])</f>
        <v>11</v>
      </c>
      <c r="F421" s="1">
        <v>44944.458333333336</v>
      </c>
      <c r="G421" s="1">
        <v>44944.476388888892</v>
      </c>
      <c r="H421">
        <v>26</v>
      </c>
      <c r="I421">
        <v>21.71</v>
      </c>
      <c r="J421" t="str">
        <f t="shared" si="19"/>
        <v>Medium</v>
      </c>
      <c r="K421" t="s">
        <v>69</v>
      </c>
      <c r="L421">
        <v>11</v>
      </c>
      <c r="M421">
        <v>37</v>
      </c>
      <c r="N421" t="str">
        <f t="shared" si="20"/>
        <v>Low Cost</v>
      </c>
      <c r="O421">
        <v>4.41</v>
      </c>
      <c r="P421" t="s">
        <v>23</v>
      </c>
      <c r="Q421" t="s">
        <v>48</v>
      </c>
      <c r="R421" t="s">
        <v>25</v>
      </c>
      <c r="S421" t="s">
        <v>453</v>
      </c>
      <c r="T421" t="s">
        <v>46</v>
      </c>
      <c r="U421">
        <v>54</v>
      </c>
      <c r="V421">
        <v>3.1</v>
      </c>
      <c r="W421" t="s">
        <v>47</v>
      </c>
      <c r="X421" t="s">
        <v>29</v>
      </c>
    </row>
    <row r="422" spans="1:24" x14ac:dyDescent="0.3">
      <c r="A422" t="s">
        <v>1700</v>
      </c>
      <c r="B422" t="s">
        <v>30</v>
      </c>
      <c r="C422" t="s">
        <v>102</v>
      </c>
      <c r="D422" t="str">
        <f t="shared" si="18"/>
        <v>Afternoon</v>
      </c>
      <c r="E422">
        <f>HOUR(EV_Data[[#This Row],[Charging Start Time]])</f>
        <v>12</v>
      </c>
      <c r="F422" s="1">
        <v>44944.5</v>
      </c>
      <c r="G422" s="1">
        <v>44944.554861111108</v>
      </c>
      <c r="H422">
        <v>79</v>
      </c>
      <c r="I422">
        <v>37.770000000000003</v>
      </c>
      <c r="J422" t="str">
        <f t="shared" si="19"/>
        <v>Medium</v>
      </c>
      <c r="K422" t="s">
        <v>55</v>
      </c>
      <c r="L422">
        <v>31</v>
      </c>
      <c r="M422">
        <v>58</v>
      </c>
      <c r="N422" t="str">
        <f t="shared" si="20"/>
        <v>Low Cost</v>
      </c>
      <c r="O422">
        <v>7.68</v>
      </c>
      <c r="P422" t="s">
        <v>43</v>
      </c>
      <c r="Q422" t="s">
        <v>58</v>
      </c>
      <c r="R422" t="s">
        <v>25</v>
      </c>
      <c r="S422" t="s">
        <v>454</v>
      </c>
      <c r="T422" t="s">
        <v>60</v>
      </c>
      <c r="U422">
        <v>73</v>
      </c>
      <c r="V422">
        <v>3.5</v>
      </c>
      <c r="W422" t="s">
        <v>28</v>
      </c>
      <c r="X422" t="s">
        <v>68</v>
      </c>
    </row>
    <row r="423" spans="1:24" x14ac:dyDescent="0.3">
      <c r="A423" t="s">
        <v>1701</v>
      </c>
      <c r="B423" t="s">
        <v>92</v>
      </c>
      <c r="C423" t="s">
        <v>93</v>
      </c>
      <c r="D423" t="str">
        <f t="shared" si="18"/>
        <v>Afternoon</v>
      </c>
      <c r="E423">
        <f>HOUR(EV_Data[[#This Row],[Charging Start Time]])</f>
        <v>13</v>
      </c>
      <c r="F423" s="1">
        <v>44944.541666666664</v>
      </c>
      <c r="G423" s="1">
        <v>44944.583333333343</v>
      </c>
      <c r="H423">
        <v>60</v>
      </c>
      <c r="I423">
        <v>28.85</v>
      </c>
      <c r="J423" t="str">
        <f t="shared" si="19"/>
        <v>Medium</v>
      </c>
      <c r="K423" t="s">
        <v>55</v>
      </c>
      <c r="L423">
        <v>61</v>
      </c>
      <c r="M423">
        <v>100</v>
      </c>
      <c r="N423" t="str">
        <f t="shared" si="20"/>
        <v>Medium Cost</v>
      </c>
      <c r="O423">
        <v>12.07</v>
      </c>
      <c r="P423" t="s">
        <v>23</v>
      </c>
      <c r="Q423" t="s">
        <v>34</v>
      </c>
      <c r="R423" t="s">
        <v>56</v>
      </c>
      <c r="S423" t="s">
        <v>223</v>
      </c>
      <c r="T423" t="s">
        <v>46</v>
      </c>
      <c r="U423">
        <v>37</v>
      </c>
      <c r="V423">
        <v>3.5</v>
      </c>
      <c r="W423" t="s">
        <v>38</v>
      </c>
      <c r="X423" t="s">
        <v>39</v>
      </c>
    </row>
    <row r="424" spans="1:24" x14ac:dyDescent="0.3">
      <c r="A424" t="s">
        <v>1702</v>
      </c>
      <c r="B424" t="s">
        <v>71</v>
      </c>
      <c r="C424" t="s">
        <v>72</v>
      </c>
      <c r="D424" t="str">
        <f t="shared" si="18"/>
        <v>Afternoon</v>
      </c>
      <c r="E424">
        <f>HOUR(EV_Data[[#This Row],[Charging Start Time]])</f>
        <v>14</v>
      </c>
      <c r="F424" s="1">
        <v>44944.583333333336</v>
      </c>
      <c r="G424" s="1">
        <v>44944.633333333331</v>
      </c>
      <c r="H424">
        <v>72</v>
      </c>
      <c r="I424">
        <v>11.79</v>
      </c>
      <c r="J424" t="str">
        <f t="shared" si="19"/>
        <v>Low</v>
      </c>
      <c r="K424" t="s">
        <v>22</v>
      </c>
      <c r="L424">
        <v>43</v>
      </c>
      <c r="M424">
        <v>54</v>
      </c>
      <c r="N424" t="str">
        <f t="shared" si="20"/>
        <v>Low Cost</v>
      </c>
      <c r="O424">
        <v>5.73</v>
      </c>
      <c r="P424" t="s">
        <v>23</v>
      </c>
      <c r="Q424" t="s">
        <v>34</v>
      </c>
      <c r="R424" t="s">
        <v>25</v>
      </c>
      <c r="S424" t="s">
        <v>455</v>
      </c>
      <c r="T424" t="s">
        <v>27</v>
      </c>
      <c r="U424">
        <v>59</v>
      </c>
      <c r="V424">
        <v>2.9</v>
      </c>
      <c r="W424" t="s">
        <v>47</v>
      </c>
      <c r="X424" t="s">
        <v>29</v>
      </c>
    </row>
    <row r="425" spans="1:24" x14ac:dyDescent="0.3">
      <c r="A425" t="s">
        <v>1703</v>
      </c>
      <c r="B425" t="s">
        <v>40</v>
      </c>
      <c r="C425" t="s">
        <v>41</v>
      </c>
      <c r="D425" t="str">
        <f t="shared" si="18"/>
        <v>Afternoon</v>
      </c>
      <c r="E425">
        <f>HOUR(EV_Data[[#This Row],[Charging Start Time]])</f>
        <v>15</v>
      </c>
      <c r="F425" s="1">
        <v>44944.625</v>
      </c>
      <c r="G425" s="1">
        <v>44944.644444444442</v>
      </c>
      <c r="H425">
        <v>28</v>
      </c>
      <c r="I425">
        <v>34.57</v>
      </c>
      <c r="J425" t="str">
        <f t="shared" si="19"/>
        <v>Medium</v>
      </c>
      <c r="K425" t="s">
        <v>69</v>
      </c>
      <c r="L425">
        <v>18</v>
      </c>
      <c r="M425">
        <v>57</v>
      </c>
      <c r="N425" t="str">
        <f t="shared" si="20"/>
        <v>Medium Cost</v>
      </c>
      <c r="O425">
        <v>13.38</v>
      </c>
      <c r="P425" t="s">
        <v>33</v>
      </c>
      <c r="Q425" t="s">
        <v>58</v>
      </c>
      <c r="R425" t="s">
        <v>35</v>
      </c>
      <c r="S425" t="s">
        <v>456</v>
      </c>
      <c r="T425" t="s">
        <v>27</v>
      </c>
      <c r="U425">
        <v>78</v>
      </c>
      <c r="V425">
        <v>3.5</v>
      </c>
      <c r="W425" t="s">
        <v>38</v>
      </c>
    </row>
    <row r="426" spans="1:24" x14ac:dyDescent="0.3">
      <c r="A426" t="s">
        <v>1704</v>
      </c>
      <c r="B426" t="s">
        <v>30</v>
      </c>
      <c r="C426" t="s">
        <v>102</v>
      </c>
      <c r="D426" t="str">
        <f t="shared" si="18"/>
        <v>Afternoon</v>
      </c>
      <c r="E426">
        <f>HOUR(EV_Data[[#This Row],[Charging Start Time]])</f>
        <v>16</v>
      </c>
      <c r="F426" s="1">
        <v>44944.666666666664</v>
      </c>
      <c r="G426" s="1">
        <v>44944.72152777778</v>
      </c>
      <c r="H426">
        <v>79</v>
      </c>
      <c r="I426">
        <v>24.31</v>
      </c>
      <c r="J426" t="str">
        <f t="shared" si="19"/>
        <v>Medium</v>
      </c>
      <c r="K426" t="s">
        <v>55</v>
      </c>
      <c r="L426">
        <v>49</v>
      </c>
      <c r="M426">
        <v>66</v>
      </c>
      <c r="N426" t="str">
        <f t="shared" si="20"/>
        <v>Medium Cost</v>
      </c>
      <c r="O426">
        <v>8.17</v>
      </c>
      <c r="P426" t="s">
        <v>64</v>
      </c>
      <c r="Q426" t="s">
        <v>58</v>
      </c>
      <c r="R426" t="s">
        <v>56</v>
      </c>
      <c r="S426" t="s">
        <v>457</v>
      </c>
      <c r="T426" t="s">
        <v>27</v>
      </c>
      <c r="U426">
        <v>96</v>
      </c>
      <c r="V426">
        <v>2.8</v>
      </c>
      <c r="W426" t="s">
        <v>47</v>
      </c>
      <c r="X426" t="s">
        <v>29</v>
      </c>
    </row>
    <row r="427" spans="1:24" x14ac:dyDescent="0.3">
      <c r="A427" t="s">
        <v>1705</v>
      </c>
      <c r="B427" t="s">
        <v>77</v>
      </c>
      <c r="C427" t="s">
        <v>78</v>
      </c>
      <c r="D427" t="str">
        <f t="shared" si="18"/>
        <v>Evening</v>
      </c>
      <c r="E427">
        <f>HOUR(EV_Data[[#This Row],[Charging Start Time]])</f>
        <v>17</v>
      </c>
      <c r="F427" s="1">
        <v>44944.708333333336</v>
      </c>
      <c r="G427" s="1">
        <v>44944.727083333331</v>
      </c>
      <c r="H427">
        <v>27</v>
      </c>
      <c r="I427">
        <v>27.22</v>
      </c>
      <c r="J427" t="str">
        <f t="shared" si="19"/>
        <v>Medium</v>
      </c>
      <c r="K427" t="s">
        <v>42</v>
      </c>
      <c r="L427">
        <v>65</v>
      </c>
      <c r="M427">
        <v>84</v>
      </c>
      <c r="N427" t="str">
        <f t="shared" si="20"/>
        <v>Medium Cost</v>
      </c>
      <c r="O427">
        <v>10.130000000000001</v>
      </c>
      <c r="P427" t="s">
        <v>43</v>
      </c>
      <c r="Q427" t="s">
        <v>24</v>
      </c>
      <c r="R427" t="s">
        <v>56</v>
      </c>
      <c r="S427" t="s">
        <v>458</v>
      </c>
      <c r="T427" t="s">
        <v>37</v>
      </c>
      <c r="U427">
        <v>69</v>
      </c>
      <c r="V427">
        <v>2.5</v>
      </c>
      <c r="W427" t="s">
        <v>47</v>
      </c>
      <c r="X427" t="s">
        <v>29</v>
      </c>
    </row>
    <row r="428" spans="1:24" x14ac:dyDescent="0.3">
      <c r="A428" t="s">
        <v>1706</v>
      </c>
      <c r="B428" t="s">
        <v>71</v>
      </c>
      <c r="C428" t="s">
        <v>72</v>
      </c>
      <c r="D428" t="str">
        <f t="shared" si="18"/>
        <v>Evening</v>
      </c>
      <c r="E428">
        <f>HOUR(EV_Data[[#This Row],[Charging Start Time]])</f>
        <v>18</v>
      </c>
      <c r="F428" s="1">
        <v>44944.75</v>
      </c>
      <c r="G428" s="1">
        <v>44944.774305555547</v>
      </c>
      <c r="H428">
        <v>35</v>
      </c>
      <c r="I428">
        <v>8.35</v>
      </c>
      <c r="J428" t="str">
        <f t="shared" si="19"/>
        <v>Low</v>
      </c>
      <c r="K428" t="s">
        <v>69</v>
      </c>
      <c r="L428">
        <v>62</v>
      </c>
      <c r="M428">
        <v>77</v>
      </c>
      <c r="N428" t="str">
        <f t="shared" si="20"/>
        <v>Low Cost</v>
      </c>
      <c r="O428">
        <v>2.1</v>
      </c>
      <c r="P428" t="s">
        <v>23</v>
      </c>
      <c r="Q428" t="s">
        <v>48</v>
      </c>
      <c r="R428" t="s">
        <v>44</v>
      </c>
      <c r="S428" t="s">
        <v>293</v>
      </c>
      <c r="T428" t="s">
        <v>37</v>
      </c>
      <c r="U428">
        <v>61</v>
      </c>
      <c r="V428">
        <v>3.6</v>
      </c>
      <c r="W428" t="s">
        <v>28</v>
      </c>
      <c r="X428" t="s">
        <v>68</v>
      </c>
    </row>
    <row r="429" spans="1:24" x14ac:dyDescent="0.3">
      <c r="A429" t="s">
        <v>1707</v>
      </c>
      <c r="B429" t="s">
        <v>40</v>
      </c>
      <c r="C429" t="s">
        <v>41</v>
      </c>
      <c r="D429" t="str">
        <f t="shared" si="18"/>
        <v>Evening</v>
      </c>
      <c r="E429">
        <f>HOUR(EV_Data[[#This Row],[Charging Start Time]])</f>
        <v>19</v>
      </c>
      <c r="F429" s="1">
        <v>44944.791666666664</v>
      </c>
      <c r="G429" s="1">
        <v>44944.818055555559</v>
      </c>
      <c r="H429">
        <v>38</v>
      </c>
      <c r="I429">
        <v>32.909999999999997</v>
      </c>
      <c r="J429" t="str">
        <f t="shared" si="19"/>
        <v>Medium</v>
      </c>
      <c r="K429" t="s">
        <v>55</v>
      </c>
      <c r="L429">
        <v>45</v>
      </c>
      <c r="M429">
        <v>61</v>
      </c>
      <c r="N429" t="str">
        <f t="shared" si="20"/>
        <v>Medium Cost</v>
      </c>
      <c r="O429">
        <v>15.37</v>
      </c>
      <c r="P429" t="s">
        <v>23</v>
      </c>
      <c r="Q429" t="s">
        <v>58</v>
      </c>
      <c r="R429" t="s">
        <v>44</v>
      </c>
      <c r="S429" t="s">
        <v>358</v>
      </c>
      <c r="T429" t="s">
        <v>27</v>
      </c>
      <c r="U429">
        <v>79</v>
      </c>
      <c r="V429">
        <v>3.2</v>
      </c>
      <c r="W429" t="s">
        <v>47</v>
      </c>
      <c r="X429" t="s">
        <v>29</v>
      </c>
    </row>
    <row r="430" spans="1:24" x14ac:dyDescent="0.3">
      <c r="A430" t="s">
        <v>1708</v>
      </c>
      <c r="B430" t="s">
        <v>71</v>
      </c>
      <c r="C430" t="s">
        <v>72</v>
      </c>
      <c r="D430" t="str">
        <f t="shared" si="18"/>
        <v>Evening</v>
      </c>
      <c r="E430">
        <f>HOUR(EV_Data[[#This Row],[Charging Start Time]])</f>
        <v>20</v>
      </c>
      <c r="F430" s="1">
        <v>44944.833333333336</v>
      </c>
      <c r="G430" s="1">
        <v>44944.85</v>
      </c>
      <c r="H430">
        <v>24</v>
      </c>
      <c r="I430">
        <v>40.61</v>
      </c>
      <c r="J430" t="str">
        <f t="shared" si="19"/>
        <v>Medium</v>
      </c>
      <c r="K430" t="s">
        <v>55</v>
      </c>
      <c r="L430">
        <v>44</v>
      </c>
      <c r="M430">
        <v>66</v>
      </c>
      <c r="N430" t="str">
        <f t="shared" si="20"/>
        <v>Medium Cost</v>
      </c>
      <c r="O430">
        <v>13.67</v>
      </c>
      <c r="P430" t="s">
        <v>23</v>
      </c>
      <c r="Q430" t="s">
        <v>58</v>
      </c>
      <c r="R430" t="s">
        <v>56</v>
      </c>
      <c r="S430" t="s">
        <v>459</v>
      </c>
      <c r="T430" t="s">
        <v>46</v>
      </c>
      <c r="U430">
        <v>78</v>
      </c>
      <c r="V430">
        <v>1.9</v>
      </c>
      <c r="W430" t="s">
        <v>38</v>
      </c>
      <c r="X430" t="s">
        <v>83</v>
      </c>
    </row>
    <row r="431" spans="1:24" x14ac:dyDescent="0.3">
      <c r="A431" t="s">
        <v>1709</v>
      </c>
      <c r="B431" t="s">
        <v>40</v>
      </c>
      <c r="C431" t="s">
        <v>41</v>
      </c>
      <c r="D431" t="str">
        <f t="shared" si="18"/>
        <v>Evening</v>
      </c>
      <c r="E431">
        <f>HOUR(EV_Data[[#This Row],[Charging Start Time]])</f>
        <v>21</v>
      </c>
      <c r="F431" s="1">
        <v>44944.875</v>
      </c>
      <c r="G431" s="1">
        <v>44944.897222222222</v>
      </c>
      <c r="H431">
        <v>32</v>
      </c>
      <c r="I431">
        <v>8.9700000000000006</v>
      </c>
      <c r="J431" t="str">
        <f t="shared" si="19"/>
        <v>Low</v>
      </c>
      <c r="K431" t="s">
        <v>32</v>
      </c>
      <c r="L431">
        <v>80</v>
      </c>
      <c r="M431">
        <v>100</v>
      </c>
      <c r="N431" t="str">
        <f t="shared" si="20"/>
        <v>Low Cost</v>
      </c>
      <c r="O431">
        <v>4.41</v>
      </c>
      <c r="P431" t="s">
        <v>64</v>
      </c>
      <c r="Q431" t="s">
        <v>34</v>
      </c>
      <c r="R431" t="s">
        <v>25</v>
      </c>
      <c r="S431" t="s">
        <v>298</v>
      </c>
      <c r="T431" t="s">
        <v>37</v>
      </c>
      <c r="U431">
        <v>91</v>
      </c>
      <c r="V431">
        <v>3.5</v>
      </c>
      <c r="W431" t="s">
        <v>38</v>
      </c>
      <c r="X431" t="s">
        <v>39</v>
      </c>
    </row>
    <row r="432" spans="1:24" x14ac:dyDescent="0.3">
      <c r="A432" t="s">
        <v>1710</v>
      </c>
      <c r="B432" t="s">
        <v>77</v>
      </c>
      <c r="C432" t="s">
        <v>78</v>
      </c>
      <c r="D432" t="str">
        <f t="shared" si="18"/>
        <v>Evening</v>
      </c>
      <c r="E432">
        <f>HOUR(EV_Data[[#This Row],[Charging Start Time]])</f>
        <v>22</v>
      </c>
      <c r="F432" s="1">
        <v>44944.916666666664</v>
      </c>
      <c r="G432" s="1">
        <v>44944.919444444437</v>
      </c>
      <c r="H432">
        <v>4</v>
      </c>
      <c r="I432">
        <v>16.61</v>
      </c>
      <c r="J432" t="str">
        <f t="shared" si="19"/>
        <v>Low</v>
      </c>
      <c r="K432" t="s">
        <v>50</v>
      </c>
      <c r="L432">
        <v>28</v>
      </c>
      <c r="M432">
        <v>52</v>
      </c>
      <c r="N432" t="str">
        <f t="shared" si="20"/>
        <v>Low Cost</v>
      </c>
      <c r="O432">
        <v>7</v>
      </c>
      <c r="P432" t="s">
        <v>51</v>
      </c>
      <c r="Q432" t="s">
        <v>34</v>
      </c>
      <c r="R432" t="s">
        <v>56</v>
      </c>
      <c r="S432" t="s">
        <v>161</v>
      </c>
      <c r="T432" t="s">
        <v>46</v>
      </c>
      <c r="U432">
        <v>49</v>
      </c>
      <c r="V432">
        <v>4</v>
      </c>
      <c r="W432" t="s">
        <v>38</v>
      </c>
      <c r="X432" t="s">
        <v>83</v>
      </c>
    </row>
    <row r="433" spans="1:24" x14ac:dyDescent="0.3">
      <c r="A433" t="s">
        <v>1711</v>
      </c>
      <c r="B433" t="s">
        <v>20</v>
      </c>
      <c r="C433" t="s">
        <v>21</v>
      </c>
      <c r="D433" t="str">
        <f t="shared" si="18"/>
        <v>Evening</v>
      </c>
      <c r="E433">
        <f>HOUR(EV_Data[[#This Row],[Charging Start Time]])</f>
        <v>23</v>
      </c>
      <c r="F433" s="1">
        <v>44944.958333333336</v>
      </c>
      <c r="G433" s="1">
        <v>44945.007638888892</v>
      </c>
      <c r="H433">
        <v>71</v>
      </c>
      <c r="I433">
        <v>21.99</v>
      </c>
      <c r="J433" t="str">
        <f t="shared" si="19"/>
        <v>Medium</v>
      </c>
      <c r="K433" t="s">
        <v>42</v>
      </c>
      <c r="L433">
        <v>21</v>
      </c>
      <c r="M433">
        <v>41</v>
      </c>
      <c r="N433" t="str">
        <f t="shared" si="20"/>
        <v>Low Cost</v>
      </c>
      <c r="O433">
        <v>4.84</v>
      </c>
      <c r="P433" t="s">
        <v>23</v>
      </c>
      <c r="Q433" t="s">
        <v>58</v>
      </c>
      <c r="R433" t="s">
        <v>56</v>
      </c>
      <c r="S433" t="s">
        <v>460</v>
      </c>
      <c r="T433" t="s">
        <v>46</v>
      </c>
      <c r="U433">
        <v>3</v>
      </c>
      <c r="V433">
        <v>2.9</v>
      </c>
      <c r="W433" t="s">
        <v>38</v>
      </c>
    </row>
    <row r="434" spans="1:24" x14ac:dyDescent="0.3">
      <c r="A434" t="s">
        <v>1712</v>
      </c>
      <c r="B434" t="s">
        <v>77</v>
      </c>
      <c r="C434" t="s">
        <v>78</v>
      </c>
      <c r="D434" t="str">
        <f t="shared" si="18"/>
        <v>Morning</v>
      </c>
      <c r="E434">
        <f>HOUR(EV_Data[[#This Row],[Charging Start Time]])</f>
        <v>0</v>
      </c>
      <c r="F434" s="1">
        <v>44945</v>
      </c>
      <c r="G434" s="1">
        <v>44945.040277777778</v>
      </c>
      <c r="H434">
        <v>58</v>
      </c>
      <c r="I434">
        <v>24.07</v>
      </c>
      <c r="J434" t="str">
        <f t="shared" si="19"/>
        <v>Medium</v>
      </c>
      <c r="K434" t="s">
        <v>50</v>
      </c>
      <c r="L434">
        <v>62</v>
      </c>
      <c r="M434">
        <v>88</v>
      </c>
      <c r="N434" t="str">
        <f t="shared" si="20"/>
        <v>Medium Cost</v>
      </c>
      <c r="O434">
        <v>11.05</v>
      </c>
      <c r="P434" t="s">
        <v>33</v>
      </c>
      <c r="Q434" t="s">
        <v>58</v>
      </c>
      <c r="R434" t="s">
        <v>25</v>
      </c>
      <c r="S434" t="s">
        <v>108</v>
      </c>
      <c r="T434" t="s">
        <v>27</v>
      </c>
      <c r="U434">
        <v>98</v>
      </c>
      <c r="V434">
        <v>2.6</v>
      </c>
      <c r="W434" t="s">
        <v>28</v>
      </c>
      <c r="X434" t="s">
        <v>68</v>
      </c>
    </row>
    <row r="435" spans="1:24" x14ac:dyDescent="0.3">
      <c r="A435" t="s">
        <v>1713</v>
      </c>
      <c r="B435" t="s">
        <v>53</v>
      </c>
      <c r="C435" t="s">
        <v>54</v>
      </c>
      <c r="D435" t="str">
        <f t="shared" si="18"/>
        <v>Morning</v>
      </c>
      <c r="E435">
        <f>HOUR(EV_Data[[#This Row],[Charging Start Time]])</f>
        <v>1</v>
      </c>
      <c r="F435" s="1">
        <v>44945.041666666664</v>
      </c>
      <c r="G435" s="1">
        <v>44945.064583333333</v>
      </c>
      <c r="H435">
        <v>33</v>
      </c>
      <c r="I435">
        <v>6.42</v>
      </c>
      <c r="J435" t="str">
        <f t="shared" si="19"/>
        <v>Low</v>
      </c>
      <c r="K435" t="s">
        <v>50</v>
      </c>
      <c r="L435">
        <v>31</v>
      </c>
      <c r="M435">
        <v>58</v>
      </c>
      <c r="N435" t="str">
        <f t="shared" si="20"/>
        <v>Low Cost</v>
      </c>
      <c r="O435">
        <v>1.52</v>
      </c>
      <c r="P435" t="s">
        <v>43</v>
      </c>
      <c r="Q435" t="s">
        <v>34</v>
      </c>
      <c r="R435" t="s">
        <v>44</v>
      </c>
      <c r="S435" t="s">
        <v>461</v>
      </c>
      <c r="T435" t="s">
        <v>37</v>
      </c>
      <c r="U435">
        <v>3</v>
      </c>
      <c r="V435">
        <v>1.5</v>
      </c>
      <c r="W435" t="s">
        <v>38</v>
      </c>
      <c r="X435" t="s">
        <v>85</v>
      </c>
    </row>
    <row r="436" spans="1:24" x14ac:dyDescent="0.3">
      <c r="A436" t="s">
        <v>1714</v>
      </c>
      <c r="B436" t="s">
        <v>40</v>
      </c>
      <c r="C436" t="s">
        <v>41</v>
      </c>
      <c r="D436" t="str">
        <f t="shared" si="18"/>
        <v>Morning</v>
      </c>
      <c r="E436">
        <f>HOUR(EV_Data[[#This Row],[Charging Start Time]])</f>
        <v>2</v>
      </c>
      <c r="F436" s="1">
        <v>44945.083333333336</v>
      </c>
      <c r="G436" s="1">
        <v>44945.127083333333</v>
      </c>
      <c r="H436">
        <v>63</v>
      </c>
      <c r="I436">
        <v>13.97</v>
      </c>
      <c r="J436" t="str">
        <f t="shared" si="19"/>
        <v>Low</v>
      </c>
      <c r="K436" t="s">
        <v>42</v>
      </c>
      <c r="L436">
        <v>29</v>
      </c>
      <c r="M436">
        <v>63</v>
      </c>
      <c r="N436" t="str">
        <f t="shared" si="20"/>
        <v>Low Cost</v>
      </c>
      <c r="O436">
        <v>2.96</v>
      </c>
      <c r="P436" t="s">
        <v>33</v>
      </c>
      <c r="Q436" t="s">
        <v>34</v>
      </c>
      <c r="R436" t="s">
        <v>44</v>
      </c>
      <c r="S436" t="s">
        <v>339</v>
      </c>
      <c r="T436" t="s">
        <v>46</v>
      </c>
      <c r="U436">
        <v>96</v>
      </c>
      <c r="V436">
        <v>2.4</v>
      </c>
      <c r="W436" t="s">
        <v>47</v>
      </c>
      <c r="X436" t="s">
        <v>29</v>
      </c>
    </row>
    <row r="437" spans="1:24" x14ac:dyDescent="0.3">
      <c r="A437" t="s">
        <v>1715</v>
      </c>
      <c r="B437" t="s">
        <v>77</v>
      </c>
      <c r="C437" t="s">
        <v>78</v>
      </c>
      <c r="D437" t="str">
        <f t="shared" si="18"/>
        <v>Morning</v>
      </c>
      <c r="E437">
        <f>HOUR(EV_Data[[#This Row],[Charging Start Time]])</f>
        <v>3</v>
      </c>
      <c r="F437" s="1">
        <v>44945.125</v>
      </c>
      <c r="G437" s="1">
        <v>44945.158333333333</v>
      </c>
      <c r="H437">
        <v>48</v>
      </c>
      <c r="I437">
        <v>27.37</v>
      </c>
      <c r="J437" t="str">
        <f t="shared" si="19"/>
        <v>Medium</v>
      </c>
      <c r="K437" t="s">
        <v>50</v>
      </c>
      <c r="L437">
        <v>50</v>
      </c>
      <c r="M437">
        <v>71</v>
      </c>
      <c r="N437" t="str">
        <f t="shared" si="20"/>
        <v>Medium Cost</v>
      </c>
      <c r="O437">
        <v>13.06</v>
      </c>
      <c r="P437" t="s">
        <v>43</v>
      </c>
      <c r="Q437" t="s">
        <v>34</v>
      </c>
      <c r="R437" t="s">
        <v>56</v>
      </c>
      <c r="S437" t="s">
        <v>462</v>
      </c>
      <c r="T437" t="s">
        <v>27</v>
      </c>
      <c r="U437">
        <v>82</v>
      </c>
      <c r="V437">
        <v>1.2</v>
      </c>
      <c r="W437" t="s">
        <v>38</v>
      </c>
      <c r="X437" t="s">
        <v>62</v>
      </c>
    </row>
    <row r="438" spans="1:24" x14ac:dyDescent="0.3">
      <c r="A438" t="s">
        <v>1716</v>
      </c>
      <c r="B438" t="s">
        <v>92</v>
      </c>
      <c r="C438" t="s">
        <v>93</v>
      </c>
      <c r="D438" t="str">
        <f t="shared" si="18"/>
        <v>Morning</v>
      </c>
      <c r="E438">
        <f>HOUR(EV_Data[[#This Row],[Charging Start Time]])</f>
        <v>4</v>
      </c>
      <c r="F438" s="1">
        <v>44945.166666666664</v>
      </c>
      <c r="G438" s="1">
        <v>44945.205555555563</v>
      </c>
      <c r="H438">
        <v>56</v>
      </c>
      <c r="I438">
        <v>14.83</v>
      </c>
      <c r="J438" t="str">
        <f t="shared" si="19"/>
        <v>Low</v>
      </c>
      <c r="K438" t="s">
        <v>69</v>
      </c>
      <c r="L438">
        <v>15</v>
      </c>
      <c r="M438">
        <v>38</v>
      </c>
      <c r="N438" t="str">
        <f t="shared" si="20"/>
        <v>Low Cost</v>
      </c>
      <c r="O438">
        <v>3.09</v>
      </c>
      <c r="P438" t="s">
        <v>33</v>
      </c>
      <c r="Q438" t="s">
        <v>58</v>
      </c>
      <c r="R438" t="s">
        <v>44</v>
      </c>
      <c r="S438" t="s">
        <v>177</v>
      </c>
      <c r="T438" t="s">
        <v>37</v>
      </c>
      <c r="U438">
        <v>72</v>
      </c>
      <c r="V438">
        <v>3.7</v>
      </c>
      <c r="W438" t="s">
        <v>28</v>
      </c>
      <c r="X438" t="s">
        <v>68</v>
      </c>
    </row>
    <row r="439" spans="1:24" x14ac:dyDescent="0.3">
      <c r="A439" t="s">
        <v>1717</v>
      </c>
      <c r="B439" t="s">
        <v>20</v>
      </c>
      <c r="C439" t="s">
        <v>21</v>
      </c>
      <c r="D439" t="str">
        <f t="shared" si="18"/>
        <v>Morning</v>
      </c>
      <c r="E439">
        <f>HOUR(EV_Data[[#This Row],[Charging Start Time]])</f>
        <v>5</v>
      </c>
      <c r="F439" s="1">
        <v>44945.208333333336</v>
      </c>
      <c r="G439" s="1">
        <v>44945.247916666667</v>
      </c>
      <c r="H439">
        <v>57</v>
      </c>
      <c r="I439">
        <v>32.619999999999997</v>
      </c>
      <c r="J439" t="str">
        <f t="shared" si="19"/>
        <v>Medium</v>
      </c>
      <c r="K439" t="s">
        <v>42</v>
      </c>
      <c r="L439">
        <v>62</v>
      </c>
      <c r="M439">
        <v>89</v>
      </c>
      <c r="N439" t="str">
        <f t="shared" si="20"/>
        <v>Low Cost</v>
      </c>
      <c r="O439">
        <v>7.76</v>
      </c>
      <c r="P439" t="s">
        <v>64</v>
      </c>
      <c r="Q439" t="s">
        <v>24</v>
      </c>
      <c r="R439" t="s">
        <v>56</v>
      </c>
      <c r="S439" t="s">
        <v>463</v>
      </c>
      <c r="T439" t="s">
        <v>46</v>
      </c>
      <c r="U439">
        <v>64</v>
      </c>
      <c r="V439">
        <v>2.2999999999999998</v>
      </c>
      <c r="W439" t="s">
        <v>28</v>
      </c>
      <c r="X439" t="s">
        <v>68</v>
      </c>
    </row>
    <row r="440" spans="1:24" x14ac:dyDescent="0.3">
      <c r="A440" t="s">
        <v>1718</v>
      </c>
      <c r="B440" t="s">
        <v>77</v>
      </c>
      <c r="C440" t="s">
        <v>78</v>
      </c>
      <c r="D440" t="str">
        <f t="shared" si="18"/>
        <v>Morning</v>
      </c>
      <c r="E440">
        <f>HOUR(EV_Data[[#This Row],[Charging Start Time]])</f>
        <v>6</v>
      </c>
      <c r="F440" s="1">
        <v>44945.25</v>
      </c>
      <c r="G440" s="1">
        <v>44945.291666666657</v>
      </c>
      <c r="H440">
        <v>60</v>
      </c>
      <c r="I440">
        <v>44.01</v>
      </c>
      <c r="J440" t="str">
        <f t="shared" si="19"/>
        <v>Medium</v>
      </c>
      <c r="K440" t="s">
        <v>55</v>
      </c>
      <c r="L440">
        <v>56</v>
      </c>
      <c r="M440">
        <v>68</v>
      </c>
      <c r="N440" t="str">
        <f t="shared" si="20"/>
        <v>High Cost</v>
      </c>
      <c r="O440">
        <v>19.77</v>
      </c>
      <c r="P440" t="s">
        <v>64</v>
      </c>
      <c r="Q440" t="s">
        <v>24</v>
      </c>
      <c r="R440" t="s">
        <v>44</v>
      </c>
      <c r="S440" t="s">
        <v>464</v>
      </c>
      <c r="T440" t="s">
        <v>27</v>
      </c>
      <c r="U440">
        <v>45</v>
      </c>
      <c r="V440">
        <v>2.5</v>
      </c>
      <c r="W440" t="s">
        <v>38</v>
      </c>
      <c r="X440" t="s">
        <v>39</v>
      </c>
    </row>
    <row r="441" spans="1:24" x14ac:dyDescent="0.3">
      <c r="A441" t="s">
        <v>1719</v>
      </c>
      <c r="B441" t="s">
        <v>71</v>
      </c>
      <c r="C441" t="s">
        <v>72</v>
      </c>
      <c r="D441" t="str">
        <f t="shared" si="18"/>
        <v>Morning</v>
      </c>
      <c r="E441">
        <f>HOUR(EV_Data[[#This Row],[Charging Start Time]])</f>
        <v>7</v>
      </c>
      <c r="F441" s="1">
        <v>44945.291666666664</v>
      </c>
      <c r="G441" s="1">
        <v>44945.32708333333</v>
      </c>
      <c r="H441">
        <v>51</v>
      </c>
      <c r="I441">
        <v>15.12</v>
      </c>
      <c r="J441" t="str">
        <f t="shared" si="19"/>
        <v>Low</v>
      </c>
      <c r="K441" t="s">
        <v>22</v>
      </c>
      <c r="L441">
        <v>51</v>
      </c>
      <c r="M441">
        <v>83</v>
      </c>
      <c r="N441" t="str">
        <f t="shared" si="20"/>
        <v>Low Cost</v>
      </c>
      <c r="O441">
        <v>6.11</v>
      </c>
      <c r="P441" t="s">
        <v>51</v>
      </c>
      <c r="Q441" t="s">
        <v>34</v>
      </c>
      <c r="R441" t="s">
        <v>56</v>
      </c>
      <c r="S441" t="s">
        <v>465</v>
      </c>
      <c r="T441" t="s">
        <v>27</v>
      </c>
      <c r="U441">
        <v>12</v>
      </c>
      <c r="V441">
        <v>3.1</v>
      </c>
      <c r="W441" t="s">
        <v>47</v>
      </c>
      <c r="X441" t="s">
        <v>29</v>
      </c>
    </row>
    <row r="442" spans="1:24" x14ac:dyDescent="0.3">
      <c r="A442" t="s">
        <v>1720</v>
      </c>
      <c r="B442" t="s">
        <v>20</v>
      </c>
      <c r="C442" t="s">
        <v>21</v>
      </c>
      <c r="D442" t="str">
        <f t="shared" si="18"/>
        <v>Morning</v>
      </c>
      <c r="E442">
        <f>HOUR(EV_Data[[#This Row],[Charging Start Time]])</f>
        <v>8</v>
      </c>
      <c r="F442" s="1">
        <v>44945.333333333336</v>
      </c>
      <c r="G442" s="1">
        <v>44945.334027777782</v>
      </c>
      <c r="H442">
        <v>1</v>
      </c>
      <c r="I442">
        <v>8.9700000000000006</v>
      </c>
      <c r="J442" t="str">
        <f t="shared" si="19"/>
        <v>Low</v>
      </c>
      <c r="K442" t="s">
        <v>22</v>
      </c>
      <c r="L442">
        <v>62</v>
      </c>
      <c r="M442">
        <v>96</v>
      </c>
      <c r="N442" t="str">
        <f t="shared" si="20"/>
        <v>Low Cost</v>
      </c>
      <c r="O442">
        <v>3.08</v>
      </c>
      <c r="P442" t="s">
        <v>43</v>
      </c>
      <c r="Q442" t="s">
        <v>24</v>
      </c>
      <c r="R442" t="s">
        <v>35</v>
      </c>
      <c r="S442" t="s">
        <v>89</v>
      </c>
      <c r="T442" t="s">
        <v>60</v>
      </c>
      <c r="U442">
        <v>9</v>
      </c>
      <c r="V442">
        <v>4.5</v>
      </c>
      <c r="W442" t="s">
        <v>28</v>
      </c>
      <c r="X442" t="s">
        <v>68</v>
      </c>
    </row>
    <row r="443" spans="1:24" x14ac:dyDescent="0.3">
      <c r="A443" t="s">
        <v>1721</v>
      </c>
      <c r="B443" t="s">
        <v>20</v>
      </c>
      <c r="C443" t="s">
        <v>21</v>
      </c>
      <c r="D443" t="str">
        <f t="shared" si="18"/>
        <v>Morning</v>
      </c>
      <c r="E443">
        <f>HOUR(EV_Data[[#This Row],[Charging Start Time]])</f>
        <v>9</v>
      </c>
      <c r="F443" s="1">
        <v>44945.375</v>
      </c>
      <c r="G443" s="1">
        <v>44945.425694444442</v>
      </c>
      <c r="H443">
        <v>73</v>
      </c>
      <c r="I443">
        <v>10.71</v>
      </c>
      <c r="J443" t="str">
        <f t="shared" si="19"/>
        <v>Low</v>
      </c>
      <c r="K443" t="s">
        <v>32</v>
      </c>
      <c r="L443">
        <v>53</v>
      </c>
      <c r="M443">
        <v>65</v>
      </c>
      <c r="N443" t="str">
        <f t="shared" si="20"/>
        <v>Low Cost</v>
      </c>
      <c r="O443">
        <v>5.2</v>
      </c>
      <c r="P443" t="s">
        <v>23</v>
      </c>
      <c r="Q443" t="s">
        <v>58</v>
      </c>
      <c r="R443" t="s">
        <v>44</v>
      </c>
      <c r="S443" t="s">
        <v>466</v>
      </c>
      <c r="T443" t="s">
        <v>60</v>
      </c>
      <c r="U443">
        <v>45</v>
      </c>
      <c r="V443">
        <v>4</v>
      </c>
      <c r="W443" t="s">
        <v>47</v>
      </c>
      <c r="X443" t="s">
        <v>29</v>
      </c>
    </row>
    <row r="444" spans="1:24" x14ac:dyDescent="0.3">
      <c r="A444" t="s">
        <v>1722</v>
      </c>
      <c r="B444" t="s">
        <v>30</v>
      </c>
      <c r="C444" t="s">
        <v>102</v>
      </c>
      <c r="D444" t="str">
        <f t="shared" si="18"/>
        <v>Morning</v>
      </c>
      <c r="E444">
        <f>HOUR(EV_Data[[#This Row],[Charging Start Time]])</f>
        <v>10</v>
      </c>
      <c r="F444" s="1">
        <v>44945.416666666664</v>
      </c>
      <c r="G444" s="1">
        <v>44945.462500000001</v>
      </c>
      <c r="H444">
        <v>66</v>
      </c>
      <c r="I444">
        <v>18.63</v>
      </c>
      <c r="J444" t="str">
        <f t="shared" si="19"/>
        <v>Low</v>
      </c>
      <c r="K444" t="s">
        <v>32</v>
      </c>
      <c r="L444">
        <v>33</v>
      </c>
      <c r="M444">
        <v>70</v>
      </c>
      <c r="N444" t="str">
        <f t="shared" si="20"/>
        <v>Low Cost</v>
      </c>
      <c r="O444">
        <v>5.04</v>
      </c>
      <c r="P444" t="s">
        <v>64</v>
      </c>
      <c r="Q444" t="s">
        <v>34</v>
      </c>
      <c r="R444" t="s">
        <v>35</v>
      </c>
      <c r="S444" t="s">
        <v>467</v>
      </c>
      <c r="T444" t="s">
        <v>60</v>
      </c>
      <c r="U444">
        <v>68</v>
      </c>
      <c r="V444">
        <v>2.5</v>
      </c>
      <c r="W444" t="s">
        <v>28</v>
      </c>
      <c r="X444" t="s">
        <v>68</v>
      </c>
    </row>
    <row r="445" spans="1:24" x14ac:dyDescent="0.3">
      <c r="A445" t="s">
        <v>1723</v>
      </c>
      <c r="B445" t="s">
        <v>40</v>
      </c>
      <c r="C445" t="s">
        <v>41</v>
      </c>
      <c r="D445" t="str">
        <f t="shared" si="18"/>
        <v>Morning</v>
      </c>
      <c r="E445">
        <f>HOUR(EV_Data[[#This Row],[Charging Start Time]])</f>
        <v>11</v>
      </c>
      <c r="F445" s="1">
        <v>44945.458333333336</v>
      </c>
      <c r="G445" s="1">
        <v>44945.497916666667</v>
      </c>
      <c r="H445">
        <v>57</v>
      </c>
      <c r="I445">
        <v>35.979999999999997</v>
      </c>
      <c r="J445" t="str">
        <f t="shared" si="19"/>
        <v>Medium</v>
      </c>
      <c r="K445" t="s">
        <v>50</v>
      </c>
      <c r="L445">
        <v>73</v>
      </c>
      <c r="M445">
        <v>94</v>
      </c>
      <c r="N445" t="str">
        <f t="shared" si="20"/>
        <v>Medium Cost</v>
      </c>
      <c r="O445">
        <v>8.69</v>
      </c>
      <c r="P445" t="s">
        <v>33</v>
      </c>
      <c r="Q445" t="s">
        <v>48</v>
      </c>
      <c r="R445" t="s">
        <v>56</v>
      </c>
      <c r="S445" t="s">
        <v>468</v>
      </c>
      <c r="T445" t="s">
        <v>27</v>
      </c>
      <c r="U445">
        <v>46</v>
      </c>
      <c r="V445">
        <v>2.9</v>
      </c>
      <c r="W445" t="s">
        <v>38</v>
      </c>
      <c r="X445" t="s">
        <v>83</v>
      </c>
    </row>
    <row r="446" spans="1:24" x14ac:dyDescent="0.3">
      <c r="A446" t="s">
        <v>1724</v>
      </c>
      <c r="B446" t="s">
        <v>53</v>
      </c>
      <c r="C446" t="s">
        <v>54</v>
      </c>
      <c r="D446" t="str">
        <f t="shared" si="18"/>
        <v>Afternoon</v>
      </c>
      <c r="E446">
        <f>HOUR(EV_Data[[#This Row],[Charging Start Time]])</f>
        <v>12</v>
      </c>
      <c r="F446" s="1">
        <v>44945.5</v>
      </c>
      <c r="G446" s="1">
        <v>44945.573611111111</v>
      </c>
      <c r="H446">
        <v>106</v>
      </c>
      <c r="I446">
        <v>20.43</v>
      </c>
      <c r="J446" t="str">
        <f t="shared" si="19"/>
        <v>Medium</v>
      </c>
      <c r="K446" t="s">
        <v>69</v>
      </c>
      <c r="L446">
        <v>47</v>
      </c>
      <c r="M446">
        <v>59</v>
      </c>
      <c r="N446" t="str">
        <f t="shared" si="20"/>
        <v>Medium Cost</v>
      </c>
      <c r="O446">
        <v>8.3800000000000008</v>
      </c>
      <c r="P446" t="s">
        <v>43</v>
      </c>
      <c r="Q446" t="s">
        <v>58</v>
      </c>
      <c r="R446" t="s">
        <v>56</v>
      </c>
      <c r="S446" t="s">
        <v>469</v>
      </c>
      <c r="T446" t="s">
        <v>27</v>
      </c>
      <c r="U446">
        <v>60</v>
      </c>
      <c r="V446">
        <v>2.4</v>
      </c>
      <c r="W446" t="s">
        <v>28</v>
      </c>
      <c r="X446" t="s">
        <v>68</v>
      </c>
    </row>
    <row r="447" spans="1:24" x14ac:dyDescent="0.3">
      <c r="A447" t="s">
        <v>1725</v>
      </c>
      <c r="B447" t="s">
        <v>30</v>
      </c>
      <c r="C447" t="s">
        <v>102</v>
      </c>
      <c r="D447" t="str">
        <f t="shared" si="18"/>
        <v>Afternoon</v>
      </c>
      <c r="E447">
        <f>HOUR(EV_Data[[#This Row],[Charging Start Time]])</f>
        <v>13</v>
      </c>
      <c r="F447" s="1">
        <v>44945.541666666664</v>
      </c>
      <c r="G447" s="1">
        <v>44945.618055555547</v>
      </c>
      <c r="H447">
        <v>110</v>
      </c>
      <c r="I447">
        <v>37.85</v>
      </c>
      <c r="J447" t="str">
        <f t="shared" si="19"/>
        <v>Medium</v>
      </c>
      <c r="K447" t="s">
        <v>69</v>
      </c>
      <c r="L447">
        <v>14</v>
      </c>
      <c r="M447">
        <v>40</v>
      </c>
      <c r="N447" t="str">
        <f t="shared" si="20"/>
        <v>Medium Cost</v>
      </c>
      <c r="O447">
        <v>14.08</v>
      </c>
      <c r="P447" t="s">
        <v>51</v>
      </c>
      <c r="Q447" t="s">
        <v>24</v>
      </c>
      <c r="R447" t="s">
        <v>56</v>
      </c>
      <c r="S447" t="s">
        <v>470</v>
      </c>
      <c r="T447" t="s">
        <v>27</v>
      </c>
      <c r="U447">
        <v>97</v>
      </c>
      <c r="V447">
        <v>2.2000000000000002</v>
      </c>
      <c r="W447" t="s">
        <v>47</v>
      </c>
      <c r="X447" t="s">
        <v>29</v>
      </c>
    </row>
    <row r="448" spans="1:24" x14ac:dyDescent="0.3">
      <c r="A448" t="s">
        <v>1726</v>
      </c>
      <c r="B448" t="s">
        <v>71</v>
      </c>
      <c r="C448" t="s">
        <v>72</v>
      </c>
      <c r="D448" t="str">
        <f t="shared" si="18"/>
        <v>Afternoon</v>
      </c>
      <c r="E448">
        <f>HOUR(EV_Data[[#This Row],[Charging Start Time]])</f>
        <v>14</v>
      </c>
      <c r="F448" s="1">
        <v>44945.583333333336</v>
      </c>
      <c r="G448" s="1">
        <v>44945.606944444437</v>
      </c>
      <c r="H448">
        <v>34</v>
      </c>
      <c r="I448">
        <v>20.72</v>
      </c>
      <c r="J448" t="str">
        <f t="shared" si="19"/>
        <v>Medium</v>
      </c>
      <c r="K448" t="s">
        <v>32</v>
      </c>
      <c r="L448">
        <v>37</v>
      </c>
      <c r="M448">
        <v>56</v>
      </c>
      <c r="N448" t="str">
        <f t="shared" si="20"/>
        <v>Medium Cost</v>
      </c>
      <c r="O448">
        <v>9.89</v>
      </c>
      <c r="P448" t="s">
        <v>64</v>
      </c>
      <c r="Q448" t="s">
        <v>34</v>
      </c>
      <c r="R448" t="s">
        <v>44</v>
      </c>
      <c r="S448" t="s">
        <v>471</v>
      </c>
      <c r="T448" t="s">
        <v>37</v>
      </c>
      <c r="U448">
        <v>83</v>
      </c>
      <c r="V448">
        <v>2.7</v>
      </c>
      <c r="W448" t="s">
        <v>28</v>
      </c>
      <c r="X448" t="s">
        <v>68</v>
      </c>
    </row>
    <row r="449" spans="1:24" x14ac:dyDescent="0.3">
      <c r="A449" t="s">
        <v>1727</v>
      </c>
      <c r="B449" t="s">
        <v>20</v>
      </c>
      <c r="C449" t="s">
        <v>21</v>
      </c>
      <c r="D449" t="str">
        <f t="shared" si="18"/>
        <v>Afternoon</v>
      </c>
      <c r="E449">
        <f>HOUR(EV_Data[[#This Row],[Charging Start Time]])</f>
        <v>15</v>
      </c>
      <c r="F449" s="1">
        <v>44945.625</v>
      </c>
      <c r="G449" s="1">
        <v>44945.657638888893</v>
      </c>
      <c r="H449">
        <v>47</v>
      </c>
      <c r="I449">
        <v>48.05</v>
      </c>
      <c r="J449" t="str">
        <f t="shared" si="19"/>
        <v>Medium</v>
      </c>
      <c r="K449" t="s">
        <v>55</v>
      </c>
      <c r="L449">
        <v>41</v>
      </c>
      <c r="M449">
        <v>58</v>
      </c>
      <c r="N449" t="str">
        <f t="shared" si="20"/>
        <v>Medium Cost</v>
      </c>
      <c r="O449">
        <v>14.17</v>
      </c>
      <c r="P449" t="s">
        <v>64</v>
      </c>
      <c r="Q449" t="s">
        <v>24</v>
      </c>
      <c r="R449" t="s">
        <v>56</v>
      </c>
      <c r="S449" t="s">
        <v>472</v>
      </c>
      <c r="T449" t="s">
        <v>46</v>
      </c>
      <c r="U449">
        <v>11</v>
      </c>
      <c r="V449">
        <v>1.3</v>
      </c>
      <c r="W449" t="s">
        <v>28</v>
      </c>
      <c r="X449" t="s">
        <v>68</v>
      </c>
    </row>
    <row r="450" spans="1:24" x14ac:dyDescent="0.3">
      <c r="A450" t="s">
        <v>1728</v>
      </c>
      <c r="B450" t="s">
        <v>126</v>
      </c>
      <c r="C450" t="s">
        <v>31</v>
      </c>
      <c r="D450" t="str">
        <f t="shared" ref="D450:D513" si="21">IF(E450&lt;12,"Morning",IF(E450&lt;17,"Afternoon","Evening"))</f>
        <v>Afternoon</v>
      </c>
      <c r="E450">
        <f>HOUR(EV_Data[[#This Row],[Charging Start Time]])</f>
        <v>16</v>
      </c>
      <c r="F450" s="1">
        <v>44945.666666666664</v>
      </c>
      <c r="G450" s="1">
        <v>44945.704861111109</v>
      </c>
      <c r="H450">
        <v>55</v>
      </c>
      <c r="I450">
        <v>33.93</v>
      </c>
      <c r="J450" t="str">
        <f t="shared" ref="J450:J513" si="22">IF(I450&lt;20,"Low",IF(I450&lt;50,"Medium","High"))</f>
        <v>Medium</v>
      </c>
      <c r="K450" t="s">
        <v>22</v>
      </c>
      <c r="L450">
        <v>11</v>
      </c>
      <c r="M450">
        <v>40</v>
      </c>
      <c r="N450" t="str">
        <f t="shared" ref="N450:N513" si="23">IF(O450&lt;8,"Low Cost",IF(O450&lt;17,"Medium Cost","High Cost"))</f>
        <v>Medium Cost</v>
      </c>
      <c r="O450">
        <v>11.69</v>
      </c>
      <c r="P450" t="s">
        <v>64</v>
      </c>
      <c r="Q450" t="s">
        <v>48</v>
      </c>
      <c r="R450" t="s">
        <v>56</v>
      </c>
      <c r="S450" t="s">
        <v>473</v>
      </c>
      <c r="T450" t="s">
        <v>60</v>
      </c>
      <c r="U450">
        <v>38</v>
      </c>
      <c r="V450">
        <v>4.4000000000000004</v>
      </c>
      <c r="W450" t="s">
        <v>28</v>
      </c>
      <c r="X450" t="s">
        <v>68</v>
      </c>
    </row>
    <row r="451" spans="1:24" x14ac:dyDescent="0.3">
      <c r="A451" t="s">
        <v>1729</v>
      </c>
      <c r="B451" t="s">
        <v>53</v>
      </c>
      <c r="C451" t="s">
        <v>54</v>
      </c>
      <c r="D451" t="str">
        <f t="shared" si="21"/>
        <v>Evening</v>
      </c>
      <c r="E451">
        <f>HOUR(EV_Data[[#This Row],[Charging Start Time]])</f>
        <v>17</v>
      </c>
      <c r="F451" s="1">
        <v>44945.708333333336</v>
      </c>
      <c r="G451" s="1">
        <v>44945.777777777781</v>
      </c>
      <c r="H451">
        <v>100</v>
      </c>
      <c r="I451">
        <v>9.33</v>
      </c>
      <c r="J451" t="str">
        <f t="shared" si="22"/>
        <v>Low</v>
      </c>
      <c r="K451" t="s">
        <v>69</v>
      </c>
      <c r="L451">
        <v>64</v>
      </c>
      <c r="M451">
        <v>100</v>
      </c>
      <c r="N451" t="str">
        <f t="shared" si="23"/>
        <v>Low Cost</v>
      </c>
      <c r="O451">
        <v>3.58</v>
      </c>
      <c r="P451" t="s">
        <v>43</v>
      </c>
      <c r="Q451" t="s">
        <v>34</v>
      </c>
      <c r="R451" t="s">
        <v>44</v>
      </c>
      <c r="S451" t="s">
        <v>474</v>
      </c>
      <c r="T451" t="s">
        <v>27</v>
      </c>
      <c r="U451">
        <v>55</v>
      </c>
      <c r="V451">
        <v>3.1</v>
      </c>
      <c r="W451" t="s">
        <v>47</v>
      </c>
      <c r="X451" t="s">
        <v>29</v>
      </c>
    </row>
    <row r="452" spans="1:24" x14ac:dyDescent="0.3">
      <c r="A452" t="s">
        <v>1730</v>
      </c>
      <c r="B452" t="s">
        <v>40</v>
      </c>
      <c r="C452" t="s">
        <v>41</v>
      </c>
      <c r="D452" t="str">
        <f t="shared" si="21"/>
        <v>Evening</v>
      </c>
      <c r="E452">
        <f>HOUR(EV_Data[[#This Row],[Charging Start Time]])</f>
        <v>18</v>
      </c>
      <c r="F452" s="1">
        <v>44945.75</v>
      </c>
      <c r="G452" s="1">
        <v>44945.755555555559</v>
      </c>
      <c r="H452">
        <v>8</v>
      </c>
      <c r="I452">
        <v>39.44</v>
      </c>
      <c r="J452" t="str">
        <f t="shared" si="22"/>
        <v>Medium</v>
      </c>
      <c r="K452" t="s">
        <v>55</v>
      </c>
      <c r="L452">
        <v>29</v>
      </c>
      <c r="M452">
        <v>47</v>
      </c>
      <c r="N452" t="str">
        <f t="shared" si="23"/>
        <v>High Cost</v>
      </c>
      <c r="O452">
        <v>18.14</v>
      </c>
      <c r="P452" t="s">
        <v>43</v>
      </c>
      <c r="Q452" t="s">
        <v>24</v>
      </c>
      <c r="R452" t="s">
        <v>56</v>
      </c>
      <c r="S452" t="s">
        <v>378</v>
      </c>
      <c r="T452" t="s">
        <v>46</v>
      </c>
      <c r="U452">
        <v>15</v>
      </c>
      <c r="V452">
        <v>4.3</v>
      </c>
      <c r="W452" t="s">
        <v>47</v>
      </c>
      <c r="X452" t="s">
        <v>29</v>
      </c>
    </row>
    <row r="453" spans="1:24" x14ac:dyDescent="0.3">
      <c r="A453" t="s">
        <v>1731</v>
      </c>
      <c r="B453" t="s">
        <v>30</v>
      </c>
      <c r="C453" t="s">
        <v>102</v>
      </c>
      <c r="D453" t="str">
        <f t="shared" si="21"/>
        <v>Evening</v>
      </c>
      <c r="E453">
        <f>HOUR(EV_Data[[#This Row],[Charging Start Time]])</f>
        <v>19</v>
      </c>
      <c r="F453" s="1">
        <v>44945.791666666664</v>
      </c>
      <c r="G453" s="1">
        <v>44945.8125</v>
      </c>
      <c r="H453">
        <v>30</v>
      </c>
      <c r="I453">
        <v>36.340000000000003</v>
      </c>
      <c r="J453" t="str">
        <f t="shared" si="22"/>
        <v>Medium</v>
      </c>
      <c r="K453" t="s">
        <v>22</v>
      </c>
      <c r="L453">
        <v>78</v>
      </c>
      <c r="M453">
        <v>100</v>
      </c>
      <c r="N453" t="str">
        <f t="shared" si="23"/>
        <v>Medium Cost</v>
      </c>
      <c r="O453">
        <v>15.54</v>
      </c>
      <c r="P453" t="s">
        <v>23</v>
      </c>
      <c r="Q453" t="s">
        <v>24</v>
      </c>
      <c r="R453" t="s">
        <v>56</v>
      </c>
      <c r="S453" t="s">
        <v>178</v>
      </c>
      <c r="T453" t="s">
        <v>60</v>
      </c>
      <c r="U453">
        <v>71</v>
      </c>
      <c r="V453">
        <v>1.2</v>
      </c>
      <c r="W453" t="s">
        <v>28</v>
      </c>
      <c r="X453" t="s">
        <v>68</v>
      </c>
    </row>
    <row r="454" spans="1:24" x14ac:dyDescent="0.3">
      <c r="A454" t="s">
        <v>1732</v>
      </c>
      <c r="B454" t="s">
        <v>77</v>
      </c>
      <c r="C454" t="s">
        <v>78</v>
      </c>
      <c r="D454" t="str">
        <f t="shared" si="21"/>
        <v>Evening</v>
      </c>
      <c r="E454">
        <f>HOUR(EV_Data[[#This Row],[Charging Start Time]])</f>
        <v>20</v>
      </c>
      <c r="F454" s="1">
        <v>44945.833333333336</v>
      </c>
      <c r="G454" s="1">
        <v>44945.915972222218</v>
      </c>
      <c r="H454">
        <v>119</v>
      </c>
      <c r="I454">
        <v>16.329999999999998</v>
      </c>
      <c r="J454" t="str">
        <f t="shared" si="22"/>
        <v>Low</v>
      </c>
      <c r="K454" t="s">
        <v>42</v>
      </c>
      <c r="L454">
        <v>9</v>
      </c>
      <c r="M454">
        <v>27</v>
      </c>
      <c r="N454" t="str">
        <f t="shared" si="23"/>
        <v>Low Cost</v>
      </c>
      <c r="O454">
        <v>5.43</v>
      </c>
      <c r="P454" t="s">
        <v>51</v>
      </c>
      <c r="Q454" t="s">
        <v>24</v>
      </c>
      <c r="R454" t="s">
        <v>25</v>
      </c>
      <c r="S454" t="s">
        <v>86</v>
      </c>
      <c r="T454" t="s">
        <v>60</v>
      </c>
      <c r="U454">
        <v>92</v>
      </c>
      <c r="V454">
        <v>4.5</v>
      </c>
      <c r="W454" t="s">
        <v>47</v>
      </c>
      <c r="X454" t="s">
        <v>29</v>
      </c>
    </row>
    <row r="455" spans="1:24" x14ac:dyDescent="0.3">
      <c r="A455" t="s">
        <v>1733</v>
      </c>
      <c r="B455" t="s">
        <v>126</v>
      </c>
      <c r="C455" t="s">
        <v>31</v>
      </c>
      <c r="D455" t="str">
        <f t="shared" si="21"/>
        <v>Evening</v>
      </c>
      <c r="E455">
        <f>HOUR(EV_Data[[#This Row],[Charging Start Time]])</f>
        <v>21</v>
      </c>
      <c r="F455" s="1">
        <v>44945.875</v>
      </c>
      <c r="G455" s="1">
        <v>44945.923611111109</v>
      </c>
      <c r="H455">
        <v>70</v>
      </c>
      <c r="I455">
        <v>34.14</v>
      </c>
      <c r="J455" t="str">
        <f t="shared" si="22"/>
        <v>Medium</v>
      </c>
      <c r="K455" t="s">
        <v>69</v>
      </c>
      <c r="L455">
        <v>26</v>
      </c>
      <c r="M455">
        <v>49</v>
      </c>
      <c r="N455" t="str">
        <f t="shared" si="23"/>
        <v>Medium Cost</v>
      </c>
      <c r="O455">
        <v>14</v>
      </c>
      <c r="P455" t="s">
        <v>43</v>
      </c>
      <c r="Q455" t="s">
        <v>34</v>
      </c>
      <c r="R455" t="s">
        <v>56</v>
      </c>
      <c r="S455" t="s">
        <v>475</v>
      </c>
      <c r="T455" t="s">
        <v>60</v>
      </c>
      <c r="U455">
        <v>32</v>
      </c>
      <c r="V455">
        <v>2.9</v>
      </c>
      <c r="W455" t="s">
        <v>47</v>
      </c>
      <c r="X455" t="s">
        <v>29</v>
      </c>
    </row>
    <row r="456" spans="1:24" x14ac:dyDescent="0.3">
      <c r="A456" t="s">
        <v>1734</v>
      </c>
      <c r="B456" t="s">
        <v>40</v>
      </c>
      <c r="C456" t="s">
        <v>41</v>
      </c>
      <c r="D456" t="str">
        <f t="shared" si="21"/>
        <v>Evening</v>
      </c>
      <c r="E456">
        <f>HOUR(EV_Data[[#This Row],[Charging Start Time]])</f>
        <v>22</v>
      </c>
      <c r="F456" s="1">
        <v>44945.916666666664</v>
      </c>
      <c r="G456" s="1">
        <v>44945.984722222223</v>
      </c>
      <c r="H456">
        <v>98</v>
      </c>
      <c r="I456">
        <v>12.54</v>
      </c>
      <c r="J456" t="str">
        <f t="shared" si="22"/>
        <v>Low</v>
      </c>
      <c r="K456" t="s">
        <v>55</v>
      </c>
      <c r="L456">
        <v>26</v>
      </c>
      <c r="M456">
        <v>46</v>
      </c>
      <c r="N456" t="str">
        <f t="shared" si="23"/>
        <v>Low Cost</v>
      </c>
      <c r="O456">
        <v>4.99</v>
      </c>
      <c r="P456" t="s">
        <v>43</v>
      </c>
      <c r="Q456" t="s">
        <v>34</v>
      </c>
      <c r="R456" t="s">
        <v>25</v>
      </c>
      <c r="S456" t="s">
        <v>410</v>
      </c>
      <c r="T456" t="s">
        <v>46</v>
      </c>
      <c r="U456">
        <v>36</v>
      </c>
      <c r="V456">
        <v>1.1000000000000001</v>
      </c>
      <c r="W456" t="s">
        <v>38</v>
      </c>
    </row>
    <row r="457" spans="1:24" x14ac:dyDescent="0.3">
      <c r="A457" t="s">
        <v>1735</v>
      </c>
      <c r="B457" t="s">
        <v>53</v>
      </c>
      <c r="C457" t="s">
        <v>54</v>
      </c>
      <c r="D457" t="str">
        <f t="shared" si="21"/>
        <v>Evening</v>
      </c>
      <c r="E457">
        <f>HOUR(EV_Data[[#This Row],[Charging Start Time]])</f>
        <v>23</v>
      </c>
      <c r="F457" s="1">
        <v>44945.958333333336</v>
      </c>
      <c r="G457" s="1">
        <v>44946.022222222222</v>
      </c>
      <c r="H457">
        <v>92</v>
      </c>
      <c r="I457">
        <v>42.01</v>
      </c>
      <c r="J457" t="str">
        <f t="shared" si="22"/>
        <v>Medium</v>
      </c>
      <c r="K457" t="s">
        <v>42</v>
      </c>
      <c r="L457">
        <v>75</v>
      </c>
      <c r="M457">
        <v>86</v>
      </c>
      <c r="N457" t="str">
        <f t="shared" si="23"/>
        <v>Medium Cost</v>
      </c>
      <c r="O457">
        <v>9.61</v>
      </c>
      <c r="P457" t="s">
        <v>64</v>
      </c>
      <c r="Q457" t="s">
        <v>34</v>
      </c>
      <c r="R457" t="s">
        <v>56</v>
      </c>
      <c r="S457" t="s">
        <v>476</v>
      </c>
      <c r="T457" t="s">
        <v>27</v>
      </c>
      <c r="U457">
        <v>13</v>
      </c>
      <c r="V457">
        <v>2.8</v>
      </c>
      <c r="W457" t="s">
        <v>28</v>
      </c>
      <c r="X457" t="s">
        <v>68</v>
      </c>
    </row>
    <row r="458" spans="1:24" x14ac:dyDescent="0.3">
      <c r="A458" t="s">
        <v>1736</v>
      </c>
      <c r="B458" t="s">
        <v>30</v>
      </c>
      <c r="C458" t="s">
        <v>102</v>
      </c>
      <c r="D458" t="str">
        <f t="shared" si="21"/>
        <v>Morning</v>
      </c>
      <c r="E458">
        <f>HOUR(EV_Data[[#This Row],[Charging Start Time]])</f>
        <v>0</v>
      </c>
      <c r="F458" s="1">
        <v>44946</v>
      </c>
      <c r="G458" s="1">
        <v>44946.040972222218</v>
      </c>
      <c r="H458">
        <v>59</v>
      </c>
      <c r="I458">
        <v>42.39</v>
      </c>
      <c r="J458" t="str">
        <f t="shared" si="22"/>
        <v>Medium</v>
      </c>
      <c r="K458" t="s">
        <v>69</v>
      </c>
      <c r="L458">
        <v>23</v>
      </c>
      <c r="M458">
        <v>48</v>
      </c>
      <c r="N458" t="str">
        <f t="shared" si="23"/>
        <v>High Cost</v>
      </c>
      <c r="O458">
        <v>18.600000000000001</v>
      </c>
      <c r="P458" t="s">
        <v>23</v>
      </c>
      <c r="Q458" t="s">
        <v>48</v>
      </c>
      <c r="R458" t="s">
        <v>56</v>
      </c>
      <c r="S458" t="s">
        <v>477</v>
      </c>
      <c r="T458" t="s">
        <v>27</v>
      </c>
      <c r="U458">
        <v>91</v>
      </c>
      <c r="V458">
        <v>2.5</v>
      </c>
      <c r="W458" t="s">
        <v>38</v>
      </c>
      <c r="X458" t="s">
        <v>83</v>
      </c>
    </row>
    <row r="459" spans="1:24" x14ac:dyDescent="0.3">
      <c r="A459" t="s">
        <v>1737</v>
      </c>
      <c r="B459" t="s">
        <v>126</v>
      </c>
      <c r="C459" t="s">
        <v>31</v>
      </c>
      <c r="D459" t="str">
        <f t="shared" si="21"/>
        <v>Morning</v>
      </c>
      <c r="E459">
        <f>HOUR(EV_Data[[#This Row],[Charging Start Time]])</f>
        <v>1</v>
      </c>
      <c r="F459" s="1">
        <v>44946.041666666664</v>
      </c>
      <c r="G459" s="1">
        <v>44946.081944444442</v>
      </c>
      <c r="H459">
        <v>58</v>
      </c>
      <c r="I459">
        <v>8.6199999999999992</v>
      </c>
      <c r="J459" t="str">
        <f t="shared" si="22"/>
        <v>Low</v>
      </c>
      <c r="K459" t="s">
        <v>69</v>
      </c>
      <c r="L459">
        <v>22</v>
      </c>
      <c r="M459">
        <v>45</v>
      </c>
      <c r="N459" t="str">
        <f t="shared" si="23"/>
        <v>Low Cost</v>
      </c>
      <c r="O459">
        <v>3.32</v>
      </c>
      <c r="P459" t="s">
        <v>64</v>
      </c>
      <c r="Q459" t="s">
        <v>58</v>
      </c>
      <c r="R459" t="s">
        <v>44</v>
      </c>
      <c r="S459" t="s">
        <v>478</v>
      </c>
      <c r="T459" t="s">
        <v>37</v>
      </c>
      <c r="U459">
        <v>2</v>
      </c>
      <c r="V459">
        <v>2.7</v>
      </c>
      <c r="W459" t="s">
        <v>47</v>
      </c>
      <c r="X459" t="s">
        <v>29</v>
      </c>
    </row>
    <row r="460" spans="1:24" x14ac:dyDescent="0.3">
      <c r="A460" t="s">
        <v>1738</v>
      </c>
      <c r="B460" t="s">
        <v>71</v>
      </c>
      <c r="C460" t="s">
        <v>72</v>
      </c>
      <c r="D460" t="str">
        <f t="shared" si="21"/>
        <v>Morning</v>
      </c>
      <c r="E460">
        <f>HOUR(EV_Data[[#This Row],[Charging Start Time]])</f>
        <v>2</v>
      </c>
      <c r="F460" s="1">
        <v>44946.083333333336</v>
      </c>
      <c r="G460" s="1">
        <v>44946.161111111112</v>
      </c>
      <c r="H460">
        <v>112</v>
      </c>
      <c r="I460">
        <v>19.989999999999998</v>
      </c>
      <c r="J460" t="str">
        <f t="shared" si="22"/>
        <v>Low</v>
      </c>
      <c r="K460" t="s">
        <v>69</v>
      </c>
      <c r="L460">
        <v>61</v>
      </c>
      <c r="M460">
        <v>83</v>
      </c>
      <c r="N460" t="str">
        <f t="shared" si="23"/>
        <v>Low Cost</v>
      </c>
      <c r="O460">
        <v>7.11</v>
      </c>
      <c r="P460" t="s">
        <v>43</v>
      </c>
      <c r="Q460" t="s">
        <v>24</v>
      </c>
      <c r="R460" t="s">
        <v>35</v>
      </c>
      <c r="S460" t="s">
        <v>479</v>
      </c>
      <c r="T460" t="s">
        <v>46</v>
      </c>
      <c r="U460">
        <v>18</v>
      </c>
      <c r="V460">
        <v>4.4000000000000004</v>
      </c>
      <c r="W460" t="s">
        <v>38</v>
      </c>
    </row>
    <row r="461" spans="1:24" x14ac:dyDescent="0.3">
      <c r="A461" t="s">
        <v>1739</v>
      </c>
      <c r="B461" t="s">
        <v>71</v>
      </c>
      <c r="C461" t="s">
        <v>72</v>
      </c>
      <c r="D461" t="str">
        <f t="shared" si="21"/>
        <v>Morning</v>
      </c>
      <c r="E461">
        <f>HOUR(EV_Data[[#This Row],[Charging Start Time]])</f>
        <v>3</v>
      </c>
      <c r="F461" s="1">
        <v>44946.125</v>
      </c>
      <c r="G461" s="1">
        <v>44946.15625</v>
      </c>
      <c r="H461">
        <v>45</v>
      </c>
      <c r="I461">
        <v>46.11</v>
      </c>
      <c r="J461" t="str">
        <f t="shared" si="22"/>
        <v>Medium</v>
      </c>
      <c r="K461" t="s">
        <v>50</v>
      </c>
      <c r="L461">
        <v>6</v>
      </c>
      <c r="M461">
        <v>23</v>
      </c>
      <c r="N461" t="str">
        <f t="shared" si="23"/>
        <v>Medium Cost</v>
      </c>
      <c r="O461">
        <v>15.6</v>
      </c>
      <c r="P461" t="s">
        <v>33</v>
      </c>
      <c r="Q461" t="s">
        <v>58</v>
      </c>
      <c r="R461" t="s">
        <v>35</v>
      </c>
      <c r="S461" t="s">
        <v>480</v>
      </c>
      <c r="T461" t="s">
        <v>27</v>
      </c>
      <c r="U461">
        <v>53</v>
      </c>
      <c r="V461">
        <v>4.5</v>
      </c>
      <c r="W461" t="s">
        <v>28</v>
      </c>
      <c r="X461" t="s">
        <v>68</v>
      </c>
    </row>
    <row r="462" spans="1:24" x14ac:dyDescent="0.3">
      <c r="A462" t="s">
        <v>1740</v>
      </c>
      <c r="B462" t="s">
        <v>71</v>
      </c>
      <c r="C462" t="s">
        <v>72</v>
      </c>
      <c r="D462" t="str">
        <f t="shared" si="21"/>
        <v>Morning</v>
      </c>
      <c r="E462">
        <f>HOUR(EV_Data[[#This Row],[Charging Start Time]])</f>
        <v>4</v>
      </c>
      <c r="F462" s="1">
        <v>44946.166666666664</v>
      </c>
      <c r="G462" s="1">
        <v>44946.206250000003</v>
      </c>
      <c r="H462">
        <v>57</v>
      </c>
      <c r="I462">
        <v>43.67</v>
      </c>
      <c r="J462" t="str">
        <f t="shared" si="22"/>
        <v>Medium</v>
      </c>
      <c r="K462" t="s">
        <v>69</v>
      </c>
      <c r="L462">
        <v>49</v>
      </c>
      <c r="M462">
        <v>86</v>
      </c>
      <c r="N462" t="str">
        <f t="shared" si="23"/>
        <v>Medium Cost</v>
      </c>
      <c r="O462">
        <v>11.97</v>
      </c>
      <c r="P462" t="s">
        <v>64</v>
      </c>
      <c r="Q462" t="s">
        <v>24</v>
      </c>
      <c r="R462" t="s">
        <v>35</v>
      </c>
      <c r="S462" t="s">
        <v>481</v>
      </c>
      <c r="T462" t="s">
        <v>37</v>
      </c>
      <c r="U462">
        <v>90</v>
      </c>
      <c r="V462">
        <v>2.2000000000000002</v>
      </c>
      <c r="W462" t="s">
        <v>28</v>
      </c>
      <c r="X462" t="s">
        <v>68</v>
      </c>
    </row>
    <row r="463" spans="1:24" x14ac:dyDescent="0.3">
      <c r="A463" t="s">
        <v>1741</v>
      </c>
      <c r="B463" t="s">
        <v>40</v>
      </c>
      <c r="C463" t="s">
        <v>41</v>
      </c>
      <c r="D463" t="str">
        <f t="shared" si="21"/>
        <v>Morning</v>
      </c>
      <c r="E463">
        <f>HOUR(EV_Data[[#This Row],[Charging Start Time]])</f>
        <v>5</v>
      </c>
      <c r="F463" s="1">
        <v>44946.208333333336</v>
      </c>
      <c r="G463" s="1">
        <v>44946.243055555547</v>
      </c>
      <c r="H463">
        <v>50</v>
      </c>
      <c r="I463">
        <v>10.1</v>
      </c>
      <c r="J463" t="str">
        <f t="shared" si="22"/>
        <v>Low</v>
      </c>
      <c r="K463" t="s">
        <v>69</v>
      </c>
      <c r="L463">
        <v>59</v>
      </c>
      <c r="M463">
        <v>85</v>
      </c>
      <c r="N463" t="str">
        <f t="shared" si="23"/>
        <v>Low Cost</v>
      </c>
      <c r="O463">
        <v>3.81</v>
      </c>
      <c r="P463" t="s">
        <v>23</v>
      </c>
      <c r="Q463" t="s">
        <v>58</v>
      </c>
      <c r="R463" t="s">
        <v>25</v>
      </c>
      <c r="S463" t="s">
        <v>482</v>
      </c>
      <c r="T463" t="s">
        <v>60</v>
      </c>
      <c r="U463">
        <v>27</v>
      </c>
      <c r="V463">
        <v>3.9</v>
      </c>
      <c r="W463" t="s">
        <v>28</v>
      </c>
      <c r="X463" t="s">
        <v>68</v>
      </c>
    </row>
    <row r="464" spans="1:24" x14ac:dyDescent="0.3">
      <c r="A464" t="s">
        <v>1742</v>
      </c>
      <c r="B464" t="s">
        <v>71</v>
      </c>
      <c r="C464" t="s">
        <v>72</v>
      </c>
      <c r="D464" t="str">
        <f t="shared" si="21"/>
        <v>Morning</v>
      </c>
      <c r="E464">
        <f>HOUR(EV_Data[[#This Row],[Charging Start Time]])</f>
        <v>6</v>
      </c>
      <c r="F464" s="1">
        <v>44946.25</v>
      </c>
      <c r="G464" s="1">
        <v>44946.270138888889</v>
      </c>
      <c r="H464">
        <v>29</v>
      </c>
      <c r="I464">
        <v>22.69</v>
      </c>
      <c r="J464" t="str">
        <f t="shared" si="22"/>
        <v>Medium</v>
      </c>
      <c r="K464" t="s">
        <v>22</v>
      </c>
      <c r="L464">
        <v>66</v>
      </c>
      <c r="M464">
        <v>89</v>
      </c>
      <c r="N464" t="str">
        <f t="shared" si="23"/>
        <v>Low Cost</v>
      </c>
      <c r="O464">
        <v>4.82</v>
      </c>
      <c r="P464" t="s">
        <v>51</v>
      </c>
      <c r="Q464" t="s">
        <v>34</v>
      </c>
      <c r="R464" t="s">
        <v>44</v>
      </c>
      <c r="S464" t="s">
        <v>177</v>
      </c>
      <c r="T464" t="s">
        <v>37</v>
      </c>
      <c r="U464">
        <v>36</v>
      </c>
      <c r="V464">
        <v>3.4</v>
      </c>
      <c r="W464" t="s">
        <v>28</v>
      </c>
      <c r="X464" t="s">
        <v>68</v>
      </c>
    </row>
    <row r="465" spans="1:24" x14ac:dyDescent="0.3">
      <c r="A465" t="s">
        <v>1743</v>
      </c>
      <c r="B465" t="s">
        <v>71</v>
      </c>
      <c r="C465" t="s">
        <v>72</v>
      </c>
      <c r="D465" t="str">
        <f t="shared" si="21"/>
        <v>Morning</v>
      </c>
      <c r="E465">
        <f>HOUR(EV_Data[[#This Row],[Charging Start Time]])</f>
        <v>7</v>
      </c>
      <c r="F465" s="1">
        <v>44946.291666666664</v>
      </c>
      <c r="G465" s="1">
        <v>44946.324999999997</v>
      </c>
      <c r="H465">
        <v>48</v>
      </c>
      <c r="I465">
        <v>24.83</v>
      </c>
      <c r="J465" t="str">
        <f t="shared" si="22"/>
        <v>Medium</v>
      </c>
      <c r="K465" t="s">
        <v>69</v>
      </c>
      <c r="L465">
        <v>72</v>
      </c>
      <c r="M465">
        <v>92</v>
      </c>
      <c r="N465" t="str">
        <f t="shared" si="23"/>
        <v>Medium Cost</v>
      </c>
      <c r="O465">
        <v>9.7100000000000009</v>
      </c>
      <c r="P465" t="s">
        <v>64</v>
      </c>
      <c r="Q465" t="s">
        <v>34</v>
      </c>
      <c r="R465" t="s">
        <v>56</v>
      </c>
      <c r="S465" t="s">
        <v>483</v>
      </c>
      <c r="T465" t="s">
        <v>60</v>
      </c>
      <c r="U465">
        <v>33</v>
      </c>
      <c r="V465">
        <v>4.7</v>
      </c>
      <c r="W465" t="s">
        <v>28</v>
      </c>
      <c r="X465" t="s">
        <v>68</v>
      </c>
    </row>
    <row r="466" spans="1:24" x14ac:dyDescent="0.3">
      <c r="A466" t="s">
        <v>1744</v>
      </c>
      <c r="B466" t="s">
        <v>20</v>
      </c>
      <c r="C466" t="s">
        <v>21</v>
      </c>
      <c r="D466" t="str">
        <f t="shared" si="21"/>
        <v>Morning</v>
      </c>
      <c r="E466">
        <f>HOUR(EV_Data[[#This Row],[Charging Start Time]])</f>
        <v>8</v>
      </c>
      <c r="F466" s="1">
        <v>44946.333333333336</v>
      </c>
      <c r="G466" s="1">
        <v>44946.40625</v>
      </c>
      <c r="H466">
        <v>105</v>
      </c>
      <c r="I466">
        <v>49.16</v>
      </c>
      <c r="J466" t="str">
        <f t="shared" si="22"/>
        <v>Medium</v>
      </c>
      <c r="K466" t="s">
        <v>69</v>
      </c>
      <c r="L466">
        <v>33</v>
      </c>
      <c r="M466">
        <v>46</v>
      </c>
      <c r="N466" t="str">
        <f t="shared" si="23"/>
        <v>High Cost</v>
      </c>
      <c r="O466">
        <v>23.22</v>
      </c>
      <c r="P466" t="s">
        <v>51</v>
      </c>
      <c r="Q466" t="s">
        <v>58</v>
      </c>
      <c r="R466" t="s">
        <v>44</v>
      </c>
      <c r="S466" t="s">
        <v>484</v>
      </c>
      <c r="T466" t="s">
        <v>46</v>
      </c>
      <c r="U466">
        <v>77</v>
      </c>
      <c r="V466">
        <v>4.0999999999999996</v>
      </c>
      <c r="W466" t="s">
        <v>47</v>
      </c>
      <c r="X466" t="s">
        <v>29</v>
      </c>
    </row>
    <row r="467" spans="1:24" x14ac:dyDescent="0.3">
      <c r="A467" t="s">
        <v>1745</v>
      </c>
      <c r="B467" t="s">
        <v>71</v>
      </c>
      <c r="C467" t="s">
        <v>72</v>
      </c>
      <c r="D467" t="str">
        <f t="shared" si="21"/>
        <v>Morning</v>
      </c>
      <c r="E467">
        <f>HOUR(EV_Data[[#This Row],[Charging Start Time]])</f>
        <v>9</v>
      </c>
      <c r="F467" s="1">
        <v>44946.375</v>
      </c>
      <c r="G467" s="1">
        <v>44946.40902777778</v>
      </c>
      <c r="H467">
        <v>49</v>
      </c>
      <c r="I467">
        <v>46.95</v>
      </c>
      <c r="J467" t="str">
        <f t="shared" si="22"/>
        <v>Medium</v>
      </c>
      <c r="K467" t="s">
        <v>50</v>
      </c>
      <c r="L467">
        <v>69</v>
      </c>
      <c r="M467">
        <v>100</v>
      </c>
      <c r="N467" t="str">
        <f t="shared" si="23"/>
        <v>Medium Cost</v>
      </c>
      <c r="O467">
        <v>16.78</v>
      </c>
      <c r="P467" t="s">
        <v>23</v>
      </c>
      <c r="Q467" t="s">
        <v>58</v>
      </c>
      <c r="R467" t="s">
        <v>44</v>
      </c>
      <c r="S467" t="s">
        <v>485</v>
      </c>
      <c r="T467" t="s">
        <v>27</v>
      </c>
      <c r="U467">
        <v>96</v>
      </c>
      <c r="V467">
        <v>4.0999999999999996</v>
      </c>
      <c r="W467" t="s">
        <v>28</v>
      </c>
      <c r="X467" t="s">
        <v>68</v>
      </c>
    </row>
    <row r="468" spans="1:24" x14ac:dyDescent="0.3">
      <c r="A468" t="s">
        <v>1746</v>
      </c>
      <c r="B468" t="s">
        <v>71</v>
      </c>
      <c r="C468" t="s">
        <v>72</v>
      </c>
      <c r="D468" t="str">
        <f t="shared" si="21"/>
        <v>Morning</v>
      </c>
      <c r="E468">
        <f>HOUR(EV_Data[[#This Row],[Charging Start Time]])</f>
        <v>10</v>
      </c>
      <c r="F468" s="1">
        <v>44946.416666666664</v>
      </c>
      <c r="G468" s="1">
        <v>44946.49722222222</v>
      </c>
      <c r="H468">
        <v>116</v>
      </c>
      <c r="I468">
        <v>7.94</v>
      </c>
      <c r="J468" t="str">
        <f t="shared" si="22"/>
        <v>Low</v>
      </c>
      <c r="K468" t="s">
        <v>69</v>
      </c>
      <c r="L468">
        <v>12</v>
      </c>
      <c r="M468">
        <v>25</v>
      </c>
      <c r="N468" t="str">
        <f t="shared" si="23"/>
        <v>Low Cost</v>
      </c>
      <c r="O468">
        <v>1.7</v>
      </c>
      <c r="P468" t="s">
        <v>64</v>
      </c>
      <c r="Q468" t="s">
        <v>58</v>
      </c>
      <c r="R468" t="s">
        <v>56</v>
      </c>
      <c r="S468" t="s">
        <v>486</v>
      </c>
      <c r="T468" t="s">
        <v>27</v>
      </c>
      <c r="U468">
        <v>30</v>
      </c>
      <c r="V468">
        <v>4</v>
      </c>
      <c r="W468" t="s">
        <v>38</v>
      </c>
      <c r="X468" t="s">
        <v>39</v>
      </c>
    </row>
    <row r="469" spans="1:24" x14ac:dyDescent="0.3">
      <c r="A469" t="s">
        <v>1747</v>
      </c>
      <c r="B469" t="s">
        <v>40</v>
      </c>
      <c r="C469" t="s">
        <v>41</v>
      </c>
      <c r="D469" t="str">
        <f t="shared" si="21"/>
        <v>Morning</v>
      </c>
      <c r="E469">
        <f>HOUR(EV_Data[[#This Row],[Charging Start Time]])</f>
        <v>11</v>
      </c>
      <c r="F469" s="1">
        <v>44946.458333333336</v>
      </c>
      <c r="G469" s="1">
        <v>44946.502083333333</v>
      </c>
      <c r="H469">
        <v>63</v>
      </c>
      <c r="I469">
        <v>19.55</v>
      </c>
      <c r="J469" t="str">
        <f t="shared" si="22"/>
        <v>Low</v>
      </c>
      <c r="K469" t="s">
        <v>50</v>
      </c>
      <c r="L469">
        <v>23</v>
      </c>
      <c r="M469">
        <v>34</v>
      </c>
      <c r="N469" t="str">
        <f t="shared" si="23"/>
        <v>Low Cost</v>
      </c>
      <c r="O469">
        <v>4.57</v>
      </c>
      <c r="P469" t="s">
        <v>43</v>
      </c>
      <c r="Q469" t="s">
        <v>58</v>
      </c>
      <c r="R469" t="s">
        <v>25</v>
      </c>
      <c r="S469" t="s">
        <v>267</v>
      </c>
      <c r="T469" t="s">
        <v>37</v>
      </c>
      <c r="U469">
        <v>82</v>
      </c>
      <c r="V469">
        <v>1.5</v>
      </c>
      <c r="W469" t="s">
        <v>38</v>
      </c>
      <c r="X469" t="s">
        <v>62</v>
      </c>
    </row>
    <row r="470" spans="1:24" x14ac:dyDescent="0.3">
      <c r="A470" t="s">
        <v>1748</v>
      </c>
      <c r="B470" t="s">
        <v>92</v>
      </c>
      <c r="C470" t="s">
        <v>93</v>
      </c>
      <c r="D470" t="str">
        <f t="shared" si="21"/>
        <v>Afternoon</v>
      </c>
      <c r="E470">
        <f>HOUR(EV_Data[[#This Row],[Charging Start Time]])</f>
        <v>12</v>
      </c>
      <c r="F470" s="1">
        <v>44946.5</v>
      </c>
      <c r="G470" s="1">
        <v>44946.527083333327</v>
      </c>
      <c r="H470">
        <v>39</v>
      </c>
      <c r="I470">
        <v>20.22</v>
      </c>
      <c r="J470" t="str">
        <f t="shared" si="22"/>
        <v>Medium</v>
      </c>
      <c r="K470" t="s">
        <v>69</v>
      </c>
      <c r="L470">
        <v>8</v>
      </c>
      <c r="M470">
        <v>23</v>
      </c>
      <c r="N470" t="str">
        <f t="shared" si="23"/>
        <v>Medium Cost</v>
      </c>
      <c r="O470">
        <v>8.6300000000000008</v>
      </c>
      <c r="P470" t="s">
        <v>33</v>
      </c>
      <c r="Q470" t="s">
        <v>48</v>
      </c>
      <c r="R470" t="s">
        <v>44</v>
      </c>
      <c r="S470" t="s">
        <v>487</v>
      </c>
      <c r="T470" t="s">
        <v>37</v>
      </c>
      <c r="U470">
        <v>36</v>
      </c>
      <c r="V470">
        <v>1.6</v>
      </c>
      <c r="W470" t="s">
        <v>28</v>
      </c>
      <c r="X470" t="s">
        <v>68</v>
      </c>
    </row>
    <row r="471" spans="1:24" x14ac:dyDescent="0.3">
      <c r="A471" t="s">
        <v>1749</v>
      </c>
      <c r="B471" t="s">
        <v>92</v>
      </c>
      <c r="C471" t="s">
        <v>93</v>
      </c>
      <c r="D471" t="str">
        <f t="shared" si="21"/>
        <v>Afternoon</v>
      </c>
      <c r="E471">
        <f>HOUR(EV_Data[[#This Row],[Charging Start Time]])</f>
        <v>13</v>
      </c>
      <c r="F471" s="1">
        <v>44946.541666666664</v>
      </c>
      <c r="G471" s="1">
        <v>44946.561111111107</v>
      </c>
      <c r="H471">
        <v>28</v>
      </c>
      <c r="I471">
        <v>45.77</v>
      </c>
      <c r="J471" t="str">
        <f t="shared" si="22"/>
        <v>Medium</v>
      </c>
      <c r="K471" t="s">
        <v>42</v>
      </c>
      <c r="L471">
        <v>18</v>
      </c>
      <c r="M471">
        <v>43</v>
      </c>
      <c r="N471" t="str">
        <f t="shared" si="23"/>
        <v>High Cost</v>
      </c>
      <c r="O471">
        <v>21.21</v>
      </c>
      <c r="P471" t="s">
        <v>51</v>
      </c>
      <c r="Q471" t="s">
        <v>48</v>
      </c>
      <c r="R471" t="s">
        <v>56</v>
      </c>
      <c r="S471" t="s">
        <v>488</v>
      </c>
      <c r="T471" t="s">
        <v>37</v>
      </c>
      <c r="U471">
        <v>81</v>
      </c>
      <c r="V471">
        <v>3.1</v>
      </c>
      <c r="W471" t="s">
        <v>28</v>
      </c>
      <c r="X471" t="s">
        <v>68</v>
      </c>
    </row>
    <row r="472" spans="1:24" x14ac:dyDescent="0.3">
      <c r="A472" t="s">
        <v>1750</v>
      </c>
      <c r="B472" t="s">
        <v>30</v>
      </c>
      <c r="C472" t="s">
        <v>102</v>
      </c>
      <c r="D472" t="str">
        <f t="shared" si="21"/>
        <v>Afternoon</v>
      </c>
      <c r="E472">
        <f>HOUR(EV_Data[[#This Row],[Charging Start Time]])</f>
        <v>14</v>
      </c>
      <c r="F472" s="1">
        <v>44946.583333333336</v>
      </c>
      <c r="G472" s="1">
        <v>44946.62777777778</v>
      </c>
      <c r="H472">
        <v>64</v>
      </c>
      <c r="I472">
        <v>6.83</v>
      </c>
      <c r="J472" t="str">
        <f t="shared" si="22"/>
        <v>Low</v>
      </c>
      <c r="K472" t="s">
        <v>50</v>
      </c>
      <c r="L472">
        <v>32</v>
      </c>
      <c r="M472">
        <v>61</v>
      </c>
      <c r="N472" t="str">
        <f t="shared" si="23"/>
        <v>Low Cost</v>
      </c>
      <c r="O472">
        <v>2.44</v>
      </c>
      <c r="P472" t="s">
        <v>43</v>
      </c>
      <c r="Q472" t="s">
        <v>48</v>
      </c>
      <c r="R472" t="s">
        <v>35</v>
      </c>
      <c r="S472" t="s">
        <v>489</v>
      </c>
      <c r="T472" t="s">
        <v>46</v>
      </c>
      <c r="U472">
        <v>10</v>
      </c>
      <c r="V472">
        <v>1.6</v>
      </c>
      <c r="W472" t="s">
        <v>47</v>
      </c>
      <c r="X472" t="s">
        <v>29</v>
      </c>
    </row>
    <row r="473" spans="1:24" x14ac:dyDescent="0.3">
      <c r="A473" t="s">
        <v>1751</v>
      </c>
      <c r="B473" t="s">
        <v>30</v>
      </c>
      <c r="C473" t="s">
        <v>102</v>
      </c>
      <c r="D473" t="str">
        <f t="shared" si="21"/>
        <v>Afternoon</v>
      </c>
      <c r="E473">
        <f>HOUR(EV_Data[[#This Row],[Charging Start Time]])</f>
        <v>15</v>
      </c>
      <c r="F473" s="1">
        <v>44946.625</v>
      </c>
      <c r="G473" s="1">
        <v>44946.625694444447</v>
      </c>
      <c r="H473">
        <v>1</v>
      </c>
      <c r="I473">
        <v>18.03</v>
      </c>
      <c r="J473" t="str">
        <f t="shared" si="22"/>
        <v>Low</v>
      </c>
      <c r="K473" t="s">
        <v>55</v>
      </c>
      <c r="L473">
        <v>8</v>
      </c>
      <c r="M473">
        <v>40</v>
      </c>
      <c r="N473" t="str">
        <f t="shared" si="23"/>
        <v>Low Cost</v>
      </c>
      <c r="O473">
        <v>6.73</v>
      </c>
      <c r="P473" t="s">
        <v>23</v>
      </c>
      <c r="Q473" t="s">
        <v>58</v>
      </c>
      <c r="R473" t="s">
        <v>56</v>
      </c>
      <c r="S473" t="s">
        <v>490</v>
      </c>
      <c r="T473" t="s">
        <v>46</v>
      </c>
      <c r="U473">
        <v>91</v>
      </c>
      <c r="V473">
        <v>1.3</v>
      </c>
      <c r="W473" t="s">
        <v>47</v>
      </c>
      <c r="X473" t="s">
        <v>29</v>
      </c>
    </row>
    <row r="474" spans="1:24" x14ac:dyDescent="0.3">
      <c r="A474" t="s">
        <v>1752</v>
      </c>
      <c r="B474" t="s">
        <v>126</v>
      </c>
      <c r="C474" t="s">
        <v>31</v>
      </c>
      <c r="D474" t="str">
        <f t="shared" si="21"/>
        <v>Afternoon</v>
      </c>
      <c r="E474">
        <f>HOUR(EV_Data[[#This Row],[Charging Start Time]])</f>
        <v>16</v>
      </c>
      <c r="F474" s="1">
        <v>44946.666666666664</v>
      </c>
      <c r="G474" s="1">
        <v>44946.700694444437</v>
      </c>
      <c r="H474">
        <v>49</v>
      </c>
      <c r="I474">
        <v>13.02</v>
      </c>
      <c r="J474" t="str">
        <f t="shared" si="22"/>
        <v>Low</v>
      </c>
      <c r="K474" t="s">
        <v>32</v>
      </c>
      <c r="L474">
        <v>5</v>
      </c>
      <c r="M474">
        <v>35</v>
      </c>
      <c r="N474" t="str">
        <f t="shared" si="23"/>
        <v>Low Cost</v>
      </c>
      <c r="O474">
        <v>3.17</v>
      </c>
      <c r="P474" t="s">
        <v>33</v>
      </c>
      <c r="Q474" t="s">
        <v>34</v>
      </c>
      <c r="R474" t="s">
        <v>25</v>
      </c>
      <c r="S474" t="s">
        <v>491</v>
      </c>
      <c r="T474" t="s">
        <v>60</v>
      </c>
      <c r="U474">
        <v>8</v>
      </c>
      <c r="V474">
        <v>3.9</v>
      </c>
      <c r="W474" t="s">
        <v>28</v>
      </c>
      <c r="X474" t="s">
        <v>68</v>
      </c>
    </row>
    <row r="475" spans="1:24" x14ac:dyDescent="0.3">
      <c r="A475" t="s">
        <v>1753</v>
      </c>
      <c r="B475" t="s">
        <v>77</v>
      </c>
      <c r="C475" t="s">
        <v>78</v>
      </c>
      <c r="D475" t="str">
        <f t="shared" si="21"/>
        <v>Evening</v>
      </c>
      <c r="E475">
        <f>HOUR(EV_Data[[#This Row],[Charging Start Time]])</f>
        <v>17</v>
      </c>
      <c r="F475" s="1">
        <v>44946.708333333336</v>
      </c>
      <c r="G475" s="1">
        <v>44946.759027777778</v>
      </c>
      <c r="H475">
        <v>73</v>
      </c>
      <c r="I475">
        <v>5.4</v>
      </c>
      <c r="J475" t="str">
        <f t="shared" si="22"/>
        <v>Low</v>
      </c>
      <c r="K475" t="s">
        <v>32</v>
      </c>
      <c r="L475">
        <v>66</v>
      </c>
      <c r="M475">
        <v>86</v>
      </c>
      <c r="N475" t="str">
        <f t="shared" si="23"/>
        <v>Low Cost</v>
      </c>
      <c r="O475">
        <v>2.33</v>
      </c>
      <c r="P475" t="s">
        <v>43</v>
      </c>
      <c r="Q475" t="s">
        <v>24</v>
      </c>
      <c r="R475" t="s">
        <v>25</v>
      </c>
      <c r="S475" t="s">
        <v>492</v>
      </c>
      <c r="T475" t="s">
        <v>27</v>
      </c>
      <c r="U475">
        <v>32</v>
      </c>
      <c r="V475">
        <v>3.1</v>
      </c>
      <c r="W475" t="s">
        <v>28</v>
      </c>
      <c r="X475" t="s">
        <v>68</v>
      </c>
    </row>
    <row r="476" spans="1:24" x14ac:dyDescent="0.3">
      <c r="A476" t="s">
        <v>1754</v>
      </c>
      <c r="B476" t="s">
        <v>40</v>
      </c>
      <c r="C476" t="s">
        <v>41</v>
      </c>
      <c r="D476" t="str">
        <f t="shared" si="21"/>
        <v>Evening</v>
      </c>
      <c r="E476">
        <f>HOUR(EV_Data[[#This Row],[Charging Start Time]])</f>
        <v>18</v>
      </c>
      <c r="F476" s="1">
        <v>44946.75</v>
      </c>
      <c r="G476" s="1">
        <v>44946.780555555553</v>
      </c>
      <c r="H476">
        <v>44</v>
      </c>
      <c r="I476">
        <v>45.19</v>
      </c>
      <c r="J476" t="str">
        <f t="shared" si="22"/>
        <v>Medium</v>
      </c>
      <c r="K476" t="s">
        <v>32</v>
      </c>
      <c r="L476">
        <v>16</v>
      </c>
      <c r="M476">
        <v>39</v>
      </c>
      <c r="N476" t="str">
        <f t="shared" si="23"/>
        <v>High Cost</v>
      </c>
      <c r="O476">
        <v>22.06</v>
      </c>
      <c r="P476" t="s">
        <v>51</v>
      </c>
      <c r="Q476" t="s">
        <v>34</v>
      </c>
      <c r="R476" t="s">
        <v>56</v>
      </c>
      <c r="S476" t="s">
        <v>493</v>
      </c>
      <c r="T476" t="s">
        <v>27</v>
      </c>
      <c r="U476">
        <v>97</v>
      </c>
      <c r="V476">
        <v>3.5</v>
      </c>
      <c r="W476" t="s">
        <v>38</v>
      </c>
      <c r="X476" t="s">
        <v>83</v>
      </c>
    </row>
    <row r="477" spans="1:24" x14ac:dyDescent="0.3">
      <c r="A477" t="s">
        <v>1755</v>
      </c>
      <c r="B477" t="s">
        <v>92</v>
      </c>
      <c r="C477" t="s">
        <v>93</v>
      </c>
      <c r="D477" t="str">
        <f t="shared" si="21"/>
        <v>Evening</v>
      </c>
      <c r="E477">
        <f>HOUR(EV_Data[[#This Row],[Charging Start Time]])</f>
        <v>19</v>
      </c>
      <c r="F477" s="1">
        <v>44946.791666666664</v>
      </c>
      <c r="G477" s="1">
        <v>44946.822916666657</v>
      </c>
      <c r="H477">
        <v>45</v>
      </c>
      <c r="I477">
        <v>47.59</v>
      </c>
      <c r="J477" t="str">
        <f t="shared" si="22"/>
        <v>Medium</v>
      </c>
      <c r="K477" t="s">
        <v>42</v>
      </c>
      <c r="L477">
        <v>72</v>
      </c>
      <c r="M477">
        <v>91</v>
      </c>
      <c r="N477" t="str">
        <f t="shared" si="23"/>
        <v>High Cost</v>
      </c>
      <c r="O477">
        <v>18.22</v>
      </c>
      <c r="P477" t="s">
        <v>23</v>
      </c>
      <c r="Q477" t="s">
        <v>34</v>
      </c>
      <c r="R477" t="s">
        <v>44</v>
      </c>
      <c r="S477" t="s">
        <v>494</v>
      </c>
      <c r="T477" t="s">
        <v>27</v>
      </c>
      <c r="U477">
        <v>85</v>
      </c>
      <c r="V477">
        <v>4.7</v>
      </c>
      <c r="W477" t="s">
        <v>38</v>
      </c>
      <c r="X477" t="s">
        <v>83</v>
      </c>
    </row>
    <row r="478" spans="1:24" x14ac:dyDescent="0.3">
      <c r="A478" t="s">
        <v>1756</v>
      </c>
      <c r="B478" t="s">
        <v>92</v>
      </c>
      <c r="C478" t="s">
        <v>93</v>
      </c>
      <c r="D478" t="str">
        <f t="shared" si="21"/>
        <v>Evening</v>
      </c>
      <c r="E478">
        <f>HOUR(EV_Data[[#This Row],[Charging Start Time]])</f>
        <v>20</v>
      </c>
      <c r="F478" s="1">
        <v>44946.833333333336</v>
      </c>
      <c r="G478" s="1">
        <v>44946.895138888889</v>
      </c>
      <c r="H478">
        <v>89</v>
      </c>
      <c r="I478">
        <v>40.21</v>
      </c>
      <c r="J478" t="str">
        <f t="shared" si="22"/>
        <v>Medium</v>
      </c>
      <c r="K478" t="s">
        <v>55</v>
      </c>
      <c r="L478">
        <v>78</v>
      </c>
      <c r="M478">
        <v>100</v>
      </c>
      <c r="N478" t="str">
        <f t="shared" si="23"/>
        <v>Medium Cost</v>
      </c>
      <c r="O478">
        <v>11.74</v>
      </c>
      <c r="P478" t="s">
        <v>64</v>
      </c>
      <c r="Q478" t="s">
        <v>24</v>
      </c>
      <c r="R478" t="s">
        <v>56</v>
      </c>
      <c r="S478" t="s">
        <v>495</v>
      </c>
      <c r="T478" t="s">
        <v>60</v>
      </c>
      <c r="U478">
        <v>35</v>
      </c>
      <c r="V478">
        <v>1.3</v>
      </c>
      <c r="W478" t="s">
        <v>38</v>
      </c>
      <c r="X478" t="s">
        <v>83</v>
      </c>
    </row>
    <row r="479" spans="1:24" x14ac:dyDescent="0.3">
      <c r="A479" t="s">
        <v>1757</v>
      </c>
      <c r="B479" t="s">
        <v>20</v>
      </c>
      <c r="C479" t="s">
        <v>21</v>
      </c>
      <c r="D479" t="str">
        <f t="shared" si="21"/>
        <v>Evening</v>
      </c>
      <c r="E479">
        <f>HOUR(EV_Data[[#This Row],[Charging Start Time]])</f>
        <v>21</v>
      </c>
      <c r="F479" s="1">
        <v>44946.875</v>
      </c>
      <c r="G479" s="1">
        <v>44946.916666666657</v>
      </c>
      <c r="H479">
        <v>60</v>
      </c>
      <c r="I479">
        <v>44.76</v>
      </c>
      <c r="J479" t="str">
        <f t="shared" si="22"/>
        <v>Medium</v>
      </c>
      <c r="K479" t="s">
        <v>42</v>
      </c>
      <c r="L479">
        <v>30</v>
      </c>
      <c r="M479">
        <v>47</v>
      </c>
      <c r="N479" t="str">
        <f t="shared" si="23"/>
        <v>Medium Cost</v>
      </c>
      <c r="O479">
        <v>16.600000000000001</v>
      </c>
      <c r="P479" t="s">
        <v>43</v>
      </c>
      <c r="Q479" t="s">
        <v>48</v>
      </c>
      <c r="R479" t="s">
        <v>56</v>
      </c>
      <c r="S479" t="s">
        <v>496</v>
      </c>
      <c r="T479" t="s">
        <v>46</v>
      </c>
      <c r="U479">
        <v>33</v>
      </c>
      <c r="V479">
        <v>2.6</v>
      </c>
      <c r="W479" t="s">
        <v>28</v>
      </c>
      <c r="X479" t="s">
        <v>68</v>
      </c>
    </row>
    <row r="480" spans="1:24" x14ac:dyDescent="0.3">
      <c r="A480" t="s">
        <v>1758</v>
      </c>
      <c r="B480" t="s">
        <v>77</v>
      </c>
      <c r="C480" t="s">
        <v>78</v>
      </c>
      <c r="D480" t="str">
        <f t="shared" si="21"/>
        <v>Evening</v>
      </c>
      <c r="E480">
        <f>HOUR(EV_Data[[#This Row],[Charging Start Time]])</f>
        <v>22</v>
      </c>
      <c r="F480" s="1">
        <v>44946.916666666664</v>
      </c>
      <c r="G480" s="1">
        <v>44946.942361111112</v>
      </c>
      <c r="H480">
        <v>37</v>
      </c>
      <c r="I480">
        <v>42.89</v>
      </c>
      <c r="J480" t="str">
        <f t="shared" si="22"/>
        <v>Medium</v>
      </c>
      <c r="K480" t="s">
        <v>55</v>
      </c>
      <c r="L480">
        <v>27</v>
      </c>
      <c r="M480">
        <v>65</v>
      </c>
      <c r="N480" t="str">
        <f t="shared" si="23"/>
        <v>High Cost</v>
      </c>
      <c r="O480">
        <v>18.75</v>
      </c>
      <c r="P480" t="s">
        <v>43</v>
      </c>
      <c r="Q480" t="s">
        <v>48</v>
      </c>
      <c r="R480" t="s">
        <v>25</v>
      </c>
      <c r="S480" t="s">
        <v>497</v>
      </c>
      <c r="T480" t="s">
        <v>27</v>
      </c>
      <c r="U480">
        <v>53</v>
      </c>
      <c r="V480">
        <v>1.1000000000000001</v>
      </c>
      <c r="W480" t="s">
        <v>38</v>
      </c>
    </row>
    <row r="481" spans="1:24" x14ac:dyDescent="0.3">
      <c r="A481" t="s">
        <v>1759</v>
      </c>
      <c r="B481" t="s">
        <v>77</v>
      </c>
      <c r="C481" t="s">
        <v>78</v>
      </c>
      <c r="D481" t="str">
        <f t="shared" si="21"/>
        <v>Evening</v>
      </c>
      <c r="E481">
        <f>HOUR(EV_Data[[#This Row],[Charging Start Time]])</f>
        <v>23</v>
      </c>
      <c r="F481" s="1">
        <v>44946.958333333336</v>
      </c>
      <c r="G481" s="1">
        <v>44947.002083333333</v>
      </c>
      <c r="H481">
        <v>63</v>
      </c>
      <c r="I481">
        <v>34.79</v>
      </c>
      <c r="J481" t="str">
        <f t="shared" si="22"/>
        <v>Medium</v>
      </c>
      <c r="K481" t="s">
        <v>55</v>
      </c>
      <c r="L481">
        <v>59</v>
      </c>
      <c r="M481">
        <v>92</v>
      </c>
      <c r="N481" t="str">
        <f t="shared" si="23"/>
        <v>Medium Cost</v>
      </c>
      <c r="O481">
        <v>11.32</v>
      </c>
      <c r="P481" t="s">
        <v>33</v>
      </c>
      <c r="Q481" t="s">
        <v>58</v>
      </c>
      <c r="R481" t="s">
        <v>56</v>
      </c>
      <c r="S481" t="s">
        <v>224</v>
      </c>
      <c r="T481" t="s">
        <v>60</v>
      </c>
      <c r="U481">
        <v>78</v>
      </c>
      <c r="V481">
        <v>1.9</v>
      </c>
      <c r="W481" t="s">
        <v>47</v>
      </c>
      <c r="X481" t="s">
        <v>29</v>
      </c>
    </row>
    <row r="482" spans="1:24" x14ac:dyDescent="0.3">
      <c r="A482" t="s">
        <v>1760</v>
      </c>
      <c r="B482" t="s">
        <v>92</v>
      </c>
      <c r="C482" t="s">
        <v>93</v>
      </c>
      <c r="D482" t="str">
        <f t="shared" si="21"/>
        <v>Morning</v>
      </c>
      <c r="E482">
        <f>HOUR(EV_Data[[#This Row],[Charging Start Time]])</f>
        <v>0</v>
      </c>
      <c r="F482" s="1">
        <v>44947</v>
      </c>
      <c r="G482" s="1">
        <v>44947.050694444442</v>
      </c>
      <c r="H482">
        <v>73</v>
      </c>
      <c r="I482">
        <v>7.3</v>
      </c>
      <c r="J482" t="str">
        <f t="shared" si="22"/>
        <v>Low</v>
      </c>
      <c r="K482" t="s">
        <v>42</v>
      </c>
      <c r="L482">
        <v>28</v>
      </c>
      <c r="M482">
        <v>39</v>
      </c>
      <c r="N482" t="str">
        <f t="shared" si="23"/>
        <v>Low Cost</v>
      </c>
      <c r="O482">
        <v>3.42</v>
      </c>
      <c r="P482" t="s">
        <v>51</v>
      </c>
      <c r="Q482" t="s">
        <v>58</v>
      </c>
      <c r="R482" t="s">
        <v>56</v>
      </c>
      <c r="S482" t="s">
        <v>498</v>
      </c>
      <c r="T482" t="s">
        <v>37</v>
      </c>
      <c r="U482">
        <v>68</v>
      </c>
      <c r="V482">
        <v>4.3</v>
      </c>
      <c r="W482" t="s">
        <v>28</v>
      </c>
      <c r="X482" t="s">
        <v>68</v>
      </c>
    </row>
    <row r="483" spans="1:24" x14ac:dyDescent="0.3">
      <c r="A483" t="s">
        <v>1761</v>
      </c>
      <c r="B483" t="s">
        <v>126</v>
      </c>
      <c r="C483" t="s">
        <v>31</v>
      </c>
      <c r="D483" t="str">
        <f t="shared" si="21"/>
        <v>Morning</v>
      </c>
      <c r="E483">
        <f>HOUR(EV_Data[[#This Row],[Charging Start Time]])</f>
        <v>1</v>
      </c>
      <c r="F483" s="1">
        <v>44947.041666666664</v>
      </c>
      <c r="G483" s="1">
        <v>44947.088194444441</v>
      </c>
      <c r="H483">
        <v>67</v>
      </c>
      <c r="I483">
        <v>28.42</v>
      </c>
      <c r="J483" t="str">
        <f t="shared" si="22"/>
        <v>Medium</v>
      </c>
      <c r="K483" t="s">
        <v>42</v>
      </c>
      <c r="L483">
        <v>30</v>
      </c>
      <c r="M483">
        <v>55</v>
      </c>
      <c r="N483" t="str">
        <f t="shared" si="23"/>
        <v>Medium Cost</v>
      </c>
      <c r="O483">
        <v>10.66</v>
      </c>
      <c r="P483" t="s">
        <v>51</v>
      </c>
      <c r="Q483" t="s">
        <v>34</v>
      </c>
      <c r="R483" t="s">
        <v>25</v>
      </c>
      <c r="S483" t="s">
        <v>499</v>
      </c>
      <c r="T483" t="s">
        <v>60</v>
      </c>
      <c r="U483">
        <v>90</v>
      </c>
      <c r="V483">
        <v>2.2000000000000002</v>
      </c>
      <c r="W483" t="s">
        <v>38</v>
      </c>
      <c r="X483" t="s">
        <v>85</v>
      </c>
    </row>
    <row r="484" spans="1:24" x14ac:dyDescent="0.3">
      <c r="A484" t="s">
        <v>1762</v>
      </c>
      <c r="B484" t="s">
        <v>40</v>
      </c>
      <c r="C484" t="s">
        <v>41</v>
      </c>
      <c r="D484" t="str">
        <f t="shared" si="21"/>
        <v>Morning</v>
      </c>
      <c r="E484">
        <f>HOUR(EV_Data[[#This Row],[Charging Start Time]])</f>
        <v>2</v>
      </c>
      <c r="F484" s="1">
        <v>44947.083333333336</v>
      </c>
      <c r="G484" s="1">
        <v>44947.12777777778</v>
      </c>
      <c r="H484">
        <v>64</v>
      </c>
      <c r="I484">
        <v>49.87</v>
      </c>
      <c r="J484" t="str">
        <f t="shared" si="22"/>
        <v>Medium</v>
      </c>
      <c r="K484" t="s">
        <v>55</v>
      </c>
      <c r="L484">
        <v>43</v>
      </c>
      <c r="M484">
        <v>63</v>
      </c>
      <c r="N484" t="str">
        <f t="shared" si="23"/>
        <v>High Cost</v>
      </c>
      <c r="O484">
        <v>19.170000000000002</v>
      </c>
      <c r="P484" t="s">
        <v>23</v>
      </c>
      <c r="Q484" t="s">
        <v>34</v>
      </c>
      <c r="R484" t="s">
        <v>44</v>
      </c>
      <c r="S484" t="s">
        <v>417</v>
      </c>
      <c r="T484" t="s">
        <v>37</v>
      </c>
      <c r="U484">
        <v>88</v>
      </c>
      <c r="V484">
        <v>3.6</v>
      </c>
      <c r="W484" t="s">
        <v>47</v>
      </c>
      <c r="X484" t="s">
        <v>29</v>
      </c>
    </row>
    <row r="485" spans="1:24" x14ac:dyDescent="0.3">
      <c r="A485" t="s">
        <v>1763</v>
      </c>
      <c r="B485" t="s">
        <v>40</v>
      </c>
      <c r="C485" t="s">
        <v>41</v>
      </c>
      <c r="D485" t="str">
        <f t="shared" si="21"/>
        <v>Morning</v>
      </c>
      <c r="E485">
        <f>HOUR(EV_Data[[#This Row],[Charging Start Time]])</f>
        <v>3</v>
      </c>
      <c r="F485" s="1">
        <v>44947.125</v>
      </c>
      <c r="G485" s="1">
        <v>44947.181944444441</v>
      </c>
      <c r="H485">
        <v>82</v>
      </c>
      <c r="I485">
        <v>47.8</v>
      </c>
      <c r="J485" t="str">
        <f t="shared" si="22"/>
        <v>Medium</v>
      </c>
      <c r="K485" t="s">
        <v>22</v>
      </c>
      <c r="L485">
        <v>20</v>
      </c>
      <c r="M485">
        <v>58</v>
      </c>
      <c r="N485" t="str">
        <f t="shared" si="23"/>
        <v>High Cost</v>
      </c>
      <c r="O485">
        <v>21.27</v>
      </c>
      <c r="P485" t="s">
        <v>43</v>
      </c>
      <c r="Q485" t="s">
        <v>58</v>
      </c>
      <c r="R485" t="s">
        <v>44</v>
      </c>
      <c r="S485" t="s">
        <v>166</v>
      </c>
      <c r="T485" t="s">
        <v>60</v>
      </c>
      <c r="U485">
        <v>87</v>
      </c>
      <c r="V485">
        <v>3.5</v>
      </c>
      <c r="W485" t="s">
        <v>28</v>
      </c>
      <c r="X485" t="s">
        <v>68</v>
      </c>
    </row>
    <row r="486" spans="1:24" x14ac:dyDescent="0.3">
      <c r="A486" t="s">
        <v>1764</v>
      </c>
      <c r="B486" t="s">
        <v>71</v>
      </c>
      <c r="C486" t="s">
        <v>72</v>
      </c>
      <c r="D486" t="str">
        <f t="shared" si="21"/>
        <v>Morning</v>
      </c>
      <c r="E486">
        <f>HOUR(EV_Data[[#This Row],[Charging Start Time]])</f>
        <v>4</v>
      </c>
      <c r="F486" s="1">
        <v>44947.166666666664</v>
      </c>
      <c r="G486" s="1">
        <v>44947.189583333333</v>
      </c>
      <c r="H486">
        <v>33</v>
      </c>
      <c r="I486">
        <v>33.369999999999997</v>
      </c>
      <c r="J486" t="str">
        <f t="shared" si="22"/>
        <v>Medium</v>
      </c>
      <c r="K486" t="s">
        <v>55</v>
      </c>
      <c r="L486">
        <v>25</v>
      </c>
      <c r="M486">
        <v>56</v>
      </c>
      <c r="N486" t="str">
        <f t="shared" si="23"/>
        <v>Medium Cost</v>
      </c>
      <c r="O486">
        <v>9.31</v>
      </c>
      <c r="P486" t="s">
        <v>33</v>
      </c>
      <c r="Q486" t="s">
        <v>48</v>
      </c>
      <c r="R486" t="s">
        <v>25</v>
      </c>
      <c r="S486" t="s">
        <v>500</v>
      </c>
      <c r="T486" t="s">
        <v>37</v>
      </c>
      <c r="U486">
        <v>10</v>
      </c>
      <c r="V486">
        <v>3.3</v>
      </c>
      <c r="W486" t="s">
        <v>28</v>
      </c>
      <c r="X486" t="s">
        <v>68</v>
      </c>
    </row>
    <row r="487" spans="1:24" x14ac:dyDescent="0.3">
      <c r="A487" t="s">
        <v>1765</v>
      </c>
      <c r="B487" t="s">
        <v>126</v>
      </c>
      <c r="C487" t="s">
        <v>31</v>
      </c>
      <c r="D487" t="str">
        <f t="shared" si="21"/>
        <v>Morning</v>
      </c>
      <c r="E487">
        <f>HOUR(EV_Data[[#This Row],[Charging Start Time]])</f>
        <v>5</v>
      </c>
      <c r="F487" s="1">
        <v>44947.208333333336</v>
      </c>
      <c r="G487" s="1">
        <v>44947.229166666657</v>
      </c>
      <c r="H487">
        <v>30</v>
      </c>
      <c r="I487">
        <v>32.92</v>
      </c>
      <c r="J487" t="str">
        <f t="shared" si="22"/>
        <v>Medium</v>
      </c>
      <c r="K487" t="s">
        <v>22</v>
      </c>
      <c r="L487">
        <v>9</v>
      </c>
      <c r="M487">
        <v>20</v>
      </c>
      <c r="N487" t="str">
        <f t="shared" si="23"/>
        <v>Low Cost</v>
      </c>
      <c r="O487">
        <v>6.9</v>
      </c>
      <c r="P487" t="s">
        <v>23</v>
      </c>
      <c r="Q487" t="s">
        <v>34</v>
      </c>
      <c r="R487" t="s">
        <v>35</v>
      </c>
      <c r="S487" t="s">
        <v>501</v>
      </c>
      <c r="T487" t="s">
        <v>60</v>
      </c>
      <c r="U487">
        <v>60</v>
      </c>
      <c r="V487">
        <v>4</v>
      </c>
      <c r="W487" t="s">
        <v>47</v>
      </c>
      <c r="X487" t="s">
        <v>29</v>
      </c>
    </row>
    <row r="488" spans="1:24" x14ac:dyDescent="0.3">
      <c r="A488" t="s">
        <v>1766</v>
      </c>
      <c r="B488" t="s">
        <v>20</v>
      </c>
      <c r="C488" t="s">
        <v>21</v>
      </c>
      <c r="D488" t="str">
        <f t="shared" si="21"/>
        <v>Morning</v>
      </c>
      <c r="E488">
        <f>HOUR(EV_Data[[#This Row],[Charging Start Time]])</f>
        <v>6</v>
      </c>
      <c r="F488" s="1">
        <v>44947.25</v>
      </c>
      <c r="G488" s="1">
        <v>44947.259027777778</v>
      </c>
      <c r="H488">
        <v>13</v>
      </c>
      <c r="I488">
        <v>23.64</v>
      </c>
      <c r="J488" t="str">
        <f t="shared" si="22"/>
        <v>Medium</v>
      </c>
      <c r="K488" t="s">
        <v>42</v>
      </c>
      <c r="L488">
        <v>53</v>
      </c>
      <c r="M488">
        <v>64</v>
      </c>
      <c r="N488" t="str">
        <f t="shared" si="23"/>
        <v>Medium Cost</v>
      </c>
      <c r="O488">
        <v>8.1300000000000008</v>
      </c>
      <c r="P488" t="s">
        <v>33</v>
      </c>
      <c r="Q488" t="s">
        <v>58</v>
      </c>
      <c r="R488" t="s">
        <v>56</v>
      </c>
      <c r="S488" t="s">
        <v>502</v>
      </c>
      <c r="T488" t="s">
        <v>60</v>
      </c>
      <c r="U488">
        <v>20</v>
      </c>
      <c r="V488">
        <v>1.7</v>
      </c>
      <c r="W488" t="s">
        <v>47</v>
      </c>
      <c r="X488" t="s">
        <v>29</v>
      </c>
    </row>
    <row r="489" spans="1:24" x14ac:dyDescent="0.3">
      <c r="A489" t="s">
        <v>1767</v>
      </c>
      <c r="B489" t="s">
        <v>53</v>
      </c>
      <c r="C489" t="s">
        <v>54</v>
      </c>
      <c r="D489" t="str">
        <f t="shared" si="21"/>
        <v>Morning</v>
      </c>
      <c r="E489">
        <f>HOUR(EV_Data[[#This Row],[Charging Start Time]])</f>
        <v>7</v>
      </c>
      <c r="F489" s="1">
        <v>44947.291666666664</v>
      </c>
      <c r="G489" s="1">
        <v>44947.320138888892</v>
      </c>
      <c r="H489">
        <v>41</v>
      </c>
      <c r="I489">
        <v>5.7</v>
      </c>
      <c r="J489" t="str">
        <f t="shared" si="22"/>
        <v>Low</v>
      </c>
      <c r="K489" t="s">
        <v>32</v>
      </c>
      <c r="L489">
        <v>24</v>
      </c>
      <c r="M489">
        <v>43</v>
      </c>
      <c r="N489" t="str">
        <f t="shared" si="23"/>
        <v>Low Cost</v>
      </c>
      <c r="O489">
        <v>1.99</v>
      </c>
      <c r="P489" t="s">
        <v>23</v>
      </c>
      <c r="Q489" t="s">
        <v>58</v>
      </c>
      <c r="R489" t="s">
        <v>25</v>
      </c>
      <c r="S489" t="s">
        <v>340</v>
      </c>
      <c r="T489" t="s">
        <v>46</v>
      </c>
      <c r="U489">
        <v>6</v>
      </c>
      <c r="V489">
        <v>2.2999999999999998</v>
      </c>
      <c r="W489" t="s">
        <v>47</v>
      </c>
      <c r="X489" t="s">
        <v>29</v>
      </c>
    </row>
    <row r="490" spans="1:24" x14ac:dyDescent="0.3">
      <c r="A490" t="s">
        <v>1768</v>
      </c>
      <c r="B490" t="s">
        <v>126</v>
      </c>
      <c r="C490" t="s">
        <v>31</v>
      </c>
      <c r="D490" t="str">
        <f t="shared" si="21"/>
        <v>Morning</v>
      </c>
      <c r="E490">
        <f>HOUR(EV_Data[[#This Row],[Charging Start Time]])</f>
        <v>8</v>
      </c>
      <c r="F490" s="1">
        <v>44947.333333333336</v>
      </c>
      <c r="G490" s="1">
        <v>44947.384722222218</v>
      </c>
      <c r="H490">
        <v>74</v>
      </c>
      <c r="I490">
        <v>48.96</v>
      </c>
      <c r="J490" t="str">
        <f t="shared" si="22"/>
        <v>Medium</v>
      </c>
      <c r="K490" t="s">
        <v>50</v>
      </c>
      <c r="L490">
        <v>62</v>
      </c>
      <c r="M490">
        <v>84</v>
      </c>
      <c r="N490" t="str">
        <f t="shared" si="23"/>
        <v>Medium Cost</v>
      </c>
      <c r="O490">
        <v>10.17</v>
      </c>
      <c r="P490" t="s">
        <v>64</v>
      </c>
      <c r="Q490" t="s">
        <v>24</v>
      </c>
      <c r="R490" t="s">
        <v>35</v>
      </c>
      <c r="S490" t="s">
        <v>503</v>
      </c>
      <c r="T490" t="s">
        <v>27</v>
      </c>
      <c r="U490">
        <v>69</v>
      </c>
      <c r="V490">
        <v>4.8</v>
      </c>
      <c r="W490" t="s">
        <v>38</v>
      </c>
      <c r="X490" t="s">
        <v>83</v>
      </c>
    </row>
    <row r="491" spans="1:24" x14ac:dyDescent="0.3">
      <c r="A491" t="s">
        <v>1769</v>
      </c>
      <c r="B491" t="s">
        <v>92</v>
      </c>
      <c r="C491" t="s">
        <v>93</v>
      </c>
      <c r="D491" t="str">
        <f t="shared" si="21"/>
        <v>Morning</v>
      </c>
      <c r="E491">
        <f>HOUR(EV_Data[[#This Row],[Charging Start Time]])</f>
        <v>9</v>
      </c>
      <c r="F491" s="1">
        <v>44947.375</v>
      </c>
      <c r="G491" s="1">
        <v>44947.392361111109</v>
      </c>
      <c r="H491">
        <v>25</v>
      </c>
      <c r="I491">
        <v>33.18</v>
      </c>
      <c r="J491" t="str">
        <f t="shared" si="22"/>
        <v>Medium</v>
      </c>
      <c r="K491" t="s">
        <v>22</v>
      </c>
      <c r="L491">
        <v>56</v>
      </c>
      <c r="M491">
        <v>70</v>
      </c>
      <c r="N491" t="str">
        <f t="shared" si="23"/>
        <v>Medium Cost</v>
      </c>
      <c r="O491">
        <v>13.64</v>
      </c>
      <c r="P491" t="s">
        <v>33</v>
      </c>
      <c r="Q491" t="s">
        <v>48</v>
      </c>
      <c r="R491" t="s">
        <v>25</v>
      </c>
      <c r="S491" t="s">
        <v>265</v>
      </c>
      <c r="T491" t="s">
        <v>37</v>
      </c>
      <c r="U491">
        <v>66</v>
      </c>
      <c r="V491">
        <v>4.2</v>
      </c>
      <c r="W491" t="s">
        <v>47</v>
      </c>
      <c r="X491" t="s">
        <v>29</v>
      </c>
    </row>
    <row r="492" spans="1:24" x14ac:dyDescent="0.3">
      <c r="A492" t="s">
        <v>1770</v>
      </c>
      <c r="B492" t="s">
        <v>92</v>
      </c>
      <c r="C492" t="s">
        <v>93</v>
      </c>
      <c r="D492" t="str">
        <f t="shared" si="21"/>
        <v>Morning</v>
      </c>
      <c r="E492">
        <f>HOUR(EV_Data[[#This Row],[Charging Start Time]])</f>
        <v>10</v>
      </c>
      <c r="F492" s="1">
        <v>44947.416666666664</v>
      </c>
      <c r="G492" s="1">
        <v>44947.498611111107</v>
      </c>
      <c r="H492">
        <v>118</v>
      </c>
      <c r="I492">
        <v>28.15</v>
      </c>
      <c r="J492" t="str">
        <f t="shared" si="22"/>
        <v>Medium</v>
      </c>
      <c r="K492" t="s">
        <v>22</v>
      </c>
      <c r="L492">
        <v>52</v>
      </c>
      <c r="M492">
        <v>86</v>
      </c>
      <c r="N492" t="str">
        <f t="shared" si="23"/>
        <v>Medium Cost</v>
      </c>
      <c r="O492">
        <v>12.77</v>
      </c>
      <c r="P492" t="s">
        <v>23</v>
      </c>
      <c r="Q492" t="s">
        <v>48</v>
      </c>
      <c r="R492" t="s">
        <v>44</v>
      </c>
      <c r="S492" t="s">
        <v>111</v>
      </c>
      <c r="T492" t="s">
        <v>46</v>
      </c>
      <c r="U492">
        <v>49</v>
      </c>
      <c r="V492">
        <v>4.5999999999999996</v>
      </c>
      <c r="W492" t="s">
        <v>28</v>
      </c>
      <c r="X492" t="s">
        <v>68</v>
      </c>
    </row>
    <row r="493" spans="1:24" x14ac:dyDescent="0.3">
      <c r="A493" t="s">
        <v>1771</v>
      </c>
      <c r="B493" t="s">
        <v>53</v>
      </c>
      <c r="C493" t="s">
        <v>54</v>
      </c>
      <c r="D493" t="str">
        <f t="shared" si="21"/>
        <v>Morning</v>
      </c>
      <c r="E493">
        <f>HOUR(EV_Data[[#This Row],[Charging Start Time]])</f>
        <v>11</v>
      </c>
      <c r="F493" s="1">
        <v>44947.458333333336</v>
      </c>
      <c r="G493" s="1">
        <v>44947.488194444442</v>
      </c>
      <c r="H493">
        <v>43</v>
      </c>
      <c r="I493">
        <v>10.9</v>
      </c>
      <c r="J493" t="str">
        <f t="shared" si="22"/>
        <v>Low</v>
      </c>
      <c r="K493" t="s">
        <v>42</v>
      </c>
      <c r="L493">
        <v>30</v>
      </c>
      <c r="M493">
        <v>43</v>
      </c>
      <c r="N493" t="str">
        <f t="shared" si="23"/>
        <v>Low Cost</v>
      </c>
      <c r="O493">
        <v>5.0999999999999996</v>
      </c>
      <c r="P493" t="s">
        <v>51</v>
      </c>
      <c r="Q493" t="s">
        <v>58</v>
      </c>
      <c r="R493" t="s">
        <v>56</v>
      </c>
      <c r="S493" t="s">
        <v>100</v>
      </c>
      <c r="T493" t="s">
        <v>46</v>
      </c>
      <c r="U493">
        <v>26</v>
      </c>
      <c r="V493">
        <v>1.7</v>
      </c>
      <c r="W493" t="s">
        <v>28</v>
      </c>
      <c r="X493" t="s">
        <v>68</v>
      </c>
    </row>
    <row r="494" spans="1:24" x14ac:dyDescent="0.3">
      <c r="A494" t="s">
        <v>1772</v>
      </c>
      <c r="B494" t="s">
        <v>126</v>
      </c>
      <c r="C494" t="s">
        <v>31</v>
      </c>
      <c r="D494" t="str">
        <f t="shared" si="21"/>
        <v>Afternoon</v>
      </c>
      <c r="E494">
        <f>HOUR(EV_Data[[#This Row],[Charging Start Time]])</f>
        <v>12</v>
      </c>
      <c r="F494" s="1">
        <v>44947.5</v>
      </c>
      <c r="G494" s="1">
        <v>44947.532638888893</v>
      </c>
      <c r="H494">
        <v>47</v>
      </c>
      <c r="I494">
        <v>5.09</v>
      </c>
      <c r="J494" t="str">
        <f t="shared" si="22"/>
        <v>Low</v>
      </c>
      <c r="K494" t="s">
        <v>69</v>
      </c>
      <c r="L494">
        <v>16</v>
      </c>
      <c r="M494">
        <v>53</v>
      </c>
      <c r="N494" t="str">
        <f t="shared" si="23"/>
        <v>Low Cost</v>
      </c>
      <c r="O494">
        <v>1.97</v>
      </c>
      <c r="P494" t="s">
        <v>33</v>
      </c>
      <c r="Q494" t="s">
        <v>48</v>
      </c>
      <c r="R494" t="s">
        <v>35</v>
      </c>
      <c r="S494" t="s">
        <v>504</v>
      </c>
      <c r="T494" t="s">
        <v>27</v>
      </c>
      <c r="U494">
        <v>6</v>
      </c>
      <c r="V494">
        <v>3.2</v>
      </c>
      <c r="W494" t="s">
        <v>28</v>
      </c>
      <c r="X494" t="s">
        <v>68</v>
      </c>
    </row>
    <row r="495" spans="1:24" x14ac:dyDescent="0.3">
      <c r="A495" t="s">
        <v>1773</v>
      </c>
      <c r="B495" t="s">
        <v>20</v>
      </c>
      <c r="C495" t="s">
        <v>21</v>
      </c>
      <c r="D495" t="str">
        <f t="shared" si="21"/>
        <v>Afternoon</v>
      </c>
      <c r="E495">
        <f>HOUR(EV_Data[[#This Row],[Charging Start Time]])</f>
        <v>13</v>
      </c>
      <c r="F495" s="1">
        <v>44947.541666666664</v>
      </c>
      <c r="G495" s="1">
        <v>44947.550694444442</v>
      </c>
      <c r="H495">
        <v>13</v>
      </c>
      <c r="I495">
        <v>23.26</v>
      </c>
      <c r="J495" t="str">
        <f t="shared" si="22"/>
        <v>Medium</v>
      </c>
      <c r="K495" t="s">
        <v>55</v>
      </c>
      <c r="L495">
        <v>55</v>
      </c>
      <c r="M495">
        <v>88</v>
      </c>
      <c r="N495" t="str">
        <f t="shared" si="23"/>
        <v>Medium Cost</v>
      </c>
      <c r="O495">
        <v>8.93</v>
      </c>
      <c r="P495" t="s">
        <v>51</v>
      </c>
      <c r="Q495" t="s">
        <v>58</v>
      </c>
      <c r="R495" t="s">
        <v>44</v>
      </c>
      <c r="S495" t="s">
        <v>201</v>
      </c>
      <c r="T495" t="s">
        <v>27</v>
      </c>
      <c r="U495">
        <v>44</v>
      </c>
      <c r="V495">
        <v>3.7</v>
      </c>
      <c r="W495" t="s">
        <v>28</v>
      </c>
      <c r="X495" t="s">
        <v>68</v>
      </c>
    </row>
    <row r="496" spans="1:24" x14ac:dyDescent="0.3">
      <c r="A496" t="s">
        <v>1774</v>
      </c>
      <c r="B496" t="s">
        <v>53</v>
      </c>
      <c r="C496" t="s">
        <v>54</v>
      </c>
      <c r="D496" t="str">
        <f t="shared" si="21"/>
        <v>Afternoon</v>
      </c>
      <c r="E496">
        <f>HOUR(EV_Data[[#This Row],[Charging Start Time]])</f>
        <v>14</v>
      </c>
      <c r="F496" s="1">
        <v>44947.583333333336</v>
      </c>
      <c r="G496" s="1">
        <v>44947.646527777782</v>
      </c>
      <c r="H496">
        <v>91</v>
      </c>
      <c r="I496">
        <v>17.559999999999999</v>
      </c>
      <c r="J496" t="str">
        <f t="shared" si="22"/>
        <v>Low</v>
      </c>
      <c r="K496" t="s">
        <v>50</v>
      </c>
      <c r="L496">
        <v>24</v>
      </c>
      <c r="M496">
        <v>59</v>
      </c>
      <c r="N496" t="str">
        <f t="shared" si="23"/>
        <v>Low Cost</v>
      </c>
      <c r="O496">
        <v>6.09</v>
      </c>
      <c r="P496" t="s">
        <v>23</v>
      </c>
      <c r="Q496" t="s">
        <v>58</v>
      </c>
      <c r="R496" t="s">
        <v>35</v>
      </c>
      <c r="S496" t="s">
        <v>414</v>
      </c>
      <c r="T496" t="s">
        <v>60</v>
      </c>
      <c r="U496">
        <v>60</v>
      </c>
      <c r="V496">
        <v>1.2</v>
      </c>
      <c r="W496" t="s">
        <v>38</v>
      </c>
      <c r="X496" t="s">
        <v>85</v>
      </c>
    </row>
    <row r="497" spans="1:24" x14ac:dyDescent="0.3">
      <c r="A497" t="s">
        <v>1775</v>
      </c>
      <c r="B497" t="s">
        <v>30</v>
      </c>
      <c r="C497" t="s">
        <v>102</v>
      </c>
      <c r="D497" t="str">
        <f t="shared" si="21"/>
        <v>Afternoon</v>
      </c>
      <c r="E497">
        <f>HOUR(EV_Data[[#This Row],[Charging Start Time]])</f>
        <v>15</v>
      </c>
      <c r="F497" s="1">
        <v>44947.625</v>
      </c>
      <c r="G497" s="1">
        <v>44947.69027777778</v>
      </c>
      <c r="H497">
        <v>94</v>
      </c>
      <c r="I497">
        <v>44.08</v>
      </c>
      <c r="J497" t="str">
        <f t="shared" si="22"/>
        <v>Medium</v>
      </c>
      <c r="K497" t="s">
        <v>32</v>
      </c>
      <c r="L497">
        <v>32</v>
      </c>
      <c r="M497">
        <v>49</v>
      </c>
      <c r="N497" t="str">
        <f t="shared" si="23"/>
        <v>Medium Cost</v>
      </c>
      <c r="O497">
        <v>16.989999999999998</v>
      </c>
      <c r="P497" t="s">
        <v>33</v>
      </c>
      <c r="Q497" t="s">
        <v>48</v>
      </c>
      <c r="R497" t="s">
        <v>25</v>
      </c>
      <c r="S497" t="s">
        <v>505</v>
      </c>
      <c r="T497" t="s">
        <v>46</v>
      </c>
      <c r="U497">
        <v>89</v>
      </c>
      <c r="V497">
        <v>4.7</v>
      </c>
      <c r="W497" t="s">
        <v>28</v>
      </c>
      <c r="X497" t="s">
        <v>68</v>
      </c>
    </row>
    <row r="498" spans="1:24" x14ac:dyDescent="0.3">
      <c r="A498" t="s">
        <v>1776</v>
      </c>
      <c r="B498" t="s">
        <v>20</v>
      </c>
      <c r="C498" t="s">
        <v>21</v>
      </c>
      <c r="D498" t="str">
        <f t="shared" si="21"/>
        <v>Afternoon</v>
      </c>
      <c r="E498">
        <f>HOUR(EV_Data[[#This Row],[Charging Start Time]])</f>
        <v>16</v>
      </c>
      <c r="F498" s="1">
        <v>44947.666666666664</v>
      </c>
      <c r="G498" s="1">
        <v>44947.667361111111</v>
      </c>
      <c r="H498">
        <v>1</v>
      </c>
      <c r="I498">
        <v>35.35</v>
      </c>
      <c r="J498" t="str">
        <f t="shared" si="22"/>
        <v>Medium</v>
      </c>
      <c r="K498" t="s">
        <v>55</v>
      </c>
      <c r="L498">
        <v>66</v>
      </c>
      <c r="M498">
        <v>100</v>
      </c>
      <c r="N498" t="str">
        <f t="shared" si="23"/>
        <v>Low Cost</v>
      </c>
      <c r="O498">
        <v>7.74</v>
      </c>
      <c r="P498" t="s">
        <v>64</v>
      </c>
      <c r="Q498" t="s">
        <v>34</v>
      </c>
      <c r="R498" t="s">
        <v>56</v>
      </c>
      <c r="S498" t="s">
        <v>147</v>
      </c>
      <c r="T498" t="s">
        <v>37</v>
      </c>
      <c r="U498">
        <v>52</v>
      </c>
      <c r="V498">
        <v>4.0999999999999996</v>
      </c>
      <c r="W498" t="s">
        <v>47</v>
      </c>
      <c r="X498" t="s">
        <v>29</v>
      </c>
    </row>
    <row r="499" spans="1:24" x14ac:dyDescent="0.3">
      <c r="A499" t="s">
        <v>1777</v>
      </c>
      <c r="B499" t="s">
        <v>20</v>
      </c>
      <c r="C499" t="s">
        <v>21</v>
      </c>
      <c r="D499" t="str">
        <f t="shared" si="21"/>
        <v>Evening</v>
      </c>
      <c r="E499">
        <f>HOUR(EV_Data[[#This Row],[Charging Start Time]])</f>
        <v>17</v>
      </c>
      <c r="F499" s="1">
        <v>44947.708333333336</v>
      </c>
      <c r="G499" s="1">
        <v>44947.734027777777</v>
      </c>
      <c r="H499">
        <v>37</v>
      </c>
      <c r="I499">
        <v>14.38</v>
      </c>
      <c r="J499" t="str">
        <f t="shared" si="22"/>
        <v>Low</v>
      </c>
      <c r="K499" t="s">
        <v>55</v>
      </c>
      <c r="L499">
        <v>27</v>
      </c>
      <c r="M499">
        <v>47</v>
      </c>
      <c r="N499" t="str">
        <f t="shared" si="23"/>
        <v>Low Cost</v>
      </c>
      <c r="O499">
        <v>4.08</v>
      </c>
      <c r="P499" t="s">
        <v>43</v>
      </c>
      <c r="Q499" t="s">
        <v>34</v>
      </c>
      <c r="R499" t="s">
        <v>25</v>
      </c>
      <c r="S499" t="s">
        <v>506</v>
      </c>
      <c r="T499" t="s">
        <v>46</v>
      </c>
      <c r="U499">
        <v>50</v>
      </c>
      <c r="V499">
        <v>1.5</v>
      </c>
      <c r="W499" t="s">
        <v>38</v>
      </c>
      <c r="X499" t="s">
        <v>62</v>
      </c>
    </row>
    <row r="500" spans="1:24" x14ac:dyDescent="0.3">
      <c r="A500" t="s">
        <v>1778</v>
      </c>
      <c r="B500" t="s">
        <v>71</v>
      </c>
      <c r="C500" t="s">
        <v>72</v>
      </c>
      <c r="D500" t="str">
        <f t="shared" si="21"/>
        <v>Evening</v>
      </c>
      <c r="E500">
        <f>HOUR(EV_Data[[#This Row],[Charging Start Time]])</f>
        <v>18</v>
      </c>
      <c r="F500" s="1">
        <v>44947.75</v>
      </c>
      <c r="G500" s="1">
        <v>44947.765972222223</v>
      </c>
      <c r="H500">
        <v>23</v>
      </c>
      <c r="I500">
        <v>32.479999999999997</v>
      </c>
      <c r="J500" t="str">
        <f t="shared" si="22"/>
        <v>Medium</v>
      </c>
      <c r="K500" t="s">
        <v>32</v>
      </c>
      <c r="L500">
        <v>71</v>
      </c>
      <c r="M500">
        <v>91</v>
      </c>
      <c r="N500" t="str">
        <f t="shared" si="23"/>
        <v>Medium Cost</v>
      </c>
      <c r="O500">
        <v>16.21</v>
      </c>
      <c r="P500" t="s">
        <v>33</v>
      </c>
      <c r="Q500" t="s">
        <v>48</v>
      </c>
      <c r="R500" t="s">
        <v>25</v>
      </c>
      <c r="S500" t="s">
        <v>507</v>
      </c>
      <c r="T500" t="s">
        <v>37</v>
      </c>
      <c r="U500">
        <v>88</v>
      </c>
      <c r="V500">
        <v>3.7</v>
      </c>
      <c r="W500" t="s">
        <v>47</v>
      </c>
      <c r="X500" t="s">
        <v>29</v>
      </c>
    </row>
    <row r="501" spans="1:24" x14ac:dyDescent="0.3">
      <c r="A501" t="s">
        <v>1779</v>
      </c>
      <c r="B501" t="s">
        <v>71</v>
      </c>
      <c r="C501" t="s">
        <v>72</v>
      </c>
      <c r="D501" t="str">
        <f t="shared" si="21"/>
        <v>Evening</v>
      </c>
      <c r="E501">
        <f>HOUR(EV_Data[[#This Row],[Charging Start Time]])</f>
        <v>19</v>
      </c>
      <c r="F501" s="1">
        <v>44947.791666666664</v>
      </c>
      <c r="G501" s="1">
        <v>44947.820833333331</v>
      </c>
      <c r="H501">
        <v>42</v>
      </c>
      <c r="I501">
        <v>23.73</v>
      </c>
      <c r="J501" t="str">
        <f t="shared" si="22"/>
        <v>Medium</v>
      </c>
      <c r="K501" t="s">
        <v>22</v>
      </c>
      <c r="L501">
        <v>16</v>
      </c>
      <c r="M501">
        <v>45</v>
      </c>
      <c r="N501" t="str">
        <f t="shared" si="23"/>
        <v>Medium Cost</v>
      </c>
      <c r="O501">
        <v>11.1</v>
      </c>
      <c r="P501" t="s">
        <v>64</v>
      </c>
      <c r="Q501" t="s">
        <v>48</v>
      </c>
      <c r="R501" t="s">
        <v>25</v>
      </c>
      <c r="S501" t="s">
        <v>508</v>
      </c>
      <c r="T501" t="s">
        <v>27</v>
      </c>
      <c r="U501">
        <v>83</v>
      </c>
      <c r="V501">
        <v>1.4</v>
      </c>
      <c r="W501" t="s">
        <v>28</v>
      </c>
      <c r="X501" t="s">
        <v>68</v>
      </c>
    </row>
    <row r="502" spans="1:24" x14ac:dyDescent="0.3">
      <c r="A502" t="s">
        <v>1780</v>
      </c>
      <c r="B502" t="s">
        <v>20</v>
      </c>
      <c r="C502" t="s">
        <v>21</v>
      </c>
      <c r="D502" t="str">
        <f t="shared" si="21"/>
        <v>Evening</v>
      </c>
      <c r="E502">
        <f>HOUR(EV_Data[[#This Row],[Charging Start Time]])</f>
        <v>20</v>
      </c>
      <c r="F502" s="1">
        <v>44947.833333333336</v>
      </c>
      <c r="G502" s="1">
        <v>44947.87222222222</v>
      </c>
      <c r="H502">
        <v>56</v>
      </c>
      <c r="I502">
        <v>28.54</v>
      </c>
      <c r="J502" t="str">
        <f t="shared" si="22"/>
        <v>Medium</v>
      </c>
      <c r="K502" t="s">
        <v>22</v>
      </c>
      <c r="L502">
        <v>44</v>
      </c>
      <c r="M502">
        <v>74</v>
      </c>
      <c r="N502" t="str">
        <f t="shared" si="23"/>
        <v>Medium Cost</v>
      </c>
      <c r="O502">
        <v>14.26</v>
      </c>
      <c r="P502" t="s">
        <v>43</v>
      </c>
      <c r="Q502" t="s">
        <v>58</v>
      </c>
      <c r="R502" t="s">
        <v>44</v>
      </c>
      <c r="S502" t="s">
        <v>501</v>
      </c>
      <c r="T502" t="s">
        <v>46</v>
      </c>
      <c r="U502">
        <v>78</v>
      </c>
      <c r="V502">
        <v>3.7</v>
      </c>
      <c r="W502" t="s">
        <v>28</v>
      </c>
      <c r="X502" t="s">
        <v>68</v>
      </c>
    </row>
    <row r="503" spans="1:24" x14ac:dyDescent="0.3">
      <c r="A503" t="s">
        <v>1781</v>
      </c>
      <c r="B503" t="s">
        <v>53</v>
      </c>
      <c r="C503" t="s">
        <v>54</v>
      </c>
      <c r="D503" t="str">
        <f t="shared" si="21"/>
        <v>Evening</v>
      </c>
      <c r="E503">
        <f>HOUR(EV_Data[[#This Row],[Charging Start Time]])</f>
        <v>21</v>
      </c>
      <c r="F503" s="1">
        <v>44947.875</v>
      </c>
      <c r="G503" s="1">
        <v>44947.908333333333</v>
      </c>
      <c r="H503">
        <v>48</v>
      </c>
      <c r="I503">
        <v>11.42</v>
      </c>
      <c r="J503" t="str">
        <f t="shared" si="22"/>
        <v>Low</v>
      </c>
      <c r="K503" t="s">
        <v>69</v>
      </c>
      <c r="L503">
        <v>35</v>
      </c>
      <c r="M503">
        <v>67</v>
      </c>
      <c r="N503" t="str">
        <f t="shared" si="23"/>
        <v>Low Cost</v>
      </c>
      <c r="O503">
        <v>3.27</v>
      </c>
      <c r="P503" t="s">
        <v>23</v>
      </c>
      <c r="Q503" t="s">
        <v>24</v>
      </c>
      <c r="R503" t="s">
        <v>44</v>
      </c>
      <c r="S503" t="s">
        <v>509</v>
      </c>
      <c r="T503" t="s">
        <v>46</v>
      </c>
      <c r="U503">
        <v>100</v>
      </c>
      <c r="V503">
        <v>4.2</v>
      </c>
      <c r="W503" t="s">
        <v>38</v>
      </c>
    </row>
    <row r="504" spans="1:24" x14ac:dyDescent="0.3">
      <c r="A504" t="s">
        <v>1782</v>
      </c>
      <c r="B504" t="s">
        <v>71</v>
      </c>
      <c r="C504" t="s">
        <v>72</v>
      </c>
      <c r="D504" t="str">
        <f t="shared" si="21"/>
        <v>Evening</v>
      </c>
      <c r="E504">
        <f>HOUR(EV_Data[[#This Row],[Charging Start Time]])</f>
        <v>22</v>
      </c>
      <c r="F504" s="1">
        <v>44947.916666666664</v>
      </c>
      <c r="G504" s="1">
        <v>44947.967361111107</v>
      </c>
      <c r="H504">
        <v>73</v>
      </c>
      <c r="I504">
        <v>8.4</v>
      </c>
      <c r="J504" t="str">
        <f t="shared" si="22"/>
        <v>Low</v>
      </c>
      <c r="K504" t="s">
        <v>69</v>
      </c>
      <c r="L504">
        <v>75</v>
      </c>
      <c r="M504">
        <v>99</v>
      </c>
      <c r="N504" t="str">
        <f t="shared" si="23"/>
        <v>Low Cost</v>
      </c>
      <c r="O504">
        <v>2.57</v>
      </c>
      <c r="P504" t="s">
        <v>64</v>
      </c>
      <c r="Q504" t="s">
        <v>24</v>
      </c>
      <c r="R504" t="s">
        <v>35</v>
      </c>
      <c r="S504" t="s">
        <v>375</v>
      </c>
      <c r="T504" t="s">
        <v>60</v>
      </c>
      <c r="U504">
        <v>25</v>
      </c>
      <c r="V504">
        <v>1.8</v>
      </c>
      <c r="W504" t="s">
        <v>47</v>
      </c>
      <c r="X504" t="s">
        <v>29</v>
      </c>
    </row>
    <row r="505" spans="1:24" x14ac:dyDescent="0.3">
      <c r="A505" t="s">
        <v>1783</v>
      </c>
      <c r="B505" t="s">
        <v>71</v>
      </c>
      <c r="C505" t="s">
        <v>72</v>
      </c>
      <c r="D505" t="str">
        <f t="shared" si="21"/>
        <v>Evening</v>
      </c>
      <c r="E505">
        <f>HOUR(EV_Data[[#This Row],[Charging Start Time]])</f>
        <v>23</v>
      </c>
      <c r="F505" s="1">
        <v>44947.958333333336</v>
      </c>
      <c r="G505" s="1">
        <v>44948.015972222223</v>
      </c>
      <c r="H505">
        <v>83</v>
      </c>
      <c r="I505">
        <v>22.29</v>
      </c>
      <c r="J505" t="str">
        <f t="shared" si="22"/>
        <v>Medium</v>
      </c>
      <c r="K505" t="s">
        <v>32</v>
      </c>
      <c r="L505">
        <v>64</v>
      </c>
      <c r="M505">
        <v>92</v>
      </c>
      <c r="N505" t="str">
        <f t="shared" si="23"/>
        <v>Medium Cost</v>
      </c>
      <c r="O505">
        <v>9.86</v>
      </c>
      <c r="P505" t="s">
        <v>33</v>
      </c>
      <c r="Q505" t="s">
        <v>34</v>
      </c>
      <c r="R505" t="s">
        <v>25</v>
      </c>
      <c r="S505" t="s">
        <v>408</v>
      </c>
      <c r="T505" t="s">
        <v>27</v>
      </c>
      <c r="U505">
        <v>55</v>
      </c>
      <c r="V505">
        <v>1.2</v>
      </c>
      <c r="W505" t="s">
        <v>28</v>
      </c>
      <c r="X505" t="s">
        <v>68</v>
      </c>
    </row>
    <row r="506" spans="1:24" x14ac:dyDescent="0.3">
      <c r="A506" t="s">
        <v>1784</v>
      </c>
      <c r="B506" t="s">
        <v>77</v>
      </c>
      <c r="C506" t="s">
        <v>78</v>
      </c>
      <c r="D506" t="str">
        <f t="shared" si="21"/>
        <v>Morning</v>
      </c>
      <c r="E506">
        <f>HOUR(EV_Data[[#This Row],[Charging Start Time]])</f>
        <v>0</v>
      </c>
      <c r="F506" s="1">
        <v>44948</v>
      </c>
      <c r="G506" s="1">
        <v>44948.052777777782</v>
      </c>
      <c r="H506">
        <v>76</v>
      </c>
      <c r="I506">
        <v>9.9700000000000006</v>
      </c>
      <c r="J506" t="str">
        <f t="shared" si="22"/>
        <v>Low</v>
      </c>
      <c r="K506" t="s">
        <v>50</v>
      </c>
      <c r="L506">
        <v>51</v>
      </c>
      <c r="M506">
        <v>65</v>
      </c>
      <c r="N506" t="str">
        <f t="shared" si="23"/>
        <v>Low Cost</v>
      </c>
      <c r="O506">
        <v>4.57</v>
      </c>
      <c r="P506" t="s">
        <v>64</v>
      </c>
      <c r="Q506" t="s">
        <v>24</v>
      </c>
      <c r="R506" t="s">
        <v>44</v>
      </c>
      <c r="S506" t="s">
        <v>439</v>
      </c>
      <c r="T506" t="s">
        <v>37</v>
      </c>
      <c r="U506">
        <v>88</v>
      </c>
      <c r="V506">
        <v>1.9</v>
      </c>
      <c r="W506" t="s">
        <v>47</v>
      </c>
      <c r="X506" t="s">
        <v>29</v>
      </c>
    </row>
    <row r="507" spans="1:24" x14ac:dyDescent="0.3">
      <c r="A507" t="s">
        <v>1785</v>
      </c>
      <c r="B507" t="s">
        <v>53</v>
      </c>
      <c r="C507" t="s">
        <v>54</v>
      </c>
      <c r="D507" t="str">
        <f t="shared" si="21"/>
        <v>Morning</v>
      </c>
      <c r="E507">
        <f>HOUR(EV_Data[[#This Row],[Charging Start Time]])</f>
        <v>1</v>
      </c>
      <c r="F507" s="1">
        <v>44948.041666666664</v>
      </c>
      <c r="G507" s="1">
        <v>44948.069444444453</v>
      </c>
      <c r="H507">
        <v>40</v>
      </c>
      <c r="I507">
        <v>10.81</v>
      </c>
      <c r="J507" t="str">
        <f t="shared" si="22"/>
        <v>Low</v>
      </c>
      <c r="K507" t="s">
        <v>22</v>
      </c>
      <c r="L507">
        <v>80</v>
      </c>
      <c r="M507">
        <v>97</v>
      </c>
      <c r="N507" t="str">
        <f t="shared" si="23"/>
        <v>Low Cost</v>
      </c>
      <c r="O507">
        <v>4.09</v>
      </c>
      <c r="P507" t="s">
        <v>64</v>
      </c>
      <c r="Q507" t="s">
        <v>48</v>
      </c>
      <c r="R507" t="s">
        <v>44</v>
      </c>
      <c r="S507" t="s">
        <v>510</v>
      </c>
      <c r="T507" t="s">
        <v>46</v>
      </c>
      <c r="U507">
        <v>35</v>
      </c>
      <c r="V507">
        <v>4.2</v>
      </c>
      <c r="W507" t="s">
        <v>47</v>
      </c>
      <c r="X507" t="s">
        <v>29</v>
      </c>
    </row>
    <row r="508" spans="1:24" x14ac:dyDescent="0.3">
      <c r="A508" t="s">
        <v>1786</v>
      </c>
      <c r="B508" t="s">
        <v>30</v>
      </c>
      <c r="C508" t="s">
        <v>102</v>
      </c>
      <c r="D508" t="str">
        <f t="shared" si="21"/>
        <v>Morning</v>
      </c>
      <c r="E508">
        <f>HOUR(EV_Data[[#This Row],[Charging Start Time]])</f>
        <v>2</v>
      </c>
      <c r="F508" s="1">
        <v>44948.083333333336</v>
      </c>
      <c r="G508" s="1">
        <v>44948.143055555563</v>
      </c>
      <c r="H508">
        <v>86</v>
      </c>
      <c r="I508">
        <v>48.87</v>
      </c>
      <c r="J508" t="str">
        <f t="shared" si="22"/>
        <v>Medium</v>
      </c>
      <c r="K508" t="s">
        <v>42</v>
      </c>
      <c r="L508">
        <v>51</v>
      </c>
      <c r="M508">
        <v>77</v>
      </c>
      <c r="N508" t="str">
        <f t="shared" si="23"/>
        <v>Medium Cost</v>
      </c>
      <c r="O508">
        <v>13.26</v>
      </c>
      <c r="P508" t="s">
        <v>43</v>
      </c>
      <c r="Q508" t="s">
        <v>34</v>
      </c>
      <c r="R508" t="s">
        <v>25</v>
      </c>
      <c r="S508" t="s">
        <v>511</v>
      </c>
      <c r="T508" t="s">
        <v>27</v>
      </c>
      <c r="U508">
        <v>48</v>
      </c>
      <c r="V508">
        <v>2.2999999999999998</v>
      </c>
      <c r="W508" t="s">
        <v>28</v>
      </c>
      <c r="X508" t="s">
        <v>68</v>
      </c>
    </row>
    <row r="509" spans="1:24" x14ac:dyDescent="0.3">
      <c r="A509" t="s">
        <v>1787</v>
      </c>
      <c r="B509" t="s">
        <v>40</v>
      </c>
      <c r="C509" t="s">
        <v>41</v>
      </c>
      <c r="D509" t="str">
        <f t="shared" si="21"/>
        <v>Morning</v>
      </c>
      <c r="E509">
        <f>HOUR(EV_Data[[#This Row],[Charging Start Time]])</f>
        <v>3</v>
      </c>
      <c r="F509" s="1">
        <v>44948.125</v>
      </c>
      <c r="G509" s="1">
        <v>44948.203472222223</v>
      </c>
      <c r="H509">
        <v>113</v>
      </c>
      <c r="I509">
        <v>29.33</v>
      </c>
      <c r="J509" t="str">
        <f t="shared" si="22"/>
        <v>Medium</v>
      </c>
      <c r="K509" t="s">
        <v>55</v>
      </c>
      <c r="L509">
        <v>64</v>
      </c>
      <c r="M509">
        <v>97</v>
      </c>
      <c r="N509" t="str">
        <f t="shared" si="23"/>
        <v>Medium Cost</v>
      </c>
      <c r="O509">
        <v>11.65</v>
      </c>
      <c r="P509" t="s">
        <v>51</v>
      </c>
      <c r="Q509" t="s">
        <v>24</v>
      </c>
      <c r="R509" t="s">
        <v>35</v>
      </c>
      <c r="S509" t="s">
        <v>224</v>
      </c>
      <c r="T509" t="s">
        <v>60</v>
      </c>
      <c r="U509">
        <v>4</v>
      </c>
      <c r="V509">
        <v>1.3</v>
      </c>
      <c r="W509" t="s">
        <v>28</v>
      </c>
      <c r="X509" t="s">
        <v>68</v>
      </c>
    </row>
    <row r="510" spans="1:24" x14ac:dyDescent="0.3">
      <c r="A510" t="s">
        <v>1788</v>
      </c>
      <c r="B510" t="s">
        <v>40</v>
      </c>
      <c r="C510" t="s">
        <v>41</v>
      </c>
      <c r="D510" t="str">
        <f t="shared" si="21"/>
        <v>Morning</v>
      </c>
      <c r="E510">
        <f>HOUR(EV_Data[[#This Row],[Charging Start Time]])</f>
        <v>4</v>
      </c>
      <c r="F510" s="1">
        <v>44948.166666666664</v>
      </c>
      <c r="G510" s="1">
        <v>44948.167361111111</v>
      </c>
      <c r="H510">
        <v>1</v>
      </c>
      <c r="I510">
        <v>11.92</v>
      </c>
      <c r="J510" t="str">
        <f t="shared" si="22"/>
        <v>Low</v>
      </c>
      <c r="K510" t="s">
        <v>69</v>
      </c>
      <c r="L510">
        <v>46</v>
      </c>
      <c r="M510">
        <v>78</v>
      </c>
      <c r="N510" t="str">
        <f t="shared" si="23"/>
        <v>Low Cost</v>
      </c>
      <c r="O510">
        <v>5.27</v>
      </c>
      <c r="P510" t="s">
        <v>51</v>
      </c>
      <c r="Q510" t="s">
        <v>34</v>
      </c>
      <c r="R510" t="s">
        <v>44</v>
      </c>
      <c r="S510" t="s">
        <v>376</v>
      </c>
      <c r="T510" t="s">
        <v>37</v>
      </c>
      <c r="U510">
        <v>64</v>
      </c>
      <c r="V510">
        <v>4</v>
      </c>
      <c r="W510" t="s">
        <v>47</v>
      </c>
      <c r="X510" t="s">
        <v>29</v>
      </c>
    </row>
    <row r="511" spans="1:24" x14ac:dyDescent="0.3">
      <c r="A511" t="s">
        <v>1789</v>
      </c>
      <c r="B511" t="s">
        <v>53</v>
      </c>
      <c r="C511" t="s">
        <v>54</v>
      </c>
      <c r="D511" t="str">
        <f t="shared" si="21"/>
        <v>Morning</v>
      </c>
      <c r="E511">
        <f>HOUR(EV_Data[[#This Row],[Charging Start Time]])</f>
        <v>5</v>
      </c>
      <c r="F511" s="1">
        <v>44948.208333333336</v>
      </c>
      <c r="G511" s="1">
        <v>44948.231249999997</v>
      </c>
      <c r="H511">
        <v>33</v>
      </c>
      <c r="I511">
        <v>23.09</v>
      </c>
      <c r="J511" t="str">
        <f t="shared" si="22"/>
        <v>Medium</v>
      </c>
      <c r="K511" t="s">
        <v>50</v>
      </c>
      <c r="L511">
        <v>19</v>
      </c>
      <c r="M511">
        <v>52</v>
      </c>
      <c r="N511" t="str">
        <f t="shared" si="23"/>
        <v>Medium Cost</v>
      </c>
      <c r="O511">
        <v>10.07</v>
      </c>
      <c r="P511" t="s">
        <v>23</v>
      </c>
      <c r="Q511" t="s">
        <v>24</v>
      </c>
      <c r="R511" t="s">
        <v>35</v>
      </c>
      <c r="S511" t="s">
        <v>512</v>
      </c>
      <c r="T511" t="s">
        <v>60</v>
      </c>
      <c r="U511">
        <v>81</v>
      </c>
      <c r="V511">
        <v>1.8</v>
      </c>
      <c r="W511" t="s">
        <v>47</v>
      </c>
      <c r="X511" t="s">
        <v>29</v>
      </c>
    </row>
    <row r="512" spans="1:24" x14ac:dyDescent="0.3">
      <c r="A512" t="s">
        <v>1790</v>
      </c>
      <c r="B512" t="s">
        <v>30</v>
      </c>
      <c r="C512" t="s">
        <v>102</v>
      </c>
      <c r="D512" t="str">
        <f t="shared" si="21"/>
        <v>Morning</v>
      </c>
      <c r="E512">
        <f>HOUR(EV_Data[[#This Row],[Charging Start Time]])</f>
        <v>6</v>
      </c>
      <c r="F512" s="1">
        <v>44948.25</v>
      </c>
      <c r="G512" s="1">
        <v>44948.272222222222</v>
      </c>
      <c r="H512">
        <v>32</v>
      </c>
      <c r="I512">
        <v>17.32</v>
      </c>
      <c r="J512" t="str">
        <f t="shared" si="22"/>
        <v>Low</v>
      </c>
      <c r="K512" t="s">
        <v>42</v>
      </c>
      <c r="L512">
        <v>45</v>
      </c>
      <c r="M512">
        <v>56</v>
      </c>
      <c r="N512" t="str">
        <f t="shared" si="23"/>
        <v>Low Cost</v>
      </c>
      <c r="O512">
        <v>7.49</v>
      </c>
      <c r="P512" t="s">
        <v>51</v>
      </c>
      <c r="Q512" t="s">
        <v>48</v>
      </c>
      <c r="R512" t="s">
        <v>44</v>
      </c>
      <c r="S512" t="s">
        <v>513</v>
      </c>
      <c r="T512" t="s">
        <v>46</v>
      </c>
      <c r="U512">
        <v>70</v>
      </c>
      <c r="V512">
        <v>4.7</v>
      </c>
      <c r="W512" t="s">
        <v>38</v>
      </c>
      <c r="X512" t="s">
        <v>62</v>
      </c>
    </row>
    <row r="513" spans="1:24" x14ac:dyDescent="0.3">
      <c r="A513" t="s">
        <v>1791</v>
      </c>
      <c r="B513" t="s">
        <v>40</v>
      </c>
      <c r="C513" t="s">
        <v>41</v>
      </c>
      <c r="D513" t="str">
        <f t="shared" si="21"/>
        <v>Morning</v>
      </c>
      <c r="E513">
        <f>HOUR(EV_Data[[#This Row],[Charging Start Time]])</f>
        <v>7</v>
      </c>
      <c r="F513" s="1">
        <v>44948.291666666664</v>
      </c>
      <c r="G513" s="1">
        <v>44948.318749999999</v>
      </c>
      <c r="H513">
        <v>39</v>
      </c>
      <c r="I513">
        <v>29.71</v>
      </c>
      <c r="J513" t="str">
        <f t="shared" si="22"/>
        <v>Medium</v>
      </c>
      <c r="K513" t="s">
        <v>55</v>
      </c>
      <c r="L513">
        <v>50</v>
      </c>
      <c r="M513">
        <v>60</v>
      </c>
      <c r="N513" t="str">
        <f t="shared" si="23"/>
        <v>Medium Cost</v>
      </c>
      <c r="O513">
        <v>14.64</v>
      </c>
      <c r="P513" t="s">
        <v>43</v>
      </c>
      <c r="Q513" t="s">
        <v>48</v>
      </c>
      <c r="R513" t="s">
        <v>56</v>
      </c>
      <c r="S513" t="s">
        <v>514</v>
      </c>
      <c r="T513" t="s">
        <v>37</v>
      </c>
      <c r="U513">
        <v>62</v>
      </c>
      <c r="V513">
        <v>4.7</v>
      </c>
      <c r="W513" t="s">
        <v>28</v>
      </c>
      <c r="X513" t="s">
        <v>68</v>
      </c>
    </row>
    <row r="514" spans="1:24" x14ac:dyDescent="0.3">
      <c r="A514" t="s">
        <v>1792</v>
      </c>
      <c r="B514" t="s">
        <v>53</v>
      </c>
      <c r="C514" t="s">
        <v>54</v>
      </c>
      <c r="D514" t="str">
        <f t="shared" ref="D514:D577" si="24">IF(E514&lt;12,"Morning",IF(E514&lt;17,"Afternoon","Evening"))</f>
        <v>Morning</v>
      </c>
      <c r="E514">
        <f>HOUR(EV_Data[[#This Row],[Charging Start Time]])</f>
        <v>8</v>
      </c>
      <c r="F514" s="1">
        <v>44948.333333333336</v>
      </c>
      <c r="G514" s="1">
        <v>44948.354861111111</v>
      </c>
      <c r="H514">
        <v>31</v>
      </c>
      <c r="I514">
        <v>45.29</v>
      </c>
      <c r="J514" t="str">
        <f t="shared" ref="J514:J577" si="25">IF(I514&lt;20,"Low",IF(I514&lt;50,"Medium","High"))</f>
        <v>Medium</v>
      </c>
      <c r="K514" t="s">
        <v>50</v>
      </c>
      <c r="L514">
        <v>58</v>
      </c>
      <c r="M514">
        <v>90</v>
      </c>
      <c r="N514" t="str">
        <f t="shared" ref="N514:N577" si="26">IF(O514&lt;8,"Low Cost",IF(O514&lt;17,"Medium Cost","High Cost"))</f>
        <v>Medium Cost</v>
      </c>
      <c r="O514">
        <v>10.119999999999999</v>
      </c>
      <c r="P514" t="s">
        <v>51</v>
      </c>
      <c r="Q514" t="s">
        <v>58</v>
      </c>
      <c r="R514" t="s">
        <v>35</v>
      </c>
      <c r="S514" t="s">
        <v>515</v>
      </c>
      <c r="T514" t="s">
        <v>27</v>
      </c>
      <c r="U514">
        <v>34</v>
      </c>
      <c r="V514">
        <v>1.3</v>
      </c>
      <c r="W514" t="s">
        <v>28</v>
      </c>
      <c r="X514" t="s">
        <v>68</v>
      </c>
    </row>
    <row r="515" spans="1:24" x14ac:dyDescent="0.3">
      <c r="A515" t="s">
        <v>1793</v>
      </c>
      <c r="B515" t="s">
        <v>20</v>
      </c>
      <c r="C515" t="s">
        <v>21</v>
      </c>
      <c r="D515" t="str">
        <f t="shared" si="24"/>
        <v>Morning</v>
      </c>
      <c r="E515">
        <f>HOUR(EV_Data[[#This Row],[Charging Start Time]])</f>
        <v>9</v>
      </c>
      <c r="F515" s="1">
        <v>44948.375</v>
      </c>
      <c r="G515" s="1">
        <v>44948.42291666667</v>
      </c>
      <c r="H515">
        <v>69</v>
      </c>
      <c r="I515">
        <v>18.34</v>
      </c>
      <c r="J515" t="str">
        <f t="shared" si="25"/>
        <v>Low</v>
      </c>
      <c r="K515" t="s">
        <v>32</v>
      </c>
      <c r="L515">
        <v>19</v>
      </c>
      <c r="M515">
        <v>45</v>
      </c>
      <c r="N515" t="str">
        <f t="shared" si="26"/>
        <v>Medium Cost</v>
      </c>
      <c r="O515">
        <v>9</v>
      </c>
      <c r="P515" t="s">
        <v>43</v>
      </c>
      <c r="Q515" t="s">
        <v>48</v>
      </c>
      <c r="R515" t="s">
        <v>25</v>
      </c>
      <c r="S515" t="s">
        <v>516</v>
      </c>
      <c r="T515" t="s">
        <v>37</v>
      </c>
      <c r="U515">
        <v>0</v>
      </c>
      <c r="V515">
        <v>4.7</v>
      </c>
      <c r="W515" t="s">
        <v>28</v>
      </c>
      <c r="X515" t="s">
        <v>68</v>
      </c>
    </row>
    <row r="516" spans="1:24" x14ac:dyDescent="0.3">
      <c r="A516" t="s">
        <v>1794</v>
      </c>
      <c r="B516" t="s">
        <v>126</v>
      </c>
      <c r="C516" t="s">
        <v>31</v>
      </c>
      <c r="D516" t="str">
        <f t="shared" si="24"/>
        <v>Morning</v>
      </c>
      <c r="E516">
        <f>HOUR(EV_Data[[#This Row],[Charging Start Time]])</f>
        <v>10</v>
      </c>
      <c r="F516" s="1">
        <v>44948.416666666664</v>
      </c>
      <c r="G516" s="1">
        <v>44948.417361111111</v>
      </c>
      <c r="H516">
        <v>1</v>
      </c>
      <c r="I516">
        <v>42.46</v>
      </c>
      <c r="J516" t="str">
        <f t="shared" si="25"/>
        <v>Medium</v>
      </c>
      <c r="K516" t="s">
        <v>69</v>
      </c>
      <c r="L516">
        <v>56</v>
      </c>
      <c r="M516">
        <v>94</v>
      </c>
      <c r="N516" t="str">
        <f t="shared" si="26"/>
        <v>Medium Cost</v>
      </c>
      <c r="O516">
        <v>12.22</v>
      </c>
      <c r="P516" t="s">
        <v>33</v>
      </c>
      <c r="Q516" t="s">
        <v>24</v>
      </c>
      <c r="R516" t="s">
        <v>35</v>
      </c>
      <c r="S516" t="s">
        <v>517</v>
      </c>
      <c r="T516" t="s">
        <v>46</v>
      </c>
      <c r="U516">
        <v>17</v>
      </c>
      <c r="V516">
        <v>2.9</v>
      </c>
      <c r="W516" t="s">
        <v>28</v>
      </c>
      <c r="X516" t="s">
        <v>68</v>
      </c>
    </row>
    <row r="517" spans="1:24" x14ac:dyDescent="0.3">
      <c r="A517" t="s">
        <v>1795</v>
      </c>
      <c r="B517" t="s">
        <v>77</v>
      </c>
      <c r="C517" t="s">
        <v>78</v>
      </c>
      <c r="D517" t="str">
        <f t="shared" si="24"/>
        <v>Morning</v>
      </c>
      <c r="E517">
        <f>HOUR(EV_Data[[#This Row],[Charging Start Time]])</f>
        <v>11</v>
      </c>
      <c r="F517" s="1">
        <v>44948.458333333336</v>
      </c>
      <c r="G517" s="1">
        <v>44948.49722222222</v>
      </c>
      <c r="H517">
        <v>56</v>
      </c>
      <c r="I517">
        <v>38.340000000000003</v>
      </c>
      <c r="J517" t="str">
        <f t="shared" si="25"/>
        <v>Medium</v>
      </c>
      <c r="K517" t="s">
        <v>22</v>
      </c>
      <c r="L517">
        <v>5</v>
      </c>
      <c r="M517">
        <v>34</v>
      </c>
      <c r="N517" t="str">
        <f t="shared" si="26"/>
        <v>Medium Cost</v>
      </c>
      <c r="O517">
        <v>9.4700000000000006</v>
      </c>
      <c r="P517" t="s">
        <v>51</v>
      </c>
      <c r="Q517" t="s">
        <v>34</v>
      </c>
      <c r="R517" t="s">
        <v>25</v>
      </c>
      <c r="S517" t="s">
        <v>518</v>
      </c>
      <c r="T517" t="s">
        <v>46</v>
      </c>
      <c r="U517">
        <v>4</v>
      </c>
      <c r="V517">
        <v>1.8</v>
      </c>
      <c r="W517" t="s">
        <v>28</v>
      </c>
      <c r="X517" t="s">
        <v>68</v>
      </c>
    </row>
    <row r="518" spans="1:24" x14ac:dyDescent="0.3">
      <c r="A518" t="s">
        <v>1796</v>
      </c>
      <c r="B518" t="s">
        <v>40</v>
      </c>
      <c r="C518" t="s">
        <v>41</v>
      </c>
      <c r="D518" t="str">
        <f t="shared" si="24"/>
        <v>Afternoon</v>
      </c>
      <c r="E518">
        <f>HOUR(EV_Data[[#This Row],[Charging Start Time]])</f>
        <v>12</v>
      </c>
      <c r="F518" s="1">
        <v>44948.5</v>
      </c>
      <c r="G518" s="1">
        <v>44948.526388888888</v>
      </c>
      <c r="H518">
        <v>38</v>
      </c>
      <c r="I518">
        <v>39.54</v>
      </c>
      <c r="J518" t="str">
        <f t="shared" si="25"/>
        <v>Medium</v>
      </c>
      <c r="K518" t="s">
        <v>69</v>
      </c>
      <c r="L518">
        <v>19</v>
      </c>
      <c r="M518">
        <v>31</v>
      </c>
      <c r="N518" t="str">
        <f t="shared" si="26"/>
        <v>Medium Cost</v>
      </c>
      <c r="O518">
        <v>10.98</v>
      </c>
      <c r="P518" t="s">
        <v>64</v>
      </c>
      <c r="Q518" t="s">
        <v>48</v>
      </c>
      <c r="R518" t="s">
        <v>25</v>
      </c>
      <c r="S518" t="s">
        <v>519</v>
      </c>
      <c r="T518" t="s">
        <v>46</v>
      </c>
      <c r="U518">
        <v>41</v>
      </c>
      <c r="V518">
        <v>1.5</v>
      </c>
      <c r="W518" t="s">
        <v>47</v>
      </c>
      <c r="X518" t="s">
        <v>29</v>
      </c>
    </row>
    <row r="519" spans="1:24" x14ac:dyDescent="0.3">
      <c r="A519" t="s">
        <v>1797</v>
      </c>
      <c r="B519" t="s">
        <v>40</v>
      </c>
      <c r="C519" t="s">
        <v>41</v>
      </c>
      <c r="D519" t="str">
        <f t="shared" si="24"/>
        <v>Afternoon</v>
      </c>
      <c r="E519">
        <f>HOUR(EV_Data[[#This Row],[Charging Start Time]])</f>
        <v>13</v>
      </c>
      <c r="F519" s="1">
        <v>44948.541666666664</v>
      </c>
      <c r="G519" s="1">
        <v>44948.561111111107</v>
      </c>
      <c r="H519">
        <v>28</v>
      </c>
      <c r="I519">
        <v>23.14</v>
      </c>
      <c r="J519" t="str">
        <f t="shared" si="25"/>
        <v>Medium</v>
      </c>
      <c r="K519" t="s">
        <v>50</v>
      </c>
      <c r="L519">
        <v>42</v>
      </c>
      <c r="M519">
        <v>78</v>
      </c>
      <c r="N519" t="str">
        <f t="shared" si="26"/>
        <v>Medium Cost</v>
      </c>
      <c r="O519">
        <v>10.050000000000001</v>
      </c>
      <c r="P519" t="s">
        <v>51</v>
      </c>
      <c r="Q519" t="s">
        <v>24</v>
      </c>
      <c r="R519" t="s">
        <v>25</v>
      </c>
      <c r="S519" t="s">
        <v>520</v>
      </c>
      <c r="T519" t="s">
        <v>27</v>
      </c>
      <c r="U519">
        <v>51</v>
      </c>
      <c r="V519">
        <v>4.3</v>
      </c>
      <c r="W519" t="s">
        <v>28</v>
      </c>
      <c r="X519" t="s">
        <v>68</v>
      </c>
    </row>
    <row r="520" spans="1:24" x14ac:dyDescent="0.3">
      <c r="A520" t="s">
        <v>1798</v>
      </c>
      <c r="B520" t="s">
        <v>126</v>
      </c>
      <c r="C520" t="s">
        <v>31</v>
      </c>
      <c r="D520" t="str">
        <f t="shared" si="24"/>
        <v>Afternoon</v>
      </c>
      <c r="E520">
        <f>HOUR(EV_Data[[#This Row],[Charging Start Time]])</f>
        <v>14</v>
      </c>
      <c r="F520" s="1">
        <v>44948.583333333336</v>
      </c>
      <c r="G520" s="1">
        <v>44948.651388888888</v>
      </c>
      <c r="H520">
        <v>98</v>
      </c>
      <c r="I520">
        <v>30.69</v>
      </c>
      <c r="J520" t="str">
        <f t="shared" si="25"/>
        <v>Medium</v>
      </c>
      <c r="K520" t="s">
        <v>22</v>
      </c>
      <c r="L520">
        <v>16</v>
      </c>
      <c r="M520">
        <v>42</v>
      </c>
      <c r="N520" t="str">
        <f t="shared" si="26"/>
        <v>Low Cost</v>
      </c>
      <c r="O520">
        <v>6.86</v>
      </c>
      <c r="P520" t="s">
        <v>43</v>
      </c>
      <c r="Q520" t="s">
        <v>48</v>
      </c>
      <c r="R520" t="s">
        <v>56</v>
      </c>
      <c r="S520" t="s">
        <v>521</v>
      </c>
      <c r="T520" t="s">
        <v>37</v>
      </c>
      <c r="U520">
        <v>97</v>
      </c>
      <c r="V520">
        <v>1.1000000000000001</v>
      </c>
      <c r="W520" t="s">
        <v>28</v>
      </c>
      <c r="X520" t="s">
        <v>68</v>
      </c>
    </row>
    <row r="521" spans="1:24" x14ac:dyDescent="0.3">
      <c r="A521" t="s">
        <v>1799</v>
      </c>
      <c r="B521" t="s">
        <v>20</v>
      </c>
      <c r="C521" t="s">
        <v>21</v>
      </c>
      <c r="D521" t="str">
        <f t="shared" si="24"/>
        <v>Afternoon</v>
      </c>
      <c r="E521">
        <f>HOUR(EV_Data[[#This Row],[Charging Start Time]])</f>
        <v>15</v>
      </c>
      <c r="F521" s="1">
        <v>44948.625</v>
      </c>
      <c r="G521" s="1">
        <v>44948.67291666667</v>
      </c>
      <c r="H521">
        <v>69</v>
      </c>
      <c r="I521">
        <v>34.64</v>
      </c>
      <c r="J521" t="str">
        <f t="shared" si="25"/>
        <v>Medium</v>
      </c>
      <c r="K521" t="s">
        <v>42</v>
      </c>
      <c r="L521">
        <v>65</v>
      </c>
      <c r="M521">
        <v>88</v>
      </c>
      <c r="N521" t="str">
        <f t="shared" si="26"/>
        <v>Medium Cost</v>
      </c>
      <c r="O521">
        <v>11.97</v>
      </c>
      <c r="P521" t="s">
        <v>51</v>
      </c>
      <c r="Q521" t="s">
        <v>58</v>
      </c>
      <c r="R521" t="s">
        <v>35</v>
      </c>
      <c r="S521" t="s">
        <v>522</v>
      </c>
      <c r="T521" t="s">
        <v>60</v>
      </c>
      <c r="U521">
        <v>96</v>
      </c>
      <c r="V521">
        <v>1.6</v>
      </c>
      <c r="W521" t="s">
        <v>47</v>
      </c>
      <c r="X521" t="s">
        <v>29</v>
      </c>
    </row>
    <row r="522" spans="1:24" x14ac:dyDescent="0.3">
      <c r="A522" t="s">
        <v>1800</v>
      </c>
      <c r="B522" t="s">
        <v>71</v>
      </c>
      <c r="C522" t="s">
        <v>72</v>
      </c>
      <c r="D522" t="str">
        <f t="shared" si="24"/>
        <v>Afternoon</v>
      </c>
      <c r="E522">
        <f>HOUR(EV_Data[[#This Row],[Charging Start Time]])</f>
        <v>16</v>
      </c>
      <c r="F522" s="1">
        <v>44948.666666666664</v>
      </c>
      <c r="G522" s="1">
        <v>44948.73541666667</v>
      </c>
      <c r="H522">
        <v>99</v>
      </c>
      <c r="I522">
        <v>46.1</v>
      </c>
      <c r="J522" t="str">
        <f t="shared" si="25"/>
        <v>Medium</v>
      </c>
      <c r="K522" t="s">
        <v>55</v>
      </c>
      <c r="L522">
        <v>35</v>
      </c>
      <c r="M522">
        <v>64</v>
      </c>
      <c r="N522" t="str">
        <f t="shared" si="26"/>
        <v>Medium Cost</v>
      </c>
      <c r="O522">
        <v>11.64</v>
      </c>
      <c r="P522" t="s">
        <v>23</v>
      </c>
      <c r="Q522" t="s">
        <v>58</v>
      </c>
      <c r="R522" t="s">
        <v>25</v>
      </c>
      <c r="S522" t="s">
        <v>523</v>
      </c>
      <c r="T522" t="s">
        <v>37</v>
      </c>
      <c r="U522">
        <v>7</v>
      </c>
      <c r="V522">
        <v>4.5999999999999996</v>
      </c>
      <c r="W522" t="s">
        <v>47</v>
      </c>
      <c r="X522" t="s">
        <v>29</v>
      </c>
    </row>
    <row r="523" spans="1:24" x14ac:dyDescent="0.3">
      <c r="A523" t="s">
        <v>1801</v>
      </c>
      <c r="B523" t="s">
        <v>77</v>
      </c>
      <c r="C523" t="s">
        <v>78</v>
      </c>
      <c r="D523" t="str">
        <f t="shared" si="24"/>
        <v>Evening</v>
      </c>
      <c r="E523">
        <f>HOUR(EV_Data[[#This Row],[Charging Start Time]])</f>
        <v>17</v>
      </c>
      <c r="F523" s="1">
        <v>44948.708333333336</v>
      </c>
      <c r="G523" s="1">
        <v>44948.737500000003</v>
      </c>
      <c r="H523">
        <v>42</v>
      </c>
      <c r="I523">
        <v>13.24</v>
      </c>
      <c r="J523" t="str">
        <f t="shared" si="25"/>
        <v>Low</v>
      </c>
      <c r="K523" t="s">
        <v>42</v>
      </c>
      <c r="L523">
        <v>42</v>
      </c>
      <c r="M523">
        <v>65</v>
      </c>
      <c r="N523" t="str">
        <f t="shared" si="26"/>
        <v>Low Cost</v>
      </c>
      <c r="O523">
        <v>6.37</v>
      </c>
      <c r="P523" t="s">
        <v>51</v>
      </c>
      <c r="Q523" t="s">
        <v>58</v>
      </c>
      <c r="R523" t="s">
        <v>56</v>
      </c>
      <c r="S523" t="s">
        <v>524</v>
      </c>
      <c r="T523" t="s">
        <v>27</v>
      </c>
      <c r="U523">
        <v>82</v>
      </c>
      <c r="V523">
        <v>3.9</v>
      </c>
      <c r="W523" t="s">
        <v>38</v>
      </c>
    </row>
    <row r="524" spans="1:24" x14ac:dyDescent="0.3">
      <c r="A524" t="s">
        <v>1802</v>
      </c>
      <c r="B524" t="s">
        <v>77</v>
      </c>
      <c r="C524" t="s">
        <v>78</v>
      </c>
      <c r="D524" t="str">
        <f t="shared" si="24"/>
        <v>Evening</v>
      </c>
      <c r="E524">
        <f>HOUR(EV_Data[[#This Row],[Charging Start Time]])</f>
        <v>18</v>
      </c>
      <c r="F524" s="1">
        <v>44948.75</v>
      </c>
      <c r="G524" s="1">
        <v>44948.791666666657</v>
      </c>
      <c r="H524">
        <v>60</v>
      </c>
      <c r="I524">
        <v>33.159999999999997</v>
      </c>
      <c r="J524" t="str">
        <f t="shared" si="25"/>
        <v>Medium</v>
      </c>
      <c r="K524" t="s">
        <v>55</v>
      </c>
      <c r="L524">
        <v>59</v>
      </c>
      <c r="M524">
        <v>81</v>
      </c>
      <c r="N524" t="str">
        <f t="shared" si="26"/>
        <v>Medium Cost</v>
      </c>
      <c r="O524">
        <v>15.91</v>
      </c>
      <c r="P524" t="s">
        <v>43</v>
      </c>
      <c r="Q524" t="s">
        <v>48</v>
      </c>
      <c r="R524" t="s">
        <v>25</v>
      </c>
      <c r="S524" t="s">
        <v>525</v>
      </c>
      <c r="T524" t="s">
        <v>60</v>
      </c>
      <c r="U524">
        <v>84</v>
      </c>
      <c r="V524">
        <v>2.8</v>
      </c>
      <c r="W524" t="s">
        <v>38</v>
      </c>
    </row>
    <row r="525" spans="1:24" x14ac:dyDescent="0.3">
      <c r="A525" t="s">
        <v>1803</v>
      </c>
      <c r="B525" t="s">
        <v>40</v>
      </c>
      <c r="C525" t="s">
        <v>41</v>
      </c>
      <c r="D525" t="str">
        <f t="shared" si="24"/>
        <v>Evening</v>
      </c>
      <c r="E525">
        <f>HOUR(EV_Data[[#This Row],[Charging Start Time]])</f>
        <v>19</v>
      </c>
      <c r="F525" s="1">
        <v>44948.791666666664</v>
      </c>
      <c r="G525" s="1">
        <v>44948.82916666667</v>
      </c>
      <c r="H525">
        <v>54</v>
      </c>
      <c r="I525">
        <v>7.11</v>
      </c>
      <c r="J525" t="str">
        <f t="shared" si="25"/>
        <v>Low</v>
      </c>
      <c r="K525" t="s">
        <v>32</v>
      </c>
      <c r="L525">
        <v>55</v>
      </c>
      <c r="M525">
        <v>84</v>
      </c>
      <c r="N525" t="str">
        <f t="shared" si="26"/>
        <v>Low Cost</v>
      </c>
      <c r="O525">
        <v>2.4</v>
      </c>
      <c r="P525" t="s">
        <v>33</v>
      </c>
      <c r="Q525" t="s">
        <v>34</v>
      </c>
      <c r="R525" t="s">
        <v>35</v>
      </c>
      <c r="S525" t="s">
        <v>506</v>
      </c>
      <c r="T525" t="s">
        <v>60</v>
      </c>
      <c r="U525">
        <v>76</v>
      </c>
      <c r="V525">
        <v>2.4</v>
      </c>
      <c r="W525" t="s">
        <v>38</v>
      </c>
    </row>
    <row r="526" spans="1:24" x14ac:dyDescent="0.3">
      <c r="A526" t="s">
        <v>1804</v>
      </c>
      <c r="B526" t="s">
        <v>30</v>
      </c>
      <c r="C526" t="s">
        <v>102</v>
      </c>
      <c r="D526" t="str">
        <f t="shared" si="24"/>
        <v>Evening</v>
      </c>
      <c r="E526">
        <f>HOUR(EV_Data[[#This Row],[Charging Start Time]])</f>
        <v>20</v>
      </c>
      <c r="F526" s="1">
        <v>44948.833333333336</v>
      </c>
      <c r="G526" s="1">
        <v>44948.85</v>
      </c>
      <c r="H526">
        <v>24</v>
      </c>
      <c r="I526">
        <v>45.59</v>
      </c>
      <c r="J526" t="str">
        <f t="shared" si="25"/>
        <v>Medium</v>
      </c>
      <c r="K526" t="s">
        <v>55</v>
      </c>
      <c r="L526">
        <v>48</v>
      </c>
      <c r="M526">
        <v>79</v>
      </c>
      <c r="N526" t="str">
        <f t="shared" si="26"/>
        <v>High Cost</v>
      </c>
      <c r="O526">
        <v>18.239999999999998</v>
      </c>
      <c r="P526" t="s">
        <v>43</v>
      </c>
      <c r="Q526" t="s">
        <v>34</v>
      </c>
      <c r="R526" t="s">
        <v>25</v>
      </c>
      <c r="S526" t="s">
        <v>109</v>
      </c>
      <c r="T526" t="s">
        <v>46</v>
      </c>
      <c r="U526">
        <v>27</v>
      </c>
      <c r="V526">
        <v>2.1</v>
      </c>
      <c r="W526" t="s">
        <v>28</v>
      </c>
      <c r="X526" t="s">
        <v>68</v>
      </c>
    </row>
    <row r="527" spans="1:24" x14ac:dyDescent="0.3">
      <c r="A527" t="s">
        <v>1805</v>
      </c>
      <c r="B527" t="s">
        <v>77</v>
      </c>
      <c r="C527" t="s">
        <v>78</v>
      </c>
      <c r="D527" t="str">
        <f t="shared" si="24"/>
        <v>Evening</v>
      </c>
      <c r="E527">
        <f>HOUR(EV_Data[[#This Row],[Charging Start Time]])</f>
        <v>21</v>
      </c>
      <c r="F527" s="1">
        <v>44948.875</v>
      </c>
      <c r="G527" s="1">
        <v>44948.926388888889</v>
      </c>
      <c r="H527">
        <v>74</v>
      </c>
      <c r="I527">
        <v>33.81</v>
      </c>
      <c r="J527" t="str">
        <f t="shared" si="25"/>
        <v>Medium</v>
      </c>
      <c r="K527" t="s">
        <v>69</v>
      </c>
      <c r="L527">
        <v>61</v>
      </c>
      <c r="M527">
        <v>77</v>
      </c>
      <c r="N527" t="str">
        <f t="shared" si="26"/>
        <v>Medium Cost</v>
      </c>
      <c r="O527">
        <v>11.8</v>
      </c>
      <c r="P527" t="s">
        <v>23</v>
      </c>
      <c r="Q527" t="s">
        <v>58</v>
      </c>
      <c r="R527" t="s">
        <v>56</v>
      </c>
      <c r="S527" t="s">
        <v>526</v>
      </c>
      <c r="T527" t="s">
        <v>46</v>
      </c>
      <c r="U527">
        <v>17</v>
      </c>
      <c r="V527">
        <v>2</v>
      </c>
      <c r="W527" t="s">
        <v>28</v>
      </c>
      <c r="X527" t="s">
        <v>68</v>
      </c>
    </row>
    <row r="528" spans="1:24" x14ac:dyDescent="0.3">
      <c r="A528" t="s">
        <v>1806</v>
      </c>
      <c r="B528" t="s">
        <v>53</v>
      </c>
      <c r="C528" t="s">
        <v>54</v>
      </c>
      <c r="D528" t="str">
        <f t="shared" si="24"/>
        <v>Evening</v>
      </c>
      <c r="E528">
        <f>HOUR(EV_Data[[#This Row],[Charging Start Time]])</f>
        <v>22</v>
      </c>
      <c r="F528" s="1">
        <v>44948.916666666664</v>
      </c>
      <c r="G528" s="1">
        <v>44948.975694444453</v>
      </c>
      <c r="H528">
        <v>85</v>
      </c>
      <c r="I528">
        <v>12.77</v>
      </c>
      <c r="J528" t="str">
        <f t="shared" si="25"/>
        <v>Low</v>
      </c>
      <c r="K528" t="s">
        <v>22</v>
      </c>
      <c r="L528">
        <v>67</v>
      </c>
      <c r="M528">
        <v>100</v>
      </c>
      <c r="N528" t="str">
        <f t="shared" si="26"/>
        <v>Low Cost</v>
      </c>
      <c r="O528">
        <v>4.5999999999999996</v>
      </c>
      <c r="P528" t="s">
        <v>43</v>
      </c>
      <c r="Q528" t="s">
        <v>48</v>
      </c>
      <c r="R528" t="s">
        <v>44</v>
      </c>
      <c r="S528" t="s">
        <v>527</v>
      </c>
      <c r="T528" t="s">
        <v>27</v>
      </c>
      <c r="U528">
        <v>9</v>
      </c>
      <c r="V528">
        <v>2.2000000000000002</v>
      </c>
      <c r="W528" t="s">
        <v>28</v>
      </c>
      <c r="X528" t="s">
        <v>68</v>
      </c>
    </row>
    <row r="529" spans="1:24" x14ac:dyDescent="0.3">
      <c r="A529" t="s">
        <v>1807</v>
      </c>
      <c r="B529" t="s">
        <v>126</v>
      </c>
      <c r="C529" t="s">
        <v>31</v>
      </c>
      <c r="D529" t="str">
        <f t="shared" si="24"/>
        <v>Evening</v>
      </c>
      <c r="E529">
        <f>HOUR(EV_Data[[#This Row],[Charging Start Time]])</f>
        <v>23</v>
      </c>
      <c r="F529" s="1">
        <v>44948.958333333336</v>
      </c>
      <c r="G529" s="1">
        <v>44948.990277777782</v>
      </c>
      <c r="H529">
        <v>46</v>
      </c>
      <c r="I529">
        <v>36.21</v>
      </c>
      <c r="J529" t="str">
        <f t="shared" si="25"/>
        <v>Medium</v>
      </c>
      <c r="K529" t="s">
        <v>69</v>
      </c>
      <c r="L529">
        <v>56</v>
      </c>
      <c r="M529">
        <v>82</v>
      </c>
      <c r="N529" t="str">
        <f t="shared" si="26"/>
        <v>Medium Cost</v>
      </c>
      <c r="O529">
        <v>9.9</v>
      </c>
      <c r="P529" t="s">
        <v>51</v>
      </c>
      <c r="Q529" t="s">
        <v>24</v>
      </c>
      <c r="R529" t="s">
        <v>35</v>
      </c>
      <c r="S529" t="s">
        <v>528</v>
      </c>
      <c r="T529" t="s">
        <v>37</v>
      </c>
      <c r="U529">
        <v>26</v>
      </c>
      <c r="V529">
        <v>2.7</v>
      </c>
      <c r="W529" t="s">
        <v>28</v>
      </c>
      <c r="X529" t="s">
        <v>68</v>
      </c>
    </row>
    <row r="530" spans="1:24" x14ac:dyDescent="0.3">
      <c r="A530" t="s">
        <v>1808</v>
      </c>
      <c r="B530" t="s">
        <v>30</v>
      </c>
      <c r="C530" t="s">
        <v>102</v>
      </c>
      <c r="D530" t="str">
        <f t="shared" si="24"/>
        <v>Morning</v>
      </c>
      <c r="E530">
        <f>HOUR(EV_Data[[#This Row],[Charging Start Time]])</f>
        <v>0</v>
      </c>
      <c r="F530" s="1">
        <v>44949</v>
      </c>
      <c r="G530" s="1">
        <v>44949.027083333327</v>
      </c>
      <c r="H530">
        <v>39</v>
      </c>
      <c r="I530">
        <v>19.920000000000002</v>
      </c>
      <c r="J530" t="str">
        <f t="shared" si="25"/>
        <v>Low</v>
      </c>
      <c r="K530" t="s">
        <v>69</v>
      </c>
      <c r="L530">
        <v>78</v>
      </c>
      <c r="M530">
        <v>97</v>
      </c>
      <c r="N530" t="str">
        <f t="shared" si="26"/>
        <v>Medium Cost</v>
      </c>
      <c r="O530">
        <v>8.41</v>
      </c>
      <c r="P530" t="s">
        <v>64</v>
      </c>
      <c r="Q530" t="s">
        <v>48</v>
      </c>
      <c r="R530" t="s">
        <v>44</v>
      </c>
      <c r="S530" t="s">
        <v>178</v>
      </c>
      <c r="T530" t="s">
        <v>60</v>
      </c>
      <c r="U530">
        <v>55</v>
      </c>
      <c r="V530">
        <v>4</v>
      </c>
      <c r="W530" t="s">
        <v>28</v>
      </c>
      <c r="X530" t="s">
        <v>68</v>
      </c>
    </row>
    <row r="531" spans="1:24" x14ac:dyDescent="0.3">
      <c r="A531" t="s">
        <v>1809</v>
      </c>
      <c r="B531" t="s">
        <v>126</v>
      </c>
      <c r="C531" t="s">
        <v>31</v>
      </c>
      <c r="D531" t="str">
        <f t="shared" si="24"/>
        <v>Morning</v>
      </c>
      <c r="E531">
        <f>HOUR(EV_Data[[#This Row],[Charging Start Time]])</f>
        <v>1</v>
      </c>
      <c r="F531" s="1">
        <v>44949.041666666664</v>
      </c>
      <c r="G531" s="1">
        <v>44949.057638888888</v>
      </c>
      <c r="H531">
        <v>23</v>
      </c>
      <c r="I531">
        <v>21.5</v>
      </c>
      <c r="J531" t="str">
        <f t="shared" si="25"/>
        <v>Medium</v>
      </c>
      <c r="K531" t="s">
        <v>55</v>
      </c>
      <c r="L531">
        <v>28</v>
      </c>
      <c r="M531">
        <v>62</v>
      </c>
      <c r="N531" t="str">
        <f t="shared" si="26"/>
        <v>Low Cost</v>
      </c>
      <c r="O531">
        <v>7.6</v>
      </c>
      <c r="P531" t="s">
        <v>64</v>
      </c>
      <c r="Q531" t="s">
        <v>24</v>
      </c>
      <c r="R531" t="s">
        <v>25</v>
      </c>
      <c r="S531" t="s">
        <v>529</v>
      </c>
      <c r="T531" t="s">
        <v>27</v>
      </c>
      <c r="U531">
        <v>73</v>
      </c>
      <c r="V531">
        <v>2.5</v>
      </c>
      <c r="W531" t="s">
        <v>28</v>
      </c>
      <c r="X531" t="s">
        <v>68</v>
      </c>
    </row>
    <row r="532" spans="1:24" x14ac:dyDescent="0.3">
      <c r="A532" t="s">
        <v>1810</v>
      </c>
      <c r="B532" t="s">
        <v>71</v>
      </c>
      <c r="C532" t="s">
        <v>72</v>
      </c>
      <c r="D532" t="str">
        <f t="shared" si="24"/>
        <v>Morning</v>
      </c>
      <c r="E532">
        <f>HOUR(EV_Data[[#This Row],[Charging Start Time]])</f>
        <v>2</v>
      </c>
      <c r="F532" s="1">
        <v>44949.083333333336</v>
      </c>
      <c r="G532" s="1">
        <v>44949.124305555553</v>
      </c>
      <c r="H532">
        <v>59</v>
      </c>
      <c r="I532">
        <v>42.62</v>
      </c>
      <c r="J532" t="str">
        <f t="shared" si="25"/>
        <v>Medium</v>
      </c>
      <c r="K532" t="s">
        <v>55</v>
      </c>
      <c r="L532">
        <v>42</v>
      </c>
      <c r="M532">
        <v>77</v>
      </c>
      <c r="N532" t="str">
        <f t="shared" si="26"/>
        <v>Medium Cost</v>
      </c>
      <c r="O532">
        <v>13.37</v>
      </c>
      <c r="P532" t="s">
        <v>23</v>
      </c>
      <c r="Q532" t="s">
        <v>24</v>
      </c>
      <c r="R532" t="s">
        <v>56</v>
      </c>
      <c r="S532" t="s">
        <v>530</v>
      </c>
      <c r="T532" t="s">
        <v>46</v>
      </c>
      <c r="U532">
        <v>36</v>
      </c>
      <c r="V532">
        <v>4.4000000000000004</v>
      </c>
      <c r="W532" t="s">
        <v>28</v>
      </c>
      <c r="X532" t="s">
        <v>68</v>
      </c>
    </row>
    <row r="533" spans="1:24" x14ac:dyDescent="0.3">
      <c r="A533" t="s">
        <v>1811</v>
      </c>
      <c r="B533" t="s">
        <v>71</v>
      </c>
      <c r="C533" t="s">
        <v>72</v>
      </c>
      <c r="D533" t="str">
        <f t="shared" si="24"/>
        <v>Morning</v>
      </c>
      <c r="E533">
        <f>HOUR(EV_Data[[#This Row],[Charging Start Time]])</f>
        <v>3</v>
      </c>
      <c r="F533" s="1">
        <v>44949.125</v>
      </c>
      <c r="G533" s="1">
        <v>44949.161805555559</v>
      </c>
      <c r="H533">
        <v>53</v>
      </c>
      <c r="I533">
        <v>6.51</v>
      </c>
      <c r="J533" t="str">
        <f t="shared" si="25"/>
        <v>Low</v>
      </c>
      <c r="K533" t="s">
        <v>42</v>
      </c>
      <c r="L533">
        <v>21</v>
      </c>
      <c r="M533">
        <v>32</v>
      </c>
      <c r="N533" t="str">
        <f t="shared" si="26"/>
        <v>Low Cost</v>
      </c>
      <c r="O533">
        <v>2.92</v>
      </c>
      <c r="P533" t="s">
        <v>23</v>
      </c>
      <c r="Q533" t="s">
        <v>34</v>
      </c>
      <c r="R533" t="s">
        <v>56</v>
      </c>
      <c r="S533" t="s">
        <v>531</v>
      </c>
      <c r="T533" t="s">
        <v>37</v>
      </c>
      <c r="U533">
        <v>75</v>
      </c>
      <c r="V533">
        <v>1.3</v>
      </c>
      <c r="W533" t="s">
        <v>28</v>
      </c>
      <c r="X533" t="s">
        <v>68</v>
      </c>
    </row>
    <row r="534" spans="1:24" x14ac:dyDescent="0.3">
      <c r="A534" t="s">
        <v>1812</v>
      </c>
      <c r="B534" t="s">
        <v>20</v>
      </c>
      <c r="C534" t="s">
        <v>21</v>
      </c>
      <c r="D534" t="str">
        <f t="shared" si="24"/>
        <v>Morning</v>
      </c>
      <c r="E534">
        <f>HOUR(EV_Data[[#This Row],[Charging Start Time]])</f>
        <v>4</v>
      </c>
      <c r="F534" s="1">
        <v>44949.166666666664</v>
      </c>
      <c r="G534" s="1">
        <v>44949.226388888892</v>
      </c>
      <c r="H534">
        <v>86</v>
      </c>
      <c r="I534">
        <v>8.99</v>
      </c>
      <c r="J534" t="str">
        <f t="shared" si="25"/>
        <v>Low</v>
      </c>
      <c r="K534" t="s">
        <v>42</v>
      </c>
      <c r="L534">
        <v>29</v>
      </c>
      <c r="M534">
        <v>68</v>
      </c>
      <c r="N534" t="str">
        <f t="shared" si="26"/>
        <v>Low Cost</v>
      </c>
      <c r="O534">
        <v>2.7</v>
      </c>
      <c r="P534" t="s">
        <v>33</v>
      </c>
      <c r="Q534" t="s">
        <v>48</v>
      </c>
      <c r="R534" t="s">
        <v>56</v>
      </c>
      <c r="S534" t="s">
        <v>532</v>
      </c>
      <c r="T534" t="s">
        <v>27</v>
      </c>
      <c r="U534">
        <v>80</v>
      </c>
      <c r="V534">
        <v>1.3</v>
      </c>
      <c r="W534" t="s">
        <v>47</v>
      </c>
      <c r="X534" t="s">
        <v>29</v>
      </c>
    </row>
    <row r="535" spans="1:24" x14ac:dyDescent="0.3">
      <c r="A535" t="s">
        <v>1813</v>
      </c>
      <c r="B535" t="s">
        <v>30</v>
      </c>
      <c r="C535" t="s">
        <v>102</v>
      </c>
      <c r="D535" t="str">
        <f t="shared" si="24"/>
        <v>Morning</v>
      </c>
      <c r="E535">
        <f>HOUR(EV_Data[[#This Row],[Charging Start Time]])</f>
        <v>5</v>
      </c>
      <c r="F535" s="1">
        <v>44949.208333333336</v>
      </c>
      <c r="G535" s="1">
        <v>44949.225694444453</v>
      </c>
      <c r="H535">
        <v>25</v>
      </c>
      <c r="I535">
        <v>42.6</v>
      </c>
      <c r="J535" t="str">
        <f t="shared" si="25"/>
        <v>Medium</v>
      </c>
      <c r="K535" t="s">
        <v>42</v>
      </c>
      <c r="L535">
        <v>67</v>
      </c>
      <c r="M535">
        <v>95</v>
      </c>
      <c r="N535" t="str">
        <f t="shared" si="26"/>
        <v>High Cost</v>
      </c>
      <c r="O535">
        <v>21.17</v>
      </c>
      <c r="P535" t="s">
        <v>51</v>
      </c>
      <c r="Q535" t="s">
        <v>48</v>
      </c>
      <c r="R535" t="s">
        <v>25</v>
      </c>
      <c r="S535" t="s">
        <v>227</v>
      </c>
      <c r="T535" t="s">
        <v>37</v>
      </c>
      <c r="U535">
        <v>75</v>
      </c>
      <c r="V535">
        <v>2.8</v>
      </c>
      <c r="W535" t="s">
        <v>47</v>
      </c>
      <c r="X535" t="s">
        <v>29</v>
      </c>
    </row>
    <row r="536" spans="1:24" x14ac:dyDescent="0.3">
      <c r="A536" t="s">
        <v>1814</v>
      </c>
      <c r="B536" t="s">
        <v>40</v>
      </c>
      <c r="C536" t="s">
        <v>41</v>
      </c>
      <c r="D536" t="str">
        <f t="shared" si="24"/>
        <v>Morning</v>
      </c>
      <c r="E536">
        <f>HOUR(EV_Data[[#This Row],[Charging Start Time]])</f>
        <v>6</v>
      </c>
      <c r="F536" s="1">
        <v>44949.25</v>
      </c>
      <c r="G536" s="1">
        <v>44949.294444444437</v>
      </c>
      <c r="H536">
        <v>64</v>
      </c>
      <c r="I536">
        <v>19.97</v>
      </c>
      <c r="J536" t="str">
        <f t="shared" si="25"/>
        <v>Low</v>
      </c>
      <c r="K536" t="s">
        <v>50</v>
      </c>
      <c r="L536">
        <v>33</v>
      </c>
      <c r="M536">
        <v>60</v>
      </c>
      <c r="N536" t="str">
        <f t="shared" si="26"/>
        <v>Low Cost</v>
      </c>
      <c r="O536">
        <v>7.34</v>
      </c>
      <c r="P536" t="s">
        <v>23</v>
      </c>
      <c r="Q536" t="s">
        <v>58</v>
      </c>
      <c r="R536" t="s">
        <v>35</v>
      </c>
      <c r="S536" t="s">
        <v>533</v>
      </c>
      <c r="T536" t="s">
        <v>46</v>
      </c>
      <c r="U536">
        <v>77</v>
      </c>
      <c r="V536">
        <v>3.4</v>
      </c>
      <c r="W536" t="s">
        <v>28</v>
      </c>
      <c r="X536" t="s">
        <v>68</v>
      </c>
    </row>
    <row r="537" spans="1:24" x14ac:dyDescent="0.3">
      <c r="A537" t="s">
        <v>1815</v>
      </c>
      <c r="B537" t="s">
        <v>126</v>
      </c>
      <c r="C537" t="s">
        <v>31</v>
      </c>
      <c r="D537" t="str">
        <f t="shared" si="24"/>
        <v>Morning</v>
      </c>
      <c r="E537">
        <f>HOUR(EV_Data[[#This Row],[Charging Start Time]])</f>
        <v>7</v>
      </c>
      <c r="F537" s="1">
        <v>44949.291666666664</v>
      </c>
      <c r="G537" s="1">
        <v>44949.342361111107</v>
      </c>
      <c r="H537">
        <v>73</v>
      </c>
      <c r="I537">
        <v>45.38</v>
      </c>
      <c r="J537" t="str">
        <f t="shared" si="25"/>
        <v>Medium</v>
      </c>
      <c r="K537" t="s">
        <v>55</v>
      </c>
      <c r="L537">
        <v>42</v>
      </c>
      <c r="M537">
        <v>75</v>
      </c>
      <c r="N537" t="str">
        <f t="shared" si="26"/>
        <v>High Cost</v>
      </c>
      <c r="O537">
        <v>22.34</v>
      </c>
      <c r="P537" t="s">
        <v>43</v>
      </c>
      <c r="Q537" t="s">
        <v>24</v>
      </c>
      <c r="R537" t="s">
        <v>44</v>
      </c>
      <c r="S537" t="s">
        <v>534</v>
      </c>
      <c r="T537" t="s">
        <v>60</v>
      </c>
      <c r="U537">
        <v>53</v>
      </c>
      <c r="V537">
        <v>2.5</v>
      </c>
      <c r="W537" t="s">
        <v>47</v>
      </c>
      <c r="X537" t="s">
        <v>29</v>
      </c>
    </row>
    <row r="538" spans="1:24" x14ac:dyDescent="0.3">
      <c r="A538" t="s">
        <v>1816</v>
      </c>
      <c r="B538" t="s">
        <v>53</v>
      </c>
      <c r="C538" t="s">
        <v>54</v>
      </c>
      <c r="D538" t="str">
        <f t="shared" si="24"/>
        <v>Morning</v>
      </c>
      <c r="E538">
        <f>HOUR(EV_Data[[#This Row],[Charging Start Time]])</f>
        <v>8</v>
      </c>
      <c r="F538" s="1">
        <v>44949.333333333336</v>
      </c>
      <c r="G538" s="1">
        <v>44949.367361111108</v>
      </c>
      <c r="H538">
        <v>49</v>
      </c>
      <c r="I538">
        <v>9.15</v>
      </c>
      <c r="J538" t="str">
        <f t="shared" si="25"/>
        <v>Low</v>
      </c>
      <c r="K538" t="s">
        <v>69</v>
      </c>
      <c r="L538">
        <v>33</v>
      </c>
      <c r="M538">
        <v>64</v>
      </c>
      <c r="N538" t="str">
        <f t="shared" si="26"/>
        <v>Low Cost</v>
      </c>
      <c r="O538">
        <v>2.82</v>
      </c>
      <c r="P538" t="s">
        <v>51</v>
      </c>
      <c r="Q538" t="s">
        <v>34</v>
      </c>
      <c r="R538" t="s">
        <v>44</v>
      </c>
      <c r="S538" t="s">
        <v>535</v>
      </c>
      <c r="T538" t="s">
        <v>37</v>
      </c>
      <c r="U538">
        <v>38</v>
      </c>
      <c r="V538">
        <v>1</v>
      </c>
      <c r="W538" t="s">
        <v>28</v>
      </c>
      <c r="X538" t="s">
        <v>68</v>
      </c>
    </row>
    <row r="539" spans="1:24" x14ac:dyDescent="0.3">
      <c r="A539" t="s">
        <v>1817</v>
      </c>
      <c r="B539" t="s">
        <v>71</v>
      </c>
      <c r="C539" t="s">
        <v>72</v>
      </c>
      <c r="D539" t="str">
        <f t="shared" si="24"/>
        <v>Morning</v>
      </c>
      <c r="E539">
        <f>HOUR(EV_Data[[#This Row],[Charging Start Time]])</f>
        <v>9</v>
      </c>
      <c r="F539" s="1">
        <v>44949.375</v>
      </c>
      <c r="G539" s="1">
        <v>44949.430555555547</v>
      </c>
      <c r="H539">
        <v>80</v>
      </c>
      <c r="I539">
        <v>19.2</v>
      </c>
      <c r="J539" t="str">
        <f t="shared" si="25"/>
        <v>Low</v>
      </c>
      <c r="K539" t="s">
        <v>42</v>
      </c>
      <c r="L539">
        <v>47</v>
      </c>
      <c r="M539">
        <v>72</v>
      </c>
      <c r="N539" t="str">
        <f t="shared" si="26"/>
        <v>Medium Cost</v>
      </c>
      <c r="O539">
        <v>8.3000000000000007</v>
      </c>
      <c r="P539" t="s">
        <v>23</v>
      </c>
      <c r="Q539" t="s">
        <v>24</v>
      </c>
      <c r="R539" t="s">
        <v>25</v>
      </c>
      <c r="S539" t="s">
        <v>536</v>
      </c>
      <c r="T539" t="s">
        <v>60</v>
      </c>
      <c r="U539">
        <v>47</v>
      </c>
      <c r="V539">
        <v>3.5</v>
      </c>
      <c r="W539" t="s">
        <v>28</v>
      </c>
      <c r="X539" t="s">
        <v>68</v>
      </c>
    </row>
    <row r="540" spans="1:24" x14ac:dyDescent="0.3">
      <c r="A540" t="s">
        <v>1818</v>
      </c>
      <c r="B540" t="s">
        <v>20</v>
      </c>
      <c r="C540" t="s">
        <v>21</v>
      </c>
      <c r="D540" t="str">
        <f t="shared" si="24"/>
        <v>Morning</v>
      </c>
      <c r="E540">
        <f>HOUR(EV_Data[[#This Row],[Charging Start Time]])</f>
        <v>10</v>
      </c>
      <c r="F540" s="1">
        <v>44949.416666666664</v>
      </c>
      <c r="G540" s="1">
        <v>44949.46597222222</v>
      </c>
      <c r="H540">
        <v>71</v>
      </c>
      <c r="I540">
        <v>31.68</v>
      </c>
      <c r="J540" t="str">
        <f t="shared" si="25"/>
        <v>Medium</v>
      </c>
      <c r="K540" t="s">
        <v>55</v>
      </c>
      <c r="L540">
        <v>78</v>
      </c>
      <c r="M540">
        <v>100</v>
      </c>
      <c r="N540" t="str">
        <f t="shared" si="26"/>
        <v>Medium Cost</v>
      </c>
      <c r="O540">
        <v>13.14</v>
      </c>
      <c r="P540" t="s">
        <v>51</v>
      </c>
      <c r="Q540" t="s">
        <v>58</v>
      </c>
      <c r="R540" t="s">
        <v>25</v>
      </c>
      <c r="S540" t="s">
        <v>537</v>
      </c>
      <c r="T540" t="s">
        <v>46</v>
      </c>
      <c r="U540">
        <v>16</v>
      </c>
      <c r="V540">
        <v>1.4</v>
      </c>
      <c r="W540" t="s">
        <v>28</v>
      </c>
      <c r="X540" t="s">
        <v>68</v>
      </c>
    </row>
    <row r="541" spans="1:24" x14ac:dyDescent="0.3">
      <c r="A541" t="s">
        <v>1819</v>
      </c>
      <c r="B541" t="s">
        <v>77</v>
      </c>
      <c r="C541" t="s">
        <v>78</v>
      </c>
      <c r="D541" t="str">
        <f t="shared" si="24"/>
        <v>Morning</v>
      </c>
      <c r="E541">
        <f>HOUR(EV_Data[[#This Row],[Charging Start Time]])</f>
        <v>11</v>
      </c>
      <c r="F541" s="1">
        <v>44949.458333333336</v>
      </c>
      <c r="G541" s="1">
        <v>44949.497916666667</v>
      </c>
      <c r="H541">
        <v>57</v>
      </c>
      <c r="I541">
        <v>48.35</v>
      </c>
      <c r="J541" t="str">
        <f t="shared" si="25"/>
        <v>Medium</v>
      </c>
      <c r="K541" t="s">
        <v>22</v>
      </c>
      <c r="L541">
        <v>80</v>
      </c>
      <c r="M541">
        <v>100</v>
      </c>
      <c r="N541" t="str">
        <f t="shared" si="26"/>
        <v>Medium Cost</v>
      </c>
      <c r="O541">
        <v>16.46</v>
      </c>
      <c r="P541" t="s">
        <v>33</v>
      </c>
      <c r="Q541" t="s">
        <v>48</v>
      </c>
      <c r="R541" t="s">
        <v>56</v>
      </c>
      <c r="S541" t="s">
        <v>538</v>
      </c>
      <c r="T541" t="s">
        <v>60</v>
      </c>
      <c r="U541">
        <v>46</v>
      </c>
      <c r="V541">
        <v>3.6</v>
      </c>
      <c r="W541" t="s">
        <v>28</v>
      </c>
      <c r="X541" t="s">
        <v>68</v>
      </c>
    </row>
    <row r="542" spans="1:24" x14ac:dyDescent="0.3">
      <c r="A542" t="s">
        <v>1820</v>
      </c>
      <c r="B542" t="s">
        <v>92</v>
      </c>
      <c r="C542" t="s">
        <v>93</v>
      </c>
      <c r="D542" t="str">
        <f t="shared" si="24"/>
        <v>Afternoon</v>
      </c>
      <c r="E542">
        <f>HOUR(EV_Data[[#This Row],[Charging Start Time]])</f>
        <v>12</v>
      </c>
      <c r="F542" s="1">
        <v>44949.5</v>
      </c>
      <c r="G542" s="1">
        <v>44949.54583333333</v>
      </c>
      <c r="H542">
        <v>66</v>
      </c>
      <c r="I542">
        <v>47.55</v>
      </c>
      <c r="J542" t="str">
        <f t="shared" si="25"/>
        <v>Medium</v>
      </c>
      <c r="K542" t="s">
        <v>50</v>
      </c>
      <c r="L542">
        <v>5</v>
      </c>
      <c r="M542">
        <v>32</v>
      </c>
      <c r="N542" t="str">
        <f t="shared" si="26"/>
        <v>High Cost</v>
      </c>
      <c r="O542">
        <v>19.920000000000002</v>
      </c>
      <c r="P542" t="s">
        <v>64</v>
      </c>
      <c r="Q542" t="s">
        <v>48</v>
      </c>
      <c r="R542" t="s">
        <v>35</v>
      </c>
      <c r="S542" t="s">
        <v>539</v>
      </c>
      <c r="T542" t="s">
        <v>27</v>
      </c>
      <c r="U542">
        <v>9</v>
      </c>
      <c r="V542">
        <v>2.5</v>
      </c>
      <c r="W542" t="s">
        <v>28</v>
      </c>
      <c r="X542" t="s">
        <v>68</v>
      </c>
    </row>
    <row r="543" spans="1:24" x14ac:dyDescent="0.3">
      <c r="A543" t="s">
        <v>1821</v>
      </c>
      <c r="B543" t="s">
        <v>53</v>
      </c>
      <c r="C543" t="s">
        <v>54</v>
      </c>
      <c r="D543" t="str">
        <f t="shared" si="24"/>
        <v>Afternoon</v>
      </c>
      <c r="E543">
        <f>HOUR(EV_Data[[#This Row],[Charging Start Time]])</f>
        <v>13</v>
      </c>
      <c r="F543" s="1">
        <v>44949.541666666664</v>
      </c>
      <c r="G543" s="1">
        <v>44949.606944444437</v>
      </c>
      <c r="H543">
        <v>94</v>
      </c>
      <c r="I543">
        <v>49.9</v>
      </c>
      <c r="J543" t="str">
        <f t="shared" si="25"/>
        <v>Medium</v>
      </c>
      <c r="K543" t="s">
        <v>50</v>
      </c>
      <c r="L543">
        <v>57</v>
      </c>
      <c r="M543">
        <v>67</v>
      </c>
      <c r="N543" t="str">
        <f t="shared" si="26"/>
        <v>High Cost</v>
      </c>
      <c r="O543">
        <v>17.54</v>
      </c>
      <c r="P543" t="s">
        <v>64</v>
      </c>
      <c r="Q543" t="s">
        <v>58</v>
      </c>
      <c r="R543" t="s">
        <v>44</v>
      </c>
      <c r="S543" t="s">
        <v>529</v>
      </c>
      <c r="T543" t="s">
        <v>37</v>
      </c>
      <c r="U543">
        <v>46</v>
      </c>
      <c r="V543">
        <v>3.1</v>
      </c>
      <c r="W543" t="s">
        <v>38</v>
      </c>
      <c r="X543" t="s">
        <v>62</v>
      </c>
    </row>
    <row r="544" spans="1:24" x14ac:dyDescent="0.3">
      <c r="A544" t="s">
        <v>1822</v>
      </c>
      <c r="B544" t="s">
        <v>92</v>
      </c>
      <c r="C544" t="s">
        <v>93</v>
      </c>
      <c r="D544" t="str">
        <f t="shared" si="24"/>
        <v>Afternoon</v>
      </c>
      <c r="E544">
        <f>HOUR(EV_Data[[#This Row],[Charging Start Time]])</f>
        <v>14</v>
      </c>
      <c r="F544" s="1">
        <v>44949.583333333336</v>
      </c>
      <c r="G544" s="1">
        <v>44949.633333333331</v>
      </c>
      <c r="H544">
        <v>72</v>
      </c>
      <c r="I544">
        <v>13.08</v>
      </c>
      <c r="J544" t="str">
        <f t="shared" si="25"/>
        <v>Low</v>
      </c>
      <c r="K544" t="s">
        <v>22</v>
      </c>
      <c r="L544">
        <v>24</v>
      </c>
      <c r="M544">
        <v>34</v>
      </c>
      <c r="N544" t="str">
        <f t="shared" si="26"/>
        <v>Low Cost</v>
      </c>
      <c r="O544">
        <v>5.93</v>
      </c>
      <c r="P544" t="s">
        <v>51</v>
      </c>
      <c r="Q544" t="s">
        <v>58</v>
      </c>
      <c r="R544" t="s">
        <v>35</v>
      </c>
      <c r="S544" t="s">
        <v>540</v>
      </c>
      <c r="T544" t="s">
        <v>60</v>
      </c>
      <c r="U544">
        <v>63</v>
      </c>
      <c r="V544">
        <v>1.1000000000000001</v>
      </c>
      <c r="W544" t="s">
        <v>28</v>
      </c>
      <c r="X544" t="s">
        <v>68</v>
      </c>
    </row>
    <row r="545" spans="1:24" x14ac:dyDescent="0.3">
      <c r="A545" t="s">
        <v>1823</v>
      </c>
      <c r="B545" t="s">
        <v>77</v>
      </c>
      <c r="C545" t="s">
        <v>78</v>
      </c>
      <c r="D545" t="str">
        <f t="shared" si="24"/>
        <v>Afternoon</v>
      </c>
      <c r="E545">
        <f>HOUR(EV_Data[[#This Row],[Charging Start Time]])</f>
        <v>15</v>
      </c>
      <c r="F545" s="1">
        <v>44949.625</v>
      </c>
      <c r="G545" s="1">
        <v>44949.661805555559</v>
      </c>
      <c r="H545">
        <v>53</v>
      </c>
      <c r="I545">
        <v>37.369999999999997</v>
      </c>
      <c r="J545" t="str">
        <f t="shared" si="25"/>
        <v>Medium</v>
      </c>
      <c r="K545" t="s">
        <v>22</v>
      </c>
      <c r="L545">
        <v>30</v>
      </c>
      <c r="M545">
        <v>55</v>
      </c>
      <c r="N545" t="str">
        <f t="shared" si="26"/>
        <v>Medium Cost</v>
      </c>
      <c r="O545">
        <v>10.78</v>
      </c>
      <c r="P545" t="s">
        <v>33</v>
      </c>
      <c r="Q545" t="s">
        <v>24</v>
      </c>
      <c r="R545" t="s">
        <v>44</v>
      </c>
      <c r="S545" t="s">
        <v>352</v>
      </c>
      <c r="T545" t="s">
        <v>27</v>
      </c>
      <c r="U545">
        <v>52</v>
      </c>
      <c r="V545">
        <v>1.6</v>
      </c>
      <c r="W545" t="s">
        <v>38</v>
      </c>
      <c r="X545" t="s">
        <v>83</v>
      </c>
    </row>
    <row r="546" spans="1:24" x14ac:dyDescent="0.3">
      <c r="A546" t="s">
        <v>1824</v>
      </c>
      <c r="B546" t="s">
        <v>71</v>
      </c>
      <c r="C546" t="s">
        <v>72</v>
      </c>
      <c r="D546" t="str">
        <f t="shared" si="24"/>
        <v>Afternoon</v>
      </c>
      <c r="E546">
        <f>HOUR(EV_Data[[#This Row],[Charging Start Time]])</f>
        <v>16</v>
      </c>
      <c r="F546" s="1">
        <v>44949.666666666664</v>
      </c>
      <c r="G546" s="1">
        <v>44949.695138888892</v>
      </c>
      <c r="H546">
        <v>41</v>
      </c>
      <c r="I546">
        <v>22.85</v>
      </c>
      <c r="J546" t="str">
        <f t="shared" si="25"/>
        <v>Medium</v>
      </c>
      <c r="K546" t="s">
        <v>32</v>
      </c>
      <c r="L546">
        <v>12</v>
      </c>
      <c r="M546">
        <v>44</v>
      </c>
      <c r="N546" t="str">
        <f t="shared" si="26"/>
        <v>Medium Cost</v>
      </c>
      <c r="O546">
        <v>8.67</v>
      </c>
      <c r="P546" t="s">
        <v>23</v>
      </c>
      <c r="Q546" t="s">
        <v>34</v>
      </c>
      <c r="R546" t="s">
        <v>56</v>
      </c>
      <c r="S546" t="s">
        <v>541</v>
      </c>
      <c r="T546" t="s">
        <v>46</v>
      </c>
      <c r="U546">
        <v>80</v>
      </c>
      <c r="V546">
        <v>3.7</v>
      </c>
      <c r="W546" t="s">
        <v>47</v>
      </c>
      <c r="X546" t="s">
        <v>29</v>
      </c>
    </row>
    <row r="547" spans="1:24" x14ac:dyDescent="0.3">
      <c r="A547" t="s">
        <v>1825</v>
      </c>
      <c r="B547" t="s">
        <v>20</v>
      </c>
      <c r="C547" t="s">
        <v>21</v>
      </c>
      <c r="D547" t="str">
        <f t="shared" si="24"/>
        <v>Evening</v>
      </c>
      <c r="E547">
        <f>HOUR(EV_Data[[#This Row],[Charging Start Time]])</f>
        <v>17</v>
      </c>
      <c r="F547" s="1">
        <v>44949.708333333336</v>
      </c>
      <c r="G547" s="1">
        <v>44949.749305555553</v>
      </c>
      <c r="H547">
        <v>59</v>
      </c>
      <c r="I547">
        <v>45.65</v>
      </c>
      <c r="J547" t="str">
        <f t="shared" si="25"/>
        <v>Medium</v>
      </c>
      <c r="K547" t="s">
        <v>50</v>
      </c>
      <c r="L547">
        <v>26</v>
      </c>
      <c r="M547">
        <v>48</v>
      </c>
      <c r="N547" t="str">
        <f t="shared" si="26"/>
        <v>High Cost</v>
      </c>
      <c r="O547">
        <v>20.11</v>
      </c>
      <c r="P547" t="s">
        <v>64</v>
      </c>
      <c r="Q547" t="s">
        <v>48</v>
      </c>
      <c r="R547" t="s">
        <v>25</v>
      </c>
      <c r="S547" t="s">
        <v>542</v>
      </c>
      <c r="T547" t="s">
        <v>37</v>
      </c>
      <c r="U547">
        <v>29</v>
      </c>
      <c r="V547">
        <v>2.2999999999999998</v>
      </c>
      <c r="W547" t="s">
        <v>38</v>
      </c>
      <c r="X547" t="s">
        <v>39</v>
      </c>
    </row>
    <row r="548" spans="1:24" x14ac:dyDescent="0.3">
      <c r="A548" t="s">
        <v>1826</v>
      </c>
      <c r="B548" t="s">
        <v>20</v>
      </c>
      <c r="C548" t="s">
        <v>21</v>
      </c>
      <c r="D548" t="str">
        <f t="shared" si="24"/>
        <v>Evening</v>
      </c>
      <c r="E548">
        <f>HOUR(EV_Data[[#This Row],[Charging Start Time]])</f>
        <v>18</v>
      </c>
      <c r="F548" s="1">
        <v>44949.75</v>
      </c>
      <c r="G548" s="1">
        <v>44949.803472222222</v>
      </c>
      <c r="H548">
        <v>77</v>
      </c>
      <c r="I548">
        <v>9.15</v>
      </c>
      <c r="J548" t="str">
        <f t="shared" si="25"/>
        <v>Low</v>
      </c>
      <c r="K548" t="s">
        <v>42</v>
      </c>
      <c r="L548">
        <v>42</v>
      </c>
      <c r="M548">
        <v>63</v>
      </c>
      <c r="N548" t="str">
        <f t="shared" si="26"/>
        <v>Low Cost</v>
      </c>
      <c r="O548">
        <v>2.2799999999999998</v>
      </c>
      <c r="P548" t="s">
        <v>51</v>
      </c>
      <c r="Q548" t="s">
        <v>24</v>
      </c>
      <c r="R548" t="s">
        <v>56</v>
      </c>
      <c r="S548" t="s">
        <v>543</v>
      </c>
      <c r="T548" t="s">
        <v>60</v>
      </c>
      <c r="U548">
        <v>51</v>
      </c>
      <c r="V548">
        <v>1.1000000000000001</v>
      </c>
      <c r="W548" t="s">
        <v>28</v>
      </c>
      <c r="X548" t="s">
        <v>68</v>
      </c>
    </row>
    <row r="549" spans="1:24" x14ac:dyDescent="0.3">
      <c r="A549" t="s">
        <v>1827</v>
      </c>
      <c r="B549" t="s">
        <v>53</v>
      </c>
      <c r="C549" t="s">
        <v>54</v>
      </c>
      <c r="D549" t="str">
        <f t="shared" si="24"/>
        <v>Evening</v>
      </c>
      <c r="E549">
        <f>HOUR(EV_Data[[#This Row],[Charging Start Time]])</f>
        <v>19</v>
      </c>
      <c r="F549" s="1">
        <v>44949.791666666664</v>
      </c>
      <c r="G549" s="1">
        <v>44949.835416666669</v>
      </c>
      <c r="H549">
        <v>63</v>
      </c>
      <c r="I549">
        <v>22.18</v>
      </c>
      <c r="J549" t="str">
        <f t="shared" si="25"/>
        <v>Medium</v>
      </c>
      <c r="K549" t="s">
        <v>32</v>
      </c>
      <c r="L549">
        <v>64</v>
      </c>
      <c r="M549">
        <v>100</v>
      </c>
      <c r="N549" t="str">
        <f t="shared" si="26"/>
        <v>Low Cost</v>
      </c>
      <c r="O549">
        <v>4.83</v>
      </c>
      <c r="P549" t="s">
        <v>64</v>
      </c>
      <c r="Q549" t="s">
        <v>58</v>
      </c>
      <c r="R549" t="s">
        <v>44</v>
      </c>
      <c r="S549" t="s">
        <v>544</v>
      </c>
      <c r="T549" t="s">
        <v>60</v>
      </c>
      <c r="U549">
        <v>50</v>
      </c>
      <c r="V549">
        <v>3.8</v>
      </c>
      <c r="W549" t="s">
        <v>38</v>
      </c>
      <c r="X549" t="s">
        <v>39</v>
      </c>
    </row>
    <row r="550" spans="1:24" x14ac:dyDescent="0.3">
      <c r="A550" t="s">
        <v>1828</v>
      </c>
      <c r="B550" t="s">
        <v>77</v>
      </c>
      <c r="C550" t="s">
        <v>78</v>
      </c>
      <c r="D550" t="str">
        <f t="shared" si="24"/>
        <v>Evening</v>
      </c>
      <c r="E550">
        <f>HOUR(EV_Data[[#This Row],[Charging Start Time]])</f>
        <v>20</v>
      </c>
      <c r="F550" s="1">
        <v>44949.833333333336</v>
      </c>
      <c r="G550" s="1">
        <v>44949.878472222219</v>
      </c>
      <c r="H550">
        <v>65</v>
      </c>
      <c r="I550">
        <v>25.38</v>
      </c>
      <c r="J550" t="str">
        <f t="shared" si="25"/>
        <v>Medium</v>
      </c>
      <c r="K550" t="s">
        <v>50</v>
      </c>
      <c r="L550">
        <v>17</v>
      </c>
      <c r="M550">
        <v>35</v>
      </c>
      <c r="N550" t="str">
        <f t="shared" si="26"/>
        <v>Medium Cost</v>
      </c>
      <c r="O550">
        <v>8.43</v>
      </c>
      <c r="P550" t="s">
        <v>51</v>
      </c>
      <c r="Q550" t="s">
        <v>48</v>
      </c>
      <c r="R550" t="s">
        <v>35</v>
      </c>
      <c r="S550" t="s">
        <v>545</v>
      </c>
      <c r="T550" t="s">
        <v>60</v>
      </c>
      <c r="U550">
        <v>4</v>
      </c>
      <c r="V550">
        <v>2.7</v>
      </c>
      <c r="W550" t="s">
        <v>38</v>
      </c>
      <c r="X550" t="s">
        <v>83</v>
      </c>
    </row>
    <row r="551" spans="1:24" x14ac:dyDescent="0.3">
      <c r="A551" t="s">
        <v>1829</v>
      </c>
      <c r="B551" t="s">
        <v>71</v>
      </c>
      <c r="C551" t="s">
        <v>72</v>
      </c>
      <c r="D551" t="str">
        <f t="shared" si="24"/>
        <v>Evening</v>
      </c>
      <c r="E551">
        <f>HOUR(EV_Data[[#This Row],[Charging Start Time]])</f>
        <v>21</v>
      </c>
      <c r="F551" s="1">
        <v>44949.875</v>
      </c>
      <c r="G551" s="1">
        <v>44949.949305555558</v>
      </c>
      <c r="H551">
        <v>107</v>
      </c>
      <c r="I551">
        <v>41.45</v>
      </c>
      <c r="J551" t="str">
        <f t="shared" si="25"/>
        <v>Medium</v>
      </c>
      <c r="K551" t="s">
        <v>42</v>
      </c>
      <c r="L551">
        <v>37</v>
      </c>
      <c r="M551">
        <v>72</v>
      </c>
      <c r="N551" t="str">
        <f t="shared" si="26"/>
        <v>Medium Cost</v>
      </c>
      <c r="O551">
        <v>10.16</v>
      </c>
      <c r="P551" t="s">
        <v>33</v>
      </c>
      <c r="Q551" t="s">
        <v>24</v>
      </c>
      <c r="R551" t="s">
        <v>44</v>
      </c>
      <c r="S551" t="s">
        <v>276</v>
      </c>
      <c r="T551" t="s">
        <v>27</v>
      </c>
      <c r="U551">
        <v>9</v>
      </c>
      <c r="V551">
        <v>1.3</v>
      </c>
      <c r="W551" t="s">
        <v>28</v>
      </c>
      <c r="X551" t="s">
        <v>68</v>
      </c>
    </row>
    <row r="552" spans="1:24" x14ac:dyDescent="0.3">
      <c r="A552" t="s">
        <v>1830</v>
      </c>
      <c r="B552" t="s">
        <v>20</v>
      </c>
      <c r="C552" t="s">
        <v>21</v>
      </c>
      <c r="D552" t="str">
        <f t="shared" si="24"/>
        <v>Evening</v>
      </c>
      <c r="E552">
        <f>HOUR(EV_Data[[#This Row],[Charging Start Time]])</f>
        <v>22</v>
      </c>
      <c r="F552" s="1">
        <v>44949.916666666664</v>
      </c>
      <c r="G552" s="1">
        <v>44949.957638888889</v>
      </c>
      <c r="H552">
        <v>59</v>
      </c>
      <c r="I552">
        <v>30.49</v>
      </c>
      <c r="J552" t="str">
        <f t="shared" si="25"/>
        <v>Medium</v>
      </c>
      <c r="K552" t="s">
        <v>32</v>
      </c>
      <c r="L552">
        <v>14</v>
      </c>
      <c r="M552">
        <v>36</v>
      </c>
      <c r="N552" t="str">
        <f t="shared" si="26"/>
        <v>Medium Cost</v>
      </c>
      <c r="O552">
        <v>13.33</v>
      </c>
      <c r="P552" t="s">
        <v>23</v>
      </c>
      <c r="Q552" t="s">
        <v>48</v>
      </c>
      <c r="R552" t="s">
        <v>35</v>
      </c>
      <c r="S552" t="s">
        <v>546</v>
      </c>
      <c r="T552" t="s">
        <v>27</v>
      </c>
      <c r="U552">
        <v>51</v>
      </c>
      <c r="V552">
        <v>3.7</v>
      </c>
      <c r="W552" t="s">
        <v>28</v>
      </c>
      <c r="X552" t="s">
        <v>68</v>
      </c>
    </row>
    <row r="553" spans="1:24" x14ac:dyDescent="0.3">
      <c r="A553" t="s">
        <v>1831</v>
      </c>
      <c r="B553" t="s">
        <v>77</v>
      </c>
      <c r="C553" t="s">
        <v>78</v>
      </c>
      <c r="D553" t="str">
        <f t="shared" si="24"/>
        <v>Evening</v>
      </c>
      <c r="E553">
        <f>HOUR(EV_Data[[#This Row],[Charging Start Time]])</f>
        <v>23</v>
      </c>
      <c r="F553" s="1">
        <v>44949.958333333336</v>
      </c>
      <c r="G553" s="1">
        <v>44950.006249999999</v>
      </c>
      <c r="H553">
        <v>69</v>
      </c>
      <c r="I553">
        <v>43.26</v>
      </c>
      <c r="J553" t="str">
        <f t="shared" si="25"/>
        <v>Medium</v>
      </c>
      <c r="K553" t="s">
        <v>42</v>
      </c>
      <c r="L553">
        <v>27</v>
      </c>
      <c r="M553">
        <v>42</v>
      </c>
      <c r="N553" t="str">
        <f t="shared" si="26"/>
        <v>Medium Cost</v>
      </c>
      <c r="O553">
        <v>12.61</v>
      </c>
      <c r="P553" t="s">
        <v>33</v>
      </c>
      <c r="Q553" t="s">
        <v>34</v>
      </c>
      <c r="R553" t="s">
        <v>25</v>
      </c>
      <c r="S553" t="s">
        <v>547</v>
      </c>
      <c r="T553" t="s">
        <v>46</v>
      </c>
      <c r="U553">
        <v>2</v>
      </c>
      <c r="V553">
        <v>4.7</v>
      </c>
      <c r="W553" t="s">
        <v>47</v>
      </c>
      <c r="X553" t="s">
        <v>29</v>
      </c>
    </row>
    <row r="554" spans="1:24" x14ac:dyDescent="0.3">
      <c r="A554" t="s">
        <v>1832</v>
      </c>
      <c r="B554" t="s">
        <v>92</v>
      </c>
      <c r="C554" t="s">
        <v>93</v>
      </c>
      <c r="D554" t="str">
        <f t="shared" si="24"/>
        <v>Morning</v>
      </c>
      <c r="E554">
        <f>HOUR(EV_Data[[#This Row],[Charging Start Time]])</f>
        <v>0</v>
      </c>
      <c r="F554" s="1">
        <v>44950</v>
      </c>
      <c r="G554" s="1">
        <v>44950.015972222223</v>
      </c>
      <c r="H554">
        <v>23</v>
      </c>
      <c r="I554">
        <v>19.73</v>
      </c>
      <c r="J554" t="str">
        <f t="shared" si="25"/>
        <v>Low</v>
      </c>
      <c r="K554" t="s">
        <v>69</v>
      </c>
      <c r="L554">
        <v>41</v>
      </c>
      <c r="M554">
        <v>64</v>
      </c>
      <c r="N554" t="str">
        <f t="shared" si="26"/>
        <v>Low Cost</v>
      </c>
      <c r="O554">
        <v>6.33</v>
      </c>
      <c r="P554" t="s">
        <v>23</v>
      </c>
      <c r="Q554" t="s">
        <v>34</v>
      </c>
      <c r="R554" t="s">
        <v>35</v>
      </c>
      <c r="S554" t="s">
        <v>472</v>
      </c>
      <c r="T554" t="s">
        <v>46</v>
      </c>
      <c r="U554">
        <v>80</v>
      </c>
      <c r="V554">
        <v>3.7</v>
      </c>
      <c r="W554" t="s">
        <v>38</v>
      </c>
      <c r="X554" t="s">
        <v>62</v>
      </c>
    </row>
    <row r="555" spans="1:24" x14ac:dyDescent="0.3">
      <c r="A555" t="s">
        <v>1833</v>
      </c>
      <c r="B555" t="s">
        <v>53</v>
      </c>
      <c r="C555" t="s">
        <v>54</v>
      </c>
      <c r="D555" t="str">
        <f t="shared" si="24"/>
        <v>Morning</v>
      </c>
      <c r="E555">
        <f>HOUR(EV_Data[[#This Row],[Charging Start Time]])</f>
        <v>1</v>
      </c>
      <c r="F555" s="1">
        <v>44950.041666666664</v>
      </c>
      <c r="G555" s="1">
        <v>44950.042361111111</v>
      </c>
      <c r="H555">
        <v>1</v>
      </c>
      <c r="I555">
        <v>34.71</v>
      </c>
      <c r="J555" t="str">
        <f t="shared" si="25"/>
        <v>Medium</v>
      </c>
      <c r="K555" t="s">
        <v>22</v>
      </c>
      <c r="L555">
        <v>63</v>
      </c>
      <c r="M555">
        <v>96</v>
      </c>
      <c r="N555" t="str">
        <f t="shared" si="26"/>
        <v>Medium Cost</v>
      </c>
      <c r="O555">
        <v>10.39</v>
      </c>
      <c r="P555" t="s">
        <v>51</v>
      </c>
      <c r="Q555" t="s">
        <v>24</v>
      </c>
      <c r="R555" t="s">
        <v>56</v>
      </c>
      <c r="S555" t="s">
        <v>548</v>
      </c>
      <c r="T555" t="s">
        <v>60</v>
      </c>
      <c r="U555">
        <v>100</v>
      </c>
      <c r="V555">
        <v>2.2999999999999998</v>
      </c>
      <c r="W555" t="s">
        <v>47</v>
      </c>
      <c r="X555" t="s">
        <v>29</v>
      </c>
    </row>
    <row r="556" spans="1:24" x14ac:dyDescent="0.3">
      <c r="A556" t="s">
        <v>1834</v>
      </c>
      <c r="B556" t="s">
        <v>40</v>
      </c>
      <c r="C556" t="s">
        <v>41</v>
      </c>
      <c r="D556" t="str">
        <f t="shared" si="24"/>
        <v>Morning</v>
      </c>
      <c r="E556">
        <f>HOUR(EV_Data[[#This Row],[Charging Start Time]])</f>
        <v>2</v>
      </c>
      <c r="F556" s="1">
        <v>44950.083333333336</v>
      </c>
      <c r="G556" s="1">
        <v>44950.119444444441</v>
      </c>
      <c r="H556">
        <v>52</v>
      </c>
      <c r="I556">
        <v>41.14</v>
      </c>
      <c r="J556" t="str">
        <f t="shared" si="25"/>
        <v>Medium</v>
      </c>
      <c r="K556" t="s">
        <v>55</v>
      </c>
      <c r="L556">
        <v>60</v>
      </c>
      <c r="M556">
        <v>85</v>
      </c>
      <c r="N556" t="str">
        <f t="shared" si="26"/>
        <v>High Cost</v>
      </c>
      <c r="O556">
        <v>18.829999999999998</v>
      </c>
      <c r="P556" t="s">
        <v>51</v>
      </c>
      <c r="Q556" t="s">
        <v>24</v>
      </c>
      <c r="R556" t="s">
        <v>56</v>
      </c>
      <c r="S556" t="s">
        <v>135</v>
      </c>
      <c r="T556" t="s">
        <v>60</v>
      </c>
      <c r="U556">
        <v>0</v>
      </c>
      <c r="V556">
        <v>4.0999999999999996</v>
      </c>
      <c r="W556" t="s">
        <v>28</v>
      </c>
      <c r="X556" t="s">
        <v>68</v>
      </c>
    </row>
    <row r="557" spans="1:24" x14ac:dyDescent="0.3">
      <c r="A557" t="s">
        <v>1835</v>
      </c>
      <c r="B557" t="s">
        <v>77</v>
      </c>
      <c r="C557" t="s">
        <v>78</v>
      </c>
      <c r="D557" t="str">
        <f t="shared" si="24"/>
        <v>Morning</v>
      </c>
      <c r="E557">
        <f>HOUR(EV_Data[[#This Row],[Charging Start Time]])</f>
        <v>3</v>
      </c>
      <c r="F557" s="1">
        <v>44950.125</v>
      </c>
      <c r="G557" s="1">
        <v>44950.15902777778</v>
      </c>
      <c r="H557">
        <v>49</v>
      </c>
      <c r="I557">
        <v>39.26</v>
      </c>
      <c r="J557" t="str">
        <f t="shared" si="25"/>
        <v>Medium</v>
      </c>
      <c r="K557" t="s">
        <v>22</v>
      </c>
      <c r="L557">
        <v>62</v>
      </c>
      <c r="M557">
        <v>100</v>
      </c>
      <c r="N557" t="str">
        <f t="shared" si="26"/>
        <v>Medium Cost</v>
      </c>
      <c r="O557">
        <v>13.13</v>
      </c>
      <c r="P557" t="s">
        <v>51</v>
      </c>
      <c r="Q557" t="s">
        <v>34</v>
      </c>
      <c r="R557" t="s">
        <v>25</v>
      </c>
      <c r="S557" t="s">
        <v>549</v>
      </c>
      <c r="T557" t="s">
        <v>60</v>
      </c>
      <c r="U557">
        <v>33</v>
      </c>
      <c r="V557">
        <v>1.2</v>
      </c>
      <c r="W557" t="s">
        <v>47</v>
      </c>
      <c r="X557" t="s">
        <v>29</v>
      </c>
    </row>
    <row r="558" spans="1:24" x14ac:dyDescent="0.3">
      <c r="A558" t="s">
        <v>1836</v>
      </c>
      <c r="B558" t="s">
        <v>53</v>
      </c>
      <c r="C558" t="s">
        <v>54</v>
      </c>
      <c r="D558" t="str">
        <f t="shared" si="24"/>
        <v>Morning</v>
      </c>
      <c r="E558">
        <f>HOUR(EV_Data[[#This Row],[Charging Start Time]])</f>
        <v>4</v>
      </c>
      <c r="F558" s="1">
        <v>44950.166666666664</v>
      </c>
      <c r="G558" s="1">
        <v>44950.20416666667</v>
      </c>
      <c r="H558">
        <v>54</v>
      </c>
      <c r="I558">
        <v>6.49</v>
      </c>
      <c r="J558" t="str">
        <f t="shared" si="25"/>
        <v>Low</v>
      </c>
      <c r="K558" t="s">
        <v>50</v>
      </c>
      <c r="L558">
        <v>11</v>
      </c>
      <c r="M558">
        <v>27</v>
      </c>
      <c r="N558" t="str">
        <f t="shared" si="26"/>
        <v>Low Cost</v>
      </c>
      <c r="O558">
        <v>2.71</v>
      </c>
      <c r="P558" t="s">
        <v>64</v>
      </c>
      <c r="Q558" t="s">
        <v>58</v>
      </c>
      <c r="R558" t="s">
        <v>56</v>
      </c>
      <c r="S558" t="s">
        <v>101</v>
      </c>
      <c r="T558" t="s">
        <v>46</v>
      </c>
      <c r="U558">
        <v>55</v>
      </c>
      <c r="V558">
        <v>3</v>
      </c>
      <c r="W558" t="s">
        <v>28</v>
      </c>
      <c r="X558" t="s">
        <v>68</v>
      </c>
    </row>
    <row r="559" spans="1:24" x14ac:dyDescent="0.3">
      <c r="A559" t="s">
        <v>1837</v>
      </c>
      <c r="B559" t="s">
        <v>126</v>
      </c>
      <c r="C559" t="s">
        <v>31</v>
      </c>
      <c r="D559" t="str">
        <f t="shared" si="24"/>
        <v>Morning</v>
      </c>
      <c r="E559">
        <f>HOUR(EV_Data[[#This Row],[Charging Start Time]])</f>
        <v>5</v>
      </c>
      <c r="F559" s="1">
        <v>44950.208333333336</v>
      </c>
      <c r="G559" s="1">
        <v>44950.25</v>
      </c>
      <c r="H559">
        <v>60</v>
      </c>
      <c r="I559">
        <v>48.4</v>
      </c>
      <c r="J559" t="str">
        <f t="shared" si="25"/>
        <v>Medium</v>
      </c>
      <c r="K559" t="s">
        <v>50</v>
      </c>
      <c r="L559">
        <v>16</v>
      </c>
      <c r="M559">
        <v>28</v>
      </c>
      <c r="N559" t="str">
        <f t="shared" si="26"/>
        <v>High Cost</v>
      </c>
      <c r="O559">
        <v>22.28</v>
      </c>
      <c r="P559" t="s">
        <v>51</v>
      </c>
      <c r="Q559" t="s">
        <v>34</v>
      </c>
      <c r="R559" t="s">
        <v>35</v>
      </c>
      <c r="S559" t="s">
        <v>276</v>
      </c>
      <c r="T559" t="s">
        <v>27</v>
      </c>
      <c r="U559">
        <v>52</v>
      </c>
      <c r="V559">
        <v>3.3</v>
      </c>
      <c r="W559" t="s">
        <v>38</v>
      </c>
      <c r="X559" t="s">
        <v>62</v>
      </c>
    </row>
    <row r="560" spans="1:24" x14ac:dyDescent="0.3">
      <c r="A560" t="s">
        <v>1838</v>
      </c>
      <c r="B560" t="s">
        <v>77</v>
      </c>
      <c r="C560" t="s">
        <v>78</v>
      </c>
      <c r="D560" t="str">
        <f t="shared" si="24"/>
        <v>Morning</v>
      </c>
      <c r="E560">
        <f>HOUR(EV_Data[[#This Row],[Charging Start Time]])</f>
        <v>6</v>
      </c>
      <c r="F560" s="1">
        <v>44950.25</v>
      </c>
      <c r="G560" s="1">
        <v>44950.315972222219</v>
      </c>
      <c r="H560">
        <v>95</v>
      </c>
      <c r="I560">
        <v>31.91</v>
      </c>
      <c r="J560" t="str">
        <f t="shared" si="25"/>
        <v>Medium</v>
      </c>
      <c r="K560" t="s">
        <v>32</v>
      </c>
      <c r="L560">
        <v>55</v>
      </c>
      <c r="M560">
        <v>78</v>
      </c>
      <c r="N560" t="str">
        <f t="shared" si="26"/>
        <v>Medium Cost</v>
      </c>
      <c r="O560">
        <v>11.96</v>
      </c>
      <c r="P560" t="s">
        <v>64</v>
      </c>
      <c r="Q560" t="s">
        <v>24</v>
      </c>
      <c r="R560" t="s">
        <v>44</v>
      </c>
      <c r="S560" t="s">
        <v>550</v>
      </c>
      <c r="T560" t="s">
        <v>27</v>
      </c>
      <c r="U560">
        <v>29</v>
      </c>
      <c r="V560">
        <v>2.6</v>
      </c>
      <c r="W560" t="s">
        <v>38</v>
      </c>
      <c r="X560" t="s">
        <v>85</v>
      </c>
    </row>
    <row r="561" spans="1:24" x14ac:dyDescent="0.3">
      <c r="A561" t="s">
        <v>1839</v>
      </c>
      <c r="B561" t="s">
        <v>71</v>
      </c>
      <c r="C561" t="s">
        <v>72</v>
      </c>
      <c r="D561" t="str">
        <f t="shared" si="24"/>
        <v>Morning</v>
      </c>
      <c r="E561">
        <f>HOUR(EV_Data[[#This Row],[Charging Start Time]])</f>
        <v>7</v>
      </c>
      <c r="F561" s="1">
        <v>44950.291666666664</v>
      </c>
      <c r="G561" s="1">
        <v>44950.320833333331</v>
      </c>
      <c r="H561">
        <v>42</v>
      </c>
      <c r="I561">
        <v>24.49</v>
      </c>
      <c r="J561" t="str">
        <f t="shared" si="25"/>
        <v>Medium</v>
      </c>
      <c r="K561" t="s">
        <v>32</v>
      </c>
      <c r="L561">
        <v>35</v>
      </c>
      <c r="M561">
        <v>67</v>
      </c>
      <c r="N561" t="str">
        <f t="shared" si="26"/>
        <v>Low Cost</v>
      </c>
      <c r="O561">
        <v>6.76</v>
      </c>
      <c r="P561" t="s">
        <v>23</v>
      </c>
      <c r="Q561" t="s">
        <v>48</v>
      </c>
      <c r="R561" t="s">
        <v>44</v>
      </c>
      <c r="S561" t="s">
        <v>505</v>
      </c>
      <c r="T561" t="s">
        <v>46</v>
      </c>
      <c r="U561">
        <v>39</v>
      </c>
      <c r="V561">
        <v>3.1</v>
      </c>
      <c r="W561" t="s">
        <v>38</v>
      </c>
      <c r="X561" t="s">
        <v>83</v>
      </c>
    </row>
    <row r="562" spans="1:24" x14ac:dyDescent="0.3">
      <c r="A562" t="s">
        <v>1840</v>
      </c>
      <c r="B562" t="s">
        <v>77</v>
      </c>
      <c r="C562" t="s">
        <v>78</v>
      </c>
      <c r="D562" t="str">
        <f t="shared" si="24"/>
        <v>Morning</v>
      </c>
      <c r="E562">
        <f>HOUR(EV_Data[[#This Row],[Charging Start Time]])</f>
        <v>8</v>
      </c>
      <c r="F562" s="1">
        <v>44950.333333333336</v>
      </c>
      <c r="G562" s="1">
        <v>44950.396527777782</v>
      </c>
      <c r="H562">
        <v>91</v>
      </c>
      <c r="I562">
        <v>15.84</v>
      </c>
      <c r="J562" t="str">
        <f t="shared" si="25"/>
        <v>Low</v>
      </c>
      <c r="K562" t="s">
        <v>55</v>
      </c>
      <c r="L562">
        <v>62</v>
      </c>
      <c r="M562">
        <v>89</v>
      </c>
      <c r="N562" t="str">
        <f t="shared" si="26"/>
        <v>Low Cost</v>
      </c>
      <c r="O562">
        <v>7.77</v>
      </c>
      <c r="P562" t="s">
        <v>64</v>
      </c>
      <c r="Q562" t="s">
        <v>24</v>
      </c>
      <c r="R562" t="s">
        <v>56</v>
      </c>
      <c r="S562" t="s">
        <v>536</v>
      </c>
      <c r="T562" t="s">
        <v>37</v>
      </c>
      <c r="U562">
        <v>95</v>
      </c>
      <c r="V562">
        <v>3</v>
      </c>
      <c r="W562" t="s">
        <v>47</v>
      </c>
      <c r="X562" t="s">
        <v>29</v>
      </c>
    </row>
    <row r="563" spans="1:24" x14ac:dyDescent="0.3">
      <c r="A563" t="s">
        <v>1841</v>
      </c>
      <c r="B563" t="s">
        <v>30</v>
      </c>
      <c r="C563" t="s">
        <v>102</v>
      </c>
      <c r="D563" t="str">
        <f t="shared" si="24"/>
        <v>Morning</v>
      </c>
      <c r="E563">
        <f>HOUR(EV_Data[[#This Row],[Charging Start Time]])</f>
        <v>9</v>
      </c>
      <c r="F563" s="1">
        <v>44950.375</v>
      </c>
      <c r="G563" s="1">
        <v>44950.456944444442</v>
      </c>
      <c r="H563">
        <v>118</v>
      </c>
      <c r="I563">
        <v>17.329999999999998</v>
      </c>
      <c r="J563" t="str">
        <f t="shared" si="25"/>
        <v>Low</v>
      </c>
      <c r="K563" t="s">
        <v>55</v>
      </c>
      <c r="L563">
        <v>8</v>
      </c>
      <c r="M563">
        <v>41</v>
      </c>
      <c r="N563" t="str">
        <f t="shared" si="26"/>
        <v>Low Cost</v>
      </c>
      <c r="O563">
        <v>7.47</v>
      </c>
      <c r="P563" t="s">
        <v>64</v>
      </c>
      <c r="Q563" t="s">
        <v>58</v>
      </c>
      <c r="R563" t="s">
        <v>35</v>
      </c>
      <c r="S563" t="s">
        <v>258</v>
      </c>
      <c r="T563" t="s">
        <v>37</v>
      </c>
      <c r="U563">
        <v>70</v>
      </c>
      <c r="V563">
        <v>2.6</v>
      </c>
      <c r="W563" t="s">
        <v>28</v>
      </c>
      <c r="X563" t="s">
        <v>68</v>
      </c>
    </row>
    <row r="564" spans="1:24" x14ac:dyDescent="0.3">
      <c r="A564" t="s">
        <v>1842</v>
      </c>
      <c r="B564" t="s">
        <v>77</v>
      </c>
      <c r="C564" t="s">
        <v>78</v>
      </c>
      <c r="D564" t="str">
        <f t="shared" si="24"/>
        <v>Morning</v>
      </c>
      <c r="E564">
        <f>HOUR(EV_Data[[#This Row],[Charging Start Time]])</f>
        <v>10</v>
      </c>
      <c r="F564" s="1">
        <v>44950.416666666664</v>
      </c>
      <c r="G564" s="1">
        <v>44950.436805555553</v>
      </c>
      <c r="H564">
        <v>29</v>
      </c>
      <c r="I564">
        <v>13.87</v>
      </c>
      <c r="J564" t="str">
        <f t="shared" si="25"/>
        <v>Low</v>
      </c>
      <c r="K564" t="s">
        <v>42</v>
      </c>
      <c r="L564">
        <v>66</v>
      </c>
      <c r="M564">
        <v>85</v>
      </c>
      <c r="N564" t="str">
        <f t="shared" si="26"/>
        <v>Low Cost</v>
      </c>
      <c r="O564">
        <v>5.45</v>
      </c>
      <c r="P564" t="s">
        <v>51</v>
      </c>
      <c r="Q564" t="s">
        <v>48</v>
      </c>
      <c r="R564" t="s">
        <v>25</v>
      </c>
      <c r="S564" t="s">
        <v>551</v>
      </c>
      <c r="T564" t="s">
        <v>46</v>
      </c>
      <c r="U564">
        <v>65</v>
      </c>
      <c r="V564">
        <v>3.7</v>
      </c>
      <c r="W564" t="s">
        <v>38</v>
      </c>
      <c r="X564" t="s">
        <v>62</v>
      </c>
    </row>
    <row r="565" spans="1:24" x14ac:dyDescent="0.3">
      <c r="A565" t="s">
        <v>1843</v>
      </c>
      <c r="B565" t="s">
        <v>40</v>
      </c>
      <c r="C565" t="s">
        <v>41</v>
      </c>
      <c r="D565" t="str">
        <f t="shared" si="24"/>
        <v>Morning</v>
      </c>
      <c r="E565">
        <f>HOUR(EV_Data[[#This Row],[Charging Start Time]])</f>
        <v>11</v>
      </c>
      <c r="F565" s="1">
        <v>44950.458333333336</v>
      </c>
      <c r="G565" s="1">
        <v>44950.504166666673</v>
      </c>
      <c r="H565">
        <v>66</v>
      </c>
      <c r="I565">
        <v>43.23</v>
      </c>
      <c r="J565" t="str">
        <f t="shared" si="25"/>
        <v>Medium</v>
      </c>
      <c r="K565" t="s">
        <v>22</v>
      </c>
      <c r="L565">
        <v>64</v>
      </c>
      <c r="M565">
        <v>84</v>
      </c>
      <c r="N565" t="str">
        <f t="shared" si="26"/>
        <v>High Cost</v>
      </c>
      <c r="O565">
        <v>19.89</v>
      </c>
      <c r="P565" t="s">
        <v>64</v>
      </c>
      <c r="Q565" t="s">
        <v>48</v>
      </c>
      <c r="R565" t="s">
        <v>44</v>
      </c>
      <c r="S565" t="s">
        <v>552</v>
      </c>
      <c r="T565" t="s">
        <v>27</v>
      </c>
      <c r="U565">
        <v>16</v>
      </c>
      <c r="V565">
        <v>2.5</v>
      </c>
      <c r="W565" t="s">
        <v>47</v>
      </c>
      <c r="X565" t="s">
        <v>29</v>
      </c>
    </row>
    <row r="566" spans="1:24" x14ac:dyDescent="0.3">
      <c r="A566" t="s">
        <v>1844</v>
      </c>
      <c r="B566" t="s">
        <v>92</v>
      </c>
      <c r="C566" t="s">
        <v>93</v>
      </c>
      <c r="D566" t="str">
        <f t="shared" si="24"/>
        <v>Afternoon</v>
      </c>
      <c r="E566">
        <f>HOUR(EV_Data[[#This Row],[Charging Start Time]])</f>
        <v>12</v>
      </c>
      <c r="F566" s="1">
        <v>44950.5</v>
      </c>
      <c r="G566" s="1">
        <v>44950.542361111111</v>
      </c>
      <c r="H566">
        <v>61</v>
      </c>
      <c r="I566">
        <v>29.39</v>
      </c>
      <c r="J566" t="str">
        <f t="shared" si="25"/>
        <v>Medium</v>
      </c>
      <c r="K566" t="s">
        <v>22</v>
      </c>
      <c r="L566">
        <v>22</v>
      </c>
      <c r="M566">
        <v>59</v>
      </c>
      <c r="N566" t="str">
        <f t="shared" si="26"/>
        <v>Medium Cost</v>
      </c>
      <c r="O566">
        <v>12.57</v>
      </c>
      <c r="P566" t="s">
        <v>33</v>
      </c>
      <c r="Q566" t="s">
        <v>24</v>
      </c>
      <c r="R566" t="s">
        <v>25</v>
      </c>
      <c r="S566" t="s">
        <v>553</v>
      </c>
      <c r="T566" t="s">
        <v>27</v>
      </c>
      <c r="U566">
        <v>67</v>
      </c>
      <c r="V566">
        <v>4.9000000000000004</v>
      </c>
      <c r="W566" t="s">
        <v>28</v>
      </c>
      <c r="X566" t="s">
        <v>68</v>
      </c>
    </row>
    <row r="567" spans="1:24" x14ac:dyDescent="0.3">
      <c r="A567" t="s">
        <v>1845</v>
      </c>
      <c r="B567" t="s">
        <v>92</v>
      </c>
      <c r="C567" t="s">
        <v>93</v>
      </c>
      <c r="D567" t="str">
        <f t="shared" si="24"/>
        <v>Afternoon</v>
      </c>
      <c r="E567">
        <f>HOUR(EV_Data[[#This Row],[Charging Start Time]])</f>
        <v>13</v>
      </c>
      <c r="F567" s="1">
        <v>44950.541666666664</v>
      </c>
      <c r="G567" s="1">
        <v>44950.568055555559</v>
      </c>
      <c r="H567">
        <v>38</v>
      </c>
      <c r="I567">
        <v>11.78</v>
      </c>
      <c r="J567" t="str">
        <f t="shared" si="25"/>
        <v>Low</v>
      </c>
      <c r="K567" t="s">
        <v>55</v>
      </c>
      <c r="L567">
        <v>44</v>
      </c>
      <c r="M567">
        <v>60</v>
      </c>
      <c r="N567" t="str">
        <f t="shared" si="26"/>
        <v>Low Cost</v>
      </c>
      <c r="O567">
        <v>3.9</v>
      </c>
      <c r="P567" t="s">
        <v>43</v>
      </c>
      <c r="Q567" t="s">
        <v>24</v>
      </c>
      <c r="R567" t="s">
        <v>35</v>
      </c>
      <c r="S567" t="s">
        <v>284</v>
      </c>
      <c r="T567" t="s">
        <v>27</v>
      </c>
      <c r="U567">
        <v>70</v>
      </c>
      <c r="V567">
        <v>1.3</v>
      </c>
      <c r="W567" t="s">
        <v>28</v>
      </c>
      <c r="X567" t="s">
        <v>68</v>
      </c>
    </row>
    <row r="568" spans="1:24" x14ac:dyDescent="0.3">
      <c r="A568" t="s">
        <v>1846</v>
      </c>
      <c r="B568" t="s">
        <v>30</v>
      </c>
      <c r="C568" t="s">
        <v>102</v>
      </c>
      <c r="D568" t="str">
        <f t="shared" si="24"/>
        <v>Afternoon</v>
      </c>
      <c r="E568">
        <f>HOUR(EV_Data[[#This Row],[Charging Start Time]])</f>
        <v>14</v>
      </c>
      <c r="F568" s="1">
        <v>44950.583333333336</v>
      </c>
      <c r="G568" s="1">
        <v>44950.618055555547</v>
      </c>
      <c r="H568">
        <v>50</v>
      </c>
      <c r="I568">
        <v>5.59</v>
      </c>
      <c r="J568" t="str">
        <f t="shared" si="25"/>
        <v>Low</v>
      </c>
      <c r="K568" t="s">
        <v>50</v>
      </c>
      <c r="L568">
        <v>73</v>
      </c>
      <c r="M568">
        <v>100</v>
      </c>
      <c r="N568" t="str">
        <f t="shared" si="26"/>
        <v>Low Cost</v>
      </c>
      <c r="O568">
        <v>1.76</v>
      </c>
      <c r="P568" t="s">
        <v>64</v>
      </c>
      <c r="Q568" t="s">
        <v>48</v>
      </c>
      <c r="R568" t="s">
        <v>44</v>
      </c>
      <c r="S568" t="s">
        <v>554</v>
      </c>
      <c r="T568" t="s">
        <v>37</v>
      </c>
      <c r="U568">
        <v>53</v>
      </c>
      <c r="V568">
        <v>1.9</v>
      </c>
      <c r="W568" t="s">
        <v>28</v>
      </c>
      <c r="X568" t="s">
        <v>68</v>
      </c>
    </row>
    <row r="569" spans="1:24" x14ac:dyDescent="0.3">
      <c r="A569" t="s">
        <v>1847</v>
      </c>
      <c r="B569" t="s">
        <v>126</v>
      </c>
      <c r="C569" t="s">
        <v>31</v>
      </c>
      <c r="D569" t="str">
        <f t="shared" si="24"/>
        <v>Afternoon</v>
      </c>
      <c r="E569">
        <f>HOUR(EV_Data[[#This Row],[Charging Start Time]])</f>
        <v>15</v>
      </c>
      <c r="F569" s="1">
        <v>44950.625</v>
      </c>
      <c r="G569" s="1">
        <v>44950.667361111111</v>
      </c>
      <c r="H569">
        <v>61</v>
      </c>
      <c r="I569">
        <v>39.11</v>
      </c>
      <c r="J569" t="str">
        <f t="shared" si="25"/>
        <v>Medium</v>
      </c>
      <c r="K569" t="s">
        <v>50</v>
      </c>
      <c r="L569">
        <v>49</v>
      </c>
      <c r="M569">
        <v>89</v>
      </c>
      <c r="N569" t="str">
        <f t="shared" si="26"/>
        <v>High Cost</v>
      </c>
      <c r="O569">
        <v>18.440000000000001</v>
      </c>
      <c r="P569" t="s">
        <v>33</v>
      </c>
      <c r="Q569" t="s">
        <v>58</v>
      </c>
      <c r="R569" t="s">
        <v>44</v>
      </c>
      <c r="S569" t="s">
        <v>319</v>
      </c>
      <c r="T569" t="s">
        <v>37</v>
      </c>
      <c r="U569">
        <v>35</v>
      </c>
      <c r="V569">
        <v>2.2000000000000002</v>
      </c>
      <c r="W569" t="s">
        <v>38</v>
      </c>
    </row>
    <row r="570" spans="1:24" x14ac:dyDescent="0.3">
      <c r="A570" t="s">
        <v>1848</v>
      </c>
      <c r="B570" t="s">
        <v>71</v>
      </c>
      <c r="C570" t="s">
        <v>72</v>
      </c>
      <c r="D570" t="str">
        <f t="shared" si="24"/>
        <v>Afternoon</v>
      </c>
      <c r="E570">
        <f>HOUR(EV_Data[[#This Row],[Charging Start Time]])</f>
        <v>16</v>
      </c>
      <c r="F570" s="1">
        <v>44950.666666666664</v>
      </c>
      <c r="G570" s="1">
        <v>44950.697222222218</v>
      </c>
      <c r="H570">
        <v>44</v>
      </c>
      <c r="I570">
        <v>12.87</v>
      </c>
      <c r="J570" t="str">
        <f t="shared" si="25"/>
        <v>Low</v>
      </c>
      <c r="K570" t="s">
        <v>32</v>
      </c>
      <c r="L570">
        <v>44</v>
      </c>
      <c r="M570">
        <v>56</v>
      </c>
      <c r="N570" t="str">
        <f t="shared" si="26"/>
        <v>Low Cost</v>
      </c>
      <c r="O570">
        <v>6.32</v>
      </c>
      <c r="P570" t="s">
        <v>33</v>
      </c>
      <c r="Q570" t="s">
        <v>34</v>
      </c>
      <c r="R570" t="s">
        <v>56</v>
      </c>
      <c r="S570" t="s">
        <v>555</v>
      </c>
      <c r="T570" t="s">
        <v>46</v>
      </c>
      <c r="U570">
        <v>81</v>
      </c>
      <c r="V570">
        <v>3.6</v>
      </c>
      <c r="W570" t="s">
        <v>47</v>
      </c>
      <c r="X570" t="s">
        <v>29</v>
      </c>
    </row>
    <row r="571" spans="1:24" x14ac:dyDescent="0.3">
      <c r="A571" t="s">
        <v>1849</v>
      </c>
      <c r="B571" t="s">
        <v>40</v>
      </c>
      <c r="C571" t="s">
        <v>41</v>
      </c>
      <c r="D571" t="str">
        <f t="shared" si="24"/>
        <v>Evening</v>
      </c>
      <c r="E571">
        <f>HOUR(EV_Data[[#This Row],[Charging Start Time]])</f>
        <v>17</v>
      </c>
      <c r="F571" s="1">
        <v>44950.708333333336</v>
      </c>
      <c r="G571" s="1">
        <v>44950.763888888891</v>
      </c>
      <c r="H571">
        <v>80</v>
      </c>
      <c r="I571">
        <v>27.08</v>
      </c>
      <c r="J571" t="str">
        <f t="shared" si="25"/>
        <v>Medium</v>
      </c>
      <c r="K571" t="s">
        <v>50</v>
      </c>
      <c r="L571">
        <v>42</v>
      </c>
      <c r="M571">
        <v>57</v>
      </c>
      <c r="N571" t="str">
        <f t="shared" si="26"/>
        <v>Medium Cost</v>
      </c>
      <c r="O571">
        <v>9.8800000000000008</v>
      </c>
      <c r="P571" t="s">
        <v>23</v>
      </c>
      <c r="Q571" t="s">
        <v>48</v>
      </c>
      <c r="R571" t="s">
        <v>56</v>
      </c>
      <c r="S571" t="s">
        <v>556</v>
      </c>
      <c r="T571" t="s">
        <v>27</v>
      </c>
      <c r="U571">
        <v>47</v>
      </c>
      <c r="V571">
        <v>5</v>
      </c>
      <c r="W571" t="s">
        <v>47</v>
      </c>
      <c r="X571" t="s">
        <v>29</v>
      </c>
    </row>
    <row r="572" spans="1:24" x14ac:dyDescent="0.3">
      <c r="A572" t="s">
        <v>1850</v>
      </c>
      <c r="B572" t="s">
        <v>71</v>
      </c>
      <c r="C572" t="s">
        <v>72</v>
      </c>
      <c r="D572" t="str">
        <f t="shared" si="24"/>
        <v>Evening</v>
      </c>
      <c r="E572">
        <f>HOUR(EV_Data[[#This Row],[Charging Start Time]])</f>
        <v>18</v>
      </c>
      <c r="F572" s="1">
        <v>44950.75</v>
      </c>
      <c r="G572" s="1">
        <v>44950.829861111109</v>
      </c>
      <c r="H572">
        <v>115</v>
      </c>
      <c r="I572">
        <v>8.85</v>
      </c>
      <c r="J572" t="str">
        <f t="shared" si="25"/>
        <v>Low</v>
      </c>
      <c r="K572" t="s">
        <v>42</v>
      </c>
      <c r="L572">
        <v>61</v>
      </c>
      <c r="M572">
        <v>90</v>
      </c>
      <c r="N572" t="str">
        <f t="shared" si="26"/>
        <v>Low Cost</v>
      </c>
      <c r="O572">
        <v>2.7</v>
      </c>
      <c r="P572" t="s">
        <v>64</v>
      </c>
      <c r="Q572" t="s">
        <v>58</v>
      </c>
      <c r="R572" t="s">
        <v>56</v>
      </c>
      <c r="S572" t="s">
        <v>557</v>
      </c>
      <c r="T572" t="s">
        <v>46</v>
      </c>
      <c r="U572">
        <v>47</v>
      </c>
      <c r="V572">
        <v>1.2</v>
      </c>
      <c r="W572" t="s">
        <v>28</v>
      </c>
      <c r="X572" t="s">
        <v>68</v>
      </c>
    </row>
    <row r="573" spans="1:24" x14ac:dyDescent="0.3">
      <c r="A573" t="s">
        <v>1851</v>
      </c>
      <c r="B573" t="s">
        <v>77</v>
      </c>
      <c r="C573" t="s">
        <v>78</v>
      </c>
      <c r="D573" t="str">
        <f t="shared" si="24"/>
        <v>Evening</v>
      </c>
      <c r="E573">
        <f>HOUR(EV_Data[[#This Row],[Charging Start Time]])</f>
        <v>19</v>
      </c>
      <c r="F573" s="1">
        <v>44950.791666666664</v>
      </c>
      <c r="G573" s="1">
        <v>44950.792361111111</v>
      </c>
      <c r="H573">
        <v>1</v>
      </c>
      <c r="I573">
        <v>25.86</v>
      </c>
      <c r="J573" t="str">
        <f t="shared" si="25"/>
        <v>Medium</v>
      </c>
      <c r="K573" t="s">
        <v>22</v>
      </c>
      <c r="L573">
        <v>26</v>
      </c>
      <c r="M573">
        <v>37</v>
      </c>
      <c r="N573" t="str">
        <f t="shared" si="26"/>
        <v>Low Cost</v>
      </c>
      <c r="O573">
        <v>6.83</v>
      </c>
      <c r="P573" t="s">
        <v>43</v>
      </c>
      <c r="Q573" t="s">
        <v>48</v>
      </c>
      <c r="R573" t="s">
        <v>25</v>
      </c>
      <c r="S573" t="s">
        <v>486</v>
      </c>
      <c r="T573" t="s">
        <v>37</v>
      </c>
      <c r="U573">
        <v>0</v>
      </c>
      <c r="V573">
        <v>2.7</v>
      </c>
      <c r="W573" t="s">
        <v>28</v>
      </c>
      <c r="X573" t="s">
        <v>68</v>
      </c>
    </row>
    <row r="574" spans="1:24" x14ac:dyDescent="0.3">
      <c r="A574" t="s">
        <v>1852</v>
      </c>
      <c r="B574" t="s">
        <v>53</v>
      </c>
      <c r="C574" t="s">
        <v>54</v>
      </c>
      <c r="D574" t="str">
        <f t="shared" si="24"/>
        <v>Evening</v>
      </c>
      <c r="E574">
        <f>HOUR(EV_Data[[#This Row],[Charging Start Time]])</f>
        <v>20</v>
      </c>
      <c r="F574" s="1">
        <v>44950.833333333336</v>
      </c>
      <c r="G574" s="1">
        <v>44950.915277777778</v>
      </c>
      <c r="H574">
        <v>118</v>
      </c>
      <c r="I574">
        <v>21.57</v>
      </c>
      <c r="J574" t="str">
        <f t="shared" si="25"/>
        <v>Medium</v>
      </c>
      <c r="K574" t="s">
        <v>55</v>
      </c>
      <c r="L574">
        <v>33</v>
      </c>
      <c r="M574">
        <v>70</v>
      </c>
      <c r="N574" t="str">
        <f t="shared" si="26"/>
        <v>Low Cost</v>
      </c>
      <c r="O574">
        <v>4.51</v>
      </c>
      <c r="P574" t="s">
        <v>33</v>
      </c>
      <c r="Q574" t="s">
        <v>34</v>
      </c>
      <c r="R574" t="s">
        <v>56</v>
      </c>
      <c r="S574" t="s">
        <v>558</v>
      </c>
      <c r="T574" t="s">
        <v>37</v>
      </c>
      <c r="U574">
        <v>5</v>
      </c>
      <c r="V574">
        <v>2.1</v>
      </c>
      <c r="W574" t="s">
        <v>28</v>
      </c>
      <c r="X574" t="s">
        <v>68</v>
      </c>
    </row>
    <row r="575" spans="1:24" x14ac:dyDescent="0.3">
      <c r="A575" t="s">
        <v>1853</v>
      </c>
      <c r="B575" t="s">
        <v>20</v>
      </c>
      <c r="C575" t="s">
        <v>21</v>
      </c>
      <c r="D575" t="str">
        <f t="shared" si="24"/>
        <v>Evening</v>
      </c>
      <c r="E575">
        <f>HOUR(EV_Data[[#This Row],[Charging Start Time]])</f>
        <v>21</v>
      </c>
      <c r="F575" s="1">
        <v>44950.875</v>
      </c>
      <c r="G575" s="1">
        <v>44950.881944444453</v>
      </c>
      <c r="H575">
        <v>10</v>
      </c>
      <c r="I575">
        <v>12.91</v>
      </c>
      <c r="J575" t="str">
        <f t="shared" si="25"/>
        <v>Low</v>
      </c>
      <c r="K575" t="s">
        <v>42</v>
      </c>
      <c r="L575">
        <v>30</v>
      </c>
      <c r="M575">
        <v>55</v>
      </c>
      <c r="N575" t="str">
        <f t="shared" si="26"/>
        <v>Low Cost</v>
      </c>
      <c r="O575">
        <v>5.56</v>
      </c>
      <c r="P575" t="s">
        <v>43</v>
      </c>
      <c r="Q575" t="s">
        <v>48</v>
      </c>
      <c r="R575" t="s">
        <v>56</v>
      </c>
      <c r="S575" t="s">
        <v>559</v>
      </c>
      <c r="T575" t="s">
        <v>60</v>
      </c>
      <c r="U575">
        <v>53</v>
      </c>
      <c r="V575">
        <v>1</v>
      </c>
      <c r="W575" t="s">
        <v>38</v>
      </c>
      <c r="X575" t="s">
        <v>83</v>
      </c>
    </row>
    <row r="576" spans="1:24" x14ac:dyDescent="0.3">
      <c r="A576" t="s">
        <v>1854</v>
      </c>
      <c r="B576" t="s">
        <v>92</v>
      </c>
      <c r="C576" t="s">
        <v>93</v>
      </c>
      <c r="D576" t="str">
        <f t="shared" si="24"/>
        <v>Evening</v>
      </c>
      <c r="E576">
        <f>HOUR(EV_Data[[#This Row],[Charging Start Time]])</f>
        <v>22</v>
      </c>
      <c r="F576" s="1">
        <v>44950.916666666664</v>
      </c>
      <c r="G576" s="1">
        <v>44950.947222222218</v>
      </c>
      <c r="H576">
        <v>44</v>
      </c>
      <c r="I576">
        <v>27.58</v>
      </c>
      <c r="J576" t="str">
        <f t="shared" si="25"/>
        <v>Medium</v>
      </c>
      <c r="K576" t="s">
        <v>22</v>
      </c>
      <c r="L576">
        <v>77</v>
      </c>
      <c r="M576">
        <v>100</v>
      </c>
      <c r="N576" t="str">
        <f t="shared" si="26"/>
        <v>Medium Cost</v>
      </c>
      <c r="O576">
        <v>10.62</v>
      </c>
      <c r="P576" t="s">
        <v>33</v>
      </c>
      <c r="Q576" t="s">
        <v>34</v>
      </c>
      <c r="R576" t="s">
        <v>56</v>
      </c>
      <c r="S576" t="s">
        <v>560</v>
      </c>
      <c r="T576" t="s">
        <v>46</v>
      </c>
      <c r="U576">
        <v>56</v>
      </c>
      <c r="V576">
        <v>2.1</v>
      </c>
      <c r="W576" t="s">
        <v>47</v>
      </c>
      <c r="X576" t="s">
        <v>29</v>
      </c>
    </row>
    <row r="577" spans="1:24" x14ac:dyDescent="0.3">
      <c r="A577" t="s">
        <v>1855</v>
      </c>
      <c r="B577" t="s">
        <v>126</v>
      </c>
      <c r="C577" t="s">
        <v>31</v>
      </c>
      <c r="D577" t="str">
        <f t="shared" si="24"/>
        <v>Evening</v>
      </c>
      <c r="E577">
        <f>HOUR(EV_Data[[#This Row],[Charging Start Time]])</f>
        <v>23</v>
      </c>
      <c r="F577" s="1">
        <v>44950.958333333336</v>
      </c>
      <c r="G577" s="1">
        <v>44950.986111111109</v>
      </c>
      <c r="H577">
        <v>40</v>
      </c>
      <c r="I577">
        <v>22.7</v>
      </c>
      <c r="J577" t="str">
        <f t="shared" si="25"/>
        <v>Medium</v>
      </c>
      <c r="K577" t="s">
        <v>69</v>
      </c>
      <c r="L577">
        <v>60</v>
      </c>
      <c r="M577">
        <v>92</v>
      </c>
      <c r="N577" t="str">
        <f t="shared" si="26"/>
        <v>Medium Cost</v>
      </c>
      <c r="O577">
        <v>9.59</v>
      </c>
      <c r="P577" t="s">
        <v>33</v>
      </c>
      <c r="Q577" t="s">
        <v>34</v>
      </c>
      <c r="R577" t="s">
        <v>44</v>
      </c>
      <c r="S577" t="s">
        <v>561</v>
      </c>
      <c r="T577" t="s">
        <v>46</v>
      </c>
      <c r="U577">
        <v>39</v>
      </c>
      <c r="V577">
        <v>1.8</v>
      </c>
      <c r="W577" t="s">
        <v>38</v>
      </c>
      <c r="X577" t="s">
        <v>39</v>
      </c>
    </row>
    <row r="578" spans="1:24" x14ac:dyDescent="0.3">
      <c r="A578" t="s">
        <v>1856</v>
      </c>
      <c r="B578" t="s">
        <v>20</v>
      </c>
      <c r="C578" t="s">
        <v>21</v>
      </c>
      <c r="D578" t="str">
        <f t="shared" ref="D578:D641" si="27">IF(E578&lt;12,"Morning",IF(E578&lt;17,"Afternoon","Evening"))</f>
        <v>Morning</v>
      </c>
      <c r="E578">
        <f>HOUR(EV_Data[[#This Row],[Charging Start Time]])</f>
        <v>0</v>
      </c>
      <c r="F578" s="1">
        <v>44951</v>
      </c>
      <c r="G578" s="1">
        <v>44951.037499999999</v>
      </c>
      <c r="H578">
        <v>54</v>
      </c>
      <c r="I578">
        <v>15.82</v>
      </c>
      <c r="J578" t="str">
        <f t="shared" ref="J578:J641" si="28">IF(I578&lt;20,"Low",IF(I578&lt;50,"Medium","High"))</f>
        <v>Low</v>
      </c>
      <c r="K578" t="s">
        <v>69</v>
      </c>
      <c r="L578">
        <v>79</v>
      </c>
      <c r="M578">
        <v>97</v>
      </c>
      <c r="N578" t="str">
        <f t="shared" ref="N578:N641" si="29">IF(O578&lt;8,"Low Cost",IF(O578&lt;17,"Medium Cost","High Cost"))</f>
        <v>Low Cost</v>
      </c>
      <c r="O578">
        <v>5.49</v>
      </c>
      <c r="P578" t="s">
        <v>33</v>
      </c>
      <c r="Q578" t="s">
        <v>24</v>
      </c>
      <c r="R578" t="s">
        <v>56</v>
      </c>
      <c r="S578" t="s">
        <v>270</v>
      </c>
      <c r="T578" t="s">
        <v>60</v>
      </c>
      <c r="U578">
        <v>78</v>
      </c>
      <c r="V578">
        <v>4.0999999999999996</v>
      </c>
      <c r="W578" t="s">
        <v>28</v>
      </c>
      <c r="X578" t="s">
        <v>68</v>
      </c>
    </row>
    <row r="579" spans="1:24" x14ac:dyDescent="0.3">
      <c r="A579" t="s">
        <v>1857</v>
      </c>
      <c r="B579" t="s">
        <v>20</v>
      </c>
      <c r="C579" t="s">
        <v>21</v>
      </c>
      <c r="D579" t="str">
        <f t="shared" si="27"/>
        <v>Morning</v>
      </c>
      <c r="E579">
        <f>HOUR(EV_Data[[#This Row],[Charging Start Time]])</f>
        <v>1</v>
      </c>
      <c r="F579" s="1">
        <v>44951.041666666664</v>
      </c>
      <c r="G579" s="1">
        <v>44951.06527777778</v>
      </c>
      <c r="H579">
        <v>34</v>
      </c>
      <c r="I579">
        <v>48.68</v>
      </c>
      <c r="J579" t="str">
        <f t="shared" si="28"/>
        <v>Medium</v>
      </c>
      <c r="K579" t="s">
        <v>55</v>
      </c>
      <c r="L579">
        <v>58</v>
      </c>
      <c r="M579">
        <v>92</v>
      </c>
      <c r="N579" t="str">
        <f t="shared" si="29"/>
        <v>Medium Cost</v>
      </c>
      <c r="O579">
        <v>12.1</v>
      </c>
      <c r="P579" t="s">
        <v>23</v>
      </c>
      <c r="Q579" t="s">
        <v>48</v>
      </c>
      <c r="R579" t="s">
        <v>35</v>
      </c>
      <c r="S579" t="s">
        <v>61</v>
      </c>
      <c r="T579" t="s">
        <v>37</v>
      </c>
      <c r="U579">
        <v>42</v>
      </c>
      <c r="V579">
        <v>1.6</v>
      </c>
      <c r="W579" t="s">
        <v>38</v>
      </c>
      <c r="X579" t="s">
        <v>39</v>
      </c>
    </row>
    <row r="580" spans="1:24" x14ac:dyDescent="0.3">
      <c r="A580" t="s">
        <v>1858</v>
      </c>
      <c r="B580" t="s">
        <v>126</v>
      </c>
      <c r="C580" t="s">
        <v>31</v>
      </c>
      <c r="D580" t="str">
        <f t="shared" si="27"/>
        <v>Morning</v>
      </c>
      <c r="E580">
        <f>HOUR(EV_Data[[#This Row],[Charging Start Time]])</f>
        <v>2</v>
      </c>
      <c r="F580" s="1">
        <v>44951.083333333336</v>
      </c>
      <c r="G580" s="1">
        <v>44951.111805555563</v>
      </c>
      <c r="H580">
        <v>41</v>
      </c>
      <c r="I580">
        <v>27.91</v>
      </c>
      <c r="J580" t="str">
        <f t="shared" si="28"/>
        <v>Medium</v>
      </c>
      <c r="K580" t="s">
        <v>69</v>
      </c>
      <c r="L580">
        <v>34</v>
      </c>
      <c r="M580">
        <v>48</v>
      </c>
      <c r="N580" t="str">
        <f t="shared" si="29"/>
        <v>Medium Cost</v>
      </c>
      <c r="O580">
        <v>11.68</v>
      </c>
      <c r="P580" t="s">
        <v>51</v>
      </c>
      <c r="Q580" t="s">
        <v>58</v>
      </c>
      <c r="R580" t="s">
        <v>56</v>
      </c>
      <c r="S580" t="s">
        <v>562</v>
      </c>
      <c r="T580" t="s">
        <v>60</v>
      </c>
      <c r="U580">
        <v>34</v>
      </c>
      <c r="V580">
        <v>4.0999999999999996</v>
      </c>
      <c r="W580" t="s">
        <v>28</v>
      </c>
      <c r="X580" t="s">
        <v>68</v>
      </c>
    </row>
    <row r="581" spans="1:24" x14ac:dyDescent="0.3">
      <c r="A581" t="s">
        <v>1859</v>
      </c>
      <c r="B581" t="s">
        <v>71</v>
      </c>
      <c r="C581" t="s">
        <v>72</v>
      </c>
      <c r="D581" t="str">
        <f t="shared" si="27"/>
        <v>Morning</v>
      </c>
      <c r="E581">
        <f>HOUR(EV_Data[[#This Row],[Charging Start Time]])</f>
        <v>3</v>
      </c>
      <c r="F581" s="1">
        <v>44951.125</v>
      </c>
      <c r="G581" s="1">
        <v>44951.165972222218</v>
      </c>
      <c r="H581">
        <v>59</v>
      </c>
      <c r="I581">
        <v>46.25</v>
      </c>
      <c r="J581" t="str">
        <f t="shared" si="28"/>
        <v>Medium</v>
      </c>
      <c r="K581" t="s">
        <v>50</v>
      </c>
      <c r="L581">
        <v>42</v>
      </c>
      <c r="M581">
        <v>54</v>
      </c>
      <c r="N581" t="str">
        <f t="shared" si="29"/>
        <v>High Cost</v>
      </c>
      <c r="O581">
        <v>17.07</v>
      </c>
      <c r="P581" t="s">
        <v>23</v>
      </c>
      <c r="Q581" t="s">
        <v>34</v>
      </c>
      <c r="R581" t="s">
        <v>35</v>
      </c>
      <c r="S581" t="s">
        <v>530</v>
      </c>
      <c r="T581" t="s">
        <v>27</v>
      </c>
      <c r="U581">
        <v>14</v>
      </c>
      <c r="V581">
        <v>1.8</v>
      </c>
      <c r="W581" t="s">
        <v>38</v>
      </c>
      <c r="X581" t="s">
        <v>83</v>
      </c>
    </row>
    <row r="582" spans="1:24" x14ac:dyDescent="0.3">
      <c r="A582" t="s">
        <v>1860</v>
      </c>
      <c r="B582" t="s">
        <v>30</v>
      </c>
      <c r="C582" t="s">
        <v>102</v>
      </c>
      <c r="D582" t="str">
        <f t="shared" si="27"/>
        <v>Morning</v>
      </c>
      <c r="E582">
        <f>HOUR(EV_Data[[#This Row],[Charging Start Time]])</f>
        <v>4</v>
      </c>
      <c r="F582" s="1">
        <v>44951.166666666664</v>
      </c>
      <c r="G582" s="1">
        <v>44951.249305555553</v>
      </c>
      <c r="H582">
        <v>119</v>
      </c>
      <c r="I582">
        <v>8.56</v>
      </c>
      <c r="J582" t="str">
        <f t="shared" si="28"/>
        <v>Low</v>
      </c>
      <c r="K582" t="s">
        <v>32</v>
      </c>
      <c r="L582">
        <v>13</v>
      </c>
      <c r="M582">
        <v>40</v>
      </c>
      <c r="N582" t="str">
        <f t="shared" si="29"/>
        <v>Low Cost</v>
      </c>
      <c r="O582">
        <v>4.0999999999999996</v>
      </c>
      <c r="P582" t="s">
        <v>51</v>
      </c>
      <c r="Q582" t="s">
        <v>48</v>
      </c>
      <c r="R582" t="s">
        <v>44</v>
      </c>
      <c r="S582" t="s">
        <v>67</v>
      </c>
      <c r="T582" t="s">
        <v>37</v>
      </c>
      <c r="U582">
        <v>20</v>
      </c>
      <c r="V582">
        <v>2.7</v>
      </c>
      <c r="W582" t="s">
        <v>28</v>
      </c>
      <c r="X582" t="s">
        <v>68</v>
      </c>
    </row>
    <row r="583" spans="1:24" x14ac:dyDescent="0.3">
      <c r="A583" t="s">
        <v>1861</v>
      </c>
      <c r="B583" t="s">
        <v>77</v>
      </c>
      <c r="C583" t="s">
        <v>78</v>
      </c>
      <c r="D583" t="str">
        <f t="shared" si="27"/>
        <v>Morning</v>
      </c>
      <c r="E583">
        <f>HOUR(EV_Data[[#This Row],[Charging Start Time]])</f>
        <v>5</v>
      </c>
      <c r="F583" s="1">
        <v>44951.208333333336</v>
      </c>
      <c r="G583" s="1">
        <v>44951.247916666667</v>
      </c>
      <c r="H583">
        <v>57</v>
      </c>
      <c r="I583">
        <v>43.74</v>
      </c>
      <c r="J583" t="str">
        <f t="shared" si="28"/>
        <v>Medium</v>
      </c>
      <c r="K583" t="s">
        <v>55</v>
      </c>
      <c r="L583">
        <v>75</v>
      </c>
      <c r="M583">
        <v>100</v>
      </c>
      <c r="N583" t="str">
        <f t="shared" si="29"/>
        <v>Medium Cost</v>
      </c>
      <c r="O583">
        <v>14.22</v>
      </c>
      <c r="P583" t="s">
        <v>43</v>
      </c>
      <c r="Q583" t="s">
        <v>58</v>
      </c>
      <c r="R583" t="s">
        <v>56</v>
      </c>
      <c r="S583" t="s">
        <v>116</v>
      </c>
      <c r="T583" t="s">
        <v>27</v>
      </c>
      <c r="U583">
        <v>76</v>
      </c>
      <c r="V583">
        <v>2.6</v>
      </c>
      <c r="W583" t="s">
        <v>38</v>
      </c>
    </row>
    <row r="584" spans="1:24" x14ac:dyDescent="0.3">
      <c r="A584" t="s">
        <v>1862</v>
      </c>
      <c r="B584" t="s">
        <v>77</v>
      </c>
      <c r="C584" t="s">
        <v>78</v>
      </c>
      <c r="D584" t="str">
        <f t="shared" si="27"/>
        <v>Morning</v>
      </c>
      <c r="E584">
        <f>HOUR(EV_Data[[#This Row],[Charging Start Time]])</f>
        <v>6</v>
      </c>
      <c r="F584" s="1">
        <v>44951.25</v>
      </c>
      <c r="G584" s="1">
        <v>44951.275000000001</v>
      </c>
      <c r="H584">
        <v>36</v>
      </c>
      <c r="I584">
        <v>11.69</v>
      </c>
      <c r="J584" t="str">
        <f t="shared" si="28"/>
        <v>Low</v>
      </c>
      <c r="K584" t="s">
        <v>42</v>
      </c>
      <c r="L584">
        <v>8</v>
      </c>
      <c r="M584">
        <v>22</v>
      </c>
      <c r="N584" t="str">
        <f t="shared" si="29"/>
        <v>Low Cost</v>
      </c>
      <c r="O584">
        <v>5.09</v>
      </c>
      <c r="P584" t="s">
        <v>64</v>
      </c>
      <c r="Q584" t="s">
        <v>58</v>
      </c>
      <c r="R584" t="s">
        <v>25</v>
      </c>
      <c r="S584" t="s">
        <v>563</v>
      </c>
      <c r="T584" t="s">
        <v>27</v>
      </c>
      <c r="U584">
        <v>51</v>
      </c>
      <c r="V584">
        <v>1.1000000000000001</v>
      </c>
      <c r="W584" t="s">
        <v>28</v>
      </c>
      <c r="X584" t="s">
        <v>68</v>
      </c>
    </row>
    <row r="585" spans="1:24" x14ac:dyDescent="0.3">
      <c r="A585" t="s">
        <v>1863</v>
      </c>
      <c r="B585" t="s">
        <v>126</v>
      </c>
      <c r="C585" t="s">
        <v>31</v>
      </c>
      <c r="D585" t="str">
        <f t="shared" si="27"/>
        <v>Morning</v>
      </c>
      <c r="E585">
        <f>HOUR(EV_Data[[#This Row],[Charging Start Time]])</f>
        <v>7</v>
      </c>
      <c r="F585" s="1">
        <v>44951.291666666664</v>
      </c>
      <c r="G585" s="1">
        <v>44951.309027777781</v>
      </c>
      <c r="H585">
        <v>25</v>
      </c>
      <c r="I585">
        <v>35.17</v>
      </c>
      <c r="J585" t="str">
        <f t="shared" si="28"/>
        <v>Medium</v>
      </c>
      <c r="K585" t="s">
        <v>50</v>
      </c>
      <c r="L585">
        <v>29</v>
      </c>
      <c r="M585">
        <v>43</v>
      </c>
      <c r="N585" t="str">
        <f t="shared" si="29"/>
        <v>Low Cost</v>
      </c>
      <c r="O585">
        <v>7.99</v>
      </c>
      <c r="P585" t="s">
        <v>33</v>
      </c>
      <c r="Q585" t="s">
        <v>24</v>
      </c>
      <c r="R585" t="s">
        <v>56</v>
      </c>
      <c r="S585" t="s">
        <v>564</v>
      </c>
      <c r="T585" t="s">
        <v>46</v>
      </c>
      <c r="U585">
        <v>54</v>
      </c>
      <c r="V585">
        <v>1.2</v>
      </c>
      <c r="W585" t="s">
        <v>28</v>
      </c>
      <c r="X585" t="s">
        <v>68</v>
      </c>
    </row>
    <row r="586" spans="1:24" x14ac:dyDescent="0.3">
      <c r="A586" t="s">
        <v>1864</v>
      </c>
      <c r="B586" t="s">
        <v>20</v>
      </c>
      <c r="C586" t="s">
        <v>21</v>
      </c>
      <c r="D586" t="str">
        <f t="shared" si="27"/>
        <v>Morning</v>
      </c>
      <c r="E586">
        <f>HOUR(EV_Data[[#This Row],[Charging Start Time]])</f>
        <v>8</v>
      </c>
      <c r="F586" s="1">
        <v>44951.333333333336</v>
      </c>
      <c r="G586" s="1">
        <v>44951.361111111109</v>
      </c>
      <c r="H586">
        <v>40</v>
      </c>
      <c r="I586">
        <v>37.049999999999997</v>
      </c>
      <c r="J586" t="str">
        <f t="shared" si="28"/>
        <v>Medium</v>
      </c>
      <c r="K586" t="s">
        <v>42</v>
      </c>
      <c r="L586">
        <v>66</v>
      </c>
      <c r="M586">
        <v>100</v>
      </c>
      <c r="N586" t="str">
        <f t="shared" si="29"/>
        <v>Medium Cost</v>
      </c>
      <c r="O586">
        <v>16.32</v>
      </c>
      <c r="P586" t="s">
        <v>51</v>
      </c>
      <c r="Q586" t="s">
        <v>24</v>
      </c>
      <c r="R586" t="s">
        <v>56</v>
      </c>
      <c r="S586" t="s">
        <v>565</v>
      </c>
      <c r="T586" t="s">
        <v>46</v>
      </c>
      <c r="U586">
        <v>84</v>
      </c>
      <c r="V586">
        <v>1.9</v>
      </c>
      <c r="W586" t="s">
        <v>28</v>
      </c>
      <c r="X586" t="s">
        <v>68</v>
      </c>
    </row>
    <row r="587" spans="1:24" x14ac:dyDescent="0.3">
      <c r="A587" t="s">
        <v>1865</v>
      </c>
      <c r="B587" t="s">
        <v>40</v>
      </c>
      <c r="C587" t="s">
        <v>41</v>
      </c>
      <c r="D587" t="str">
        <f t="shared" si="27"/>
        <v>Morning</v>
      </c>
      <c r="E587">
        <f>HOUR(EV_Data[[#This Row],[Charging Start Time]])</f>
        <v>9</v>
      </c>
      <c r="F587" s="1">
        <v>44951.375</v>
      </c>
      <c r="G587" s="1">
        <v>44951.452777777777</v>
      </c>
      <c r="H587">
        <v>112</v>
      </c>
      <c r="I587">
        <v>6.42</v>
      </c>
      <c r="J587" t="str">
        <f t="shared" si="28"/>
        <v>Low</v>
      </c>
      <c r="K587" t="s">
        <v>50</v>
      </c>
      <c r="L587">
        <v>69</v>
      </c>
      <c r="M587">
        <v>100</v>
      </c>
      <c r="N587" t="str">
        <f t="shared" si="29"/>
        <v>Low Cost</v>
      </c>
      <c r="O587">
        <v>3.19</v>
      </c>
      <c r="P587" t="s">
        <v>23</v>
      </c>
      <c r="Q587" t="s">
        <v>58</v>
      </c>
      <c r="R587" t="s">
        <v>25</v>
      </c>
      <c r="S587" t="s">
        <v>566</v>
      </c>
      <c r="T587" t="s">
        <v>60</v>
      </c>
      <c r="U587">
        <v>80</v>
      </c>
      <c r="V587">
        <v>3.9</v>
      </c>
      <c r="W587" t="s">
        <v>28</v>
      </c>
      <c r="X587" t="s">
        <v>68</v>
      </c>
    </row>
    <row r="588" spans="1:24" x14ac:dyDescent="0.3">
      <c r="A588" t="s">
        <v>1866</v>
      </c>
      <c r="B588" t="s">
        <v>40</v>
      </c>
      <c r="C588" t="s">
        <v>41</v>
      </c>
      <c r="D588" t="str">
        <f t="shared" si="27"/>
        <v>Morning</v>
      </c>
      <c r="E588">
        <f>HOUR(EV_Data[[#This Row],[Charging Start Time]])</f>
        <v>10</v>
      </c>
      <c r="F588" s="1">
        <v>44951.416666666664</v>
      </c>
      <c r="G588" s="1">
        <v>44951.433333333327</v>
      </c>
      <c r="H588">
        <v>24</v>
      </c>
      <c r="I588">
        <v>42.79</v>
      </c>
      <c r="J588" t="str">
        <f t="shared" si="28"/>
        <v>Medium</v>
      </c>
      <c r="K588" t="s">
        <v>55</v>
      </c>
      <c r="L588">
        <v>12</v>
      </c>
      <c r="M588">
        <v>43</v>
      </c>
      <c r="N588" t="str">
        <f t="shared" si="29"/>
        <v>High Cost</v>
      </c>
      <c r="O588">
        <v>20.22</v>
      </c>
      <c r="P588" t="s">
        <v>43</v>
      </c>
      <c r="Q588" t="s">
        <v>24</v>
      </c>
      <c r="R588" t="s">
        <v>56</v>
      </c>
      <c r="S588" t="s">
        <v>567</v>
      </c>
      <c r="T588" t="s">
        <v>46</v>
      </c>
      <c r="U588">
        <v>66</v>
      </c>
      <c r="V588">
        <v>4.2</v>
      </c>
      <c r="W588" t="s">
        <v>28</v>
      </c>
      <c r="X588" t="s">
        <v>68</v>
      </c>
    </row>
    <row r="589" spans="1:24" x14ac:dyDescent="0.3">
      <c r="A589" t="s">
        <v>1867</v>
      </c>
      <c r="B589" t="s">
        <v>20</v>
      </c>
      <c r="C589" t="s">
        <v>21</v>
      </c>
      <c r="D589" t="str">
        <f t="shared" si="27"/>
        <v>Morning</v>
      </c>
      <c r="E589">
        <f>HOUR(EV_Data[[#This Row],[Charging Start Time]])</f>
        <v>11</v>
      </c>
      <c r="F589" s="1">
        <v>44951.458333333336</v>
      </c>
      <c r="G589" s="1">
        <v>44951.490277777782</v>
      </c>
      <c r="H589">
        <v>46</v>
      </c>
      <c r="I589">
        <v>25.24</v>
      </c>
      <c r="J589" t="str">
        <f t="shared" si="28"/>
        <v>Medium</v>
      </c>
      <c r="K589" t="s">
        <v>32</v>
      </c>
      <c r="L589">
        <v>6</v>
      </c>
      <c r="M589">
        <v>35</v>
      </c>
      <c r="N589" t="str">
        <f t="shared" si="29"/>
        <v>Medium Cost</v>
      </c>
      <c r="O589">
        <v>9.74</v>
      </c>
      <c r="P589" t="s">
        <v>23</v>
      </c>
      <c r="Q589" t="s">
        <v>58</v>
      </c>
      <c r="R589" t="s">
        <v>56</v>
      </c>
      <c r="S589" t="s">
        <v>568</v>
      </c>
      <c r="T589" t="s">
        <v>27</v>
      </c>
      <c r="U589">
        <v>83</v>
      </c>
      <c r="V589">
        <v>3.6</v>
      </c>
      <c r="W589" t="s">
        <v>38</v>
      </c>
      <c r="X589" t="s">
        <v>39</v>
      </c>
    </row>
    <row r="590" spans="1:24" x14ac:dyDescent="0.3">
      <c r="A590" t="s">
        <v>1868</v>
      </c>
      <c r="B590" t="s">
        <v>53</v>
      </c>
      <c r="C590" t="s">
        <v>54</v>
      </c>
      <c r="D590" t="str">
        <f t="shared" si="27"/>
        <v>Afternoon</v>
      </c>
      <c r="E590">
        <f>HOUR(EV_Data[[#This Row],[Charging Start Time]])</f>
        <v>12</v>
      </c>
      <c r="F590" s="1">
        <v>44951.5</v>
      </c>
      <c r="G590" s="1">
        <v>44951.560416666667</v>
      </c>
      <c r="H590">
        <v>87</v>
      </c>
      <c r="I590">
        <v>30.44</v>
      </c>
      <c r="J590" t="str">
        <f t="shared" si="28"/>
        <v>Medium</v>
      </c>
      <c r="K590" t="s">
        <v>55</v>
      </c>
      <c r="L590">
        <v>12</v>
      </c>
      <c r="M590">
        <v>25</v>
      </c>
      <c r="N590" t="str">
        <f t="shared" si="29"/>
        <v>Medium Cost</v>
      </c>
      <c r="O590">
        <v>12.14</v>
      </c>
      <c r="P590" t="s">
        <v>33</v>
      </c>
      <c r="Q590" t="s">
        <v>58</v>
      </c>
      <c r="R590" t="s">
        <v>44</v>
      </c>
      <c r="S590" t="s">
        <v>569</v>
      </c>
      <c r="T590" t="s">
        <v>37</v>
      </c>
      <c r="U590">
        <v>10</v>
      </c>
      <c r="V590">
        <v>4.7</v>
      </c>
      <c r="W590" t="s">
        <v>38</v>
      </c>
      <c r="X590" t="s">
        <v>39</v>
      </c>
    </row>
    <row r="591" spans="1:24" x14ac:dyDescent="0.3">
      <c r="A591" t="s">
        <v>1869</v>
      </c>
      <c r="B591" t="s">
        <v>92</v>
      </c>
      <c r="C591" t="s">
        <v>93</v>
      </c>
      <c r="D591" t="str">
        <f t="shared" si="27"/>
        <v>Afternoon</v>
      </c>
      <c r="E591">
        <f>HOUR(EV_Data[[#This Row],[Charging Start Time]])</f>
        <v>13</v>
      </c>
      <c r="F591" s="1">
        <v>44951.541666666664</v>
      </c>
      <c r="G591" s="1">
        <v>44951.57708333333</v>
      </c>
      <c r="H591">
        <v>51</v>
      </c>
      <c r="I591">
        <v>46.47</v>
      </c>
      <c r="J591" t="str">
        <f t="shared" si="28"/>
        <v>Medium</v>
      </c>
      <c r="K591" t="s">
        <v>55</v>
      </c>
      <c r="L591">
        <v>52</v>
      </c>
      <c r="M591">
        <v>77</v>
      </c>
      <c r="N591" t="str">
        <f t="shared" si="29"/>
        <v>Medium Cost</v>
      </c>
      <c r="O591">
        <v>12.24</v>
      </c>
      <c r="P591" t="s">
        <v>33</v>
      </c>
      <c r="Q591" t="s">
        <v>24</v>
      </c>
      <c r="R591" t="s">
        <v>35</v>
      </c>
      <c r="S591" t="s">
        <v>570</v>
      </c>
      <c r="T591" t="s">
        <v>37</v>
      </c>
      <c r="U591">
        <v>28</v>
      </c>
      <c r="V591">
        <v>3.3</v>
      </c>
      <c r="W591" t="s">
        <v>28</v>
      </c>
      <c r="X591" t="s">
        <v>68</v>
      </c>
    </row>
    <row r="592" spans="1:24" x14ac:dyDescent="0.3">
      <c r="A592" t="s">
        <v>1870</v>
      </c>
      <c r="B592" t="s">
        <v>53</v>
      </c>
      <c r="C592" t="s">
        <v>54</v>
      </c>
      <c r="D592" t="str">
        <f t="shared" si="27"/>
        <v>Afternoon</v>
      </c>
      <c r="E592">
        <f>HOUR(EV_Data[[#This Row],[Charging Start Time]])</f>
        <v>14</v>
      </c>
      <c r="F592" s="1">
        <v>44951.583333333336</v>
      </c>
      <c r="G592" s="1">
        <v>44951.613888888889</v>
      </c>
      <c r="H592">
        <v>44</v>
      </c>
      <c r="I592">
        <v>30.78</v>
      </c>
      <c r="J592" t="str">
        <f t="shared" si="28"/>
        <v>Medium</v>
      </c>
      <c r="K592" t="s">
        <v>55</v>
      </c>
      <c r="L592">
        <v>30</v>
      </c>
      <c r="M592">
        <v>67</v>
      </c>
      <c r="N592" t="str">
        <f t="shared" si="29"/>
        <v>Low Cost</v>
      </c>
      <c r="O592">
        <v>6.72</v>
      </c>
      <c r="P592" t="s">
        <v>51</v>
      </c>
      <c r="Q592" t="s">
        <v>24</v>
      </c>
      <c r="R592" t="s">
        <v>35</v>
      </c>
      <c r="S592" t="s">
        <v>344</v>
      </c>
      <c r="T592" t="s">
        <v>46</v>
      </c>
      <c r="U592">
        <v>60</v>
      </c>
      <c r="V592">
        <v>4.7</v>
      </c>
      <c r="W592" t="s">
        <v>28</v>
      </c>
      <c r="X592" t="s">
        <v>68</v>
      </c>
    </row>
    <row r="593" spans="1:24" x14ac:dyDescent="0.3">
      <c r="A593" t="s">
        <v>1871</v>
      </c>
      <c r="B593" t="s">
        <v>20</v>
      </c>
      <c r="C593" t="s">
        <v>21</v>
      </c>
      <c r="D593" t="str">
        <f t="shared" si="27"/>
        <v>Afternoon</v>
      </c>
      <c r="E593">
        <f>HOUR(EV_Data[[#This Row],[Charging Start Time]])</f>
        <v>15</v>
      </c>
      <c r="F593" s="1">
        <v>44951.625</v>
      </c>
      <c r="G593" s="1">
        <v>44951.650694444441</v>
      </c>
      <c r="H593">
        <v>37</v>
      </c>
      <c r="I593">
        <v>44.34</v>
      </c>
      <c r="J593" t="str">
        <f t="shared" si="28"/>
        <v>Medium</v>
      </c>
      <c r="K593" t="s">
        <v>22</v>
      </c>
      <c r="L593">
        <v>73</v>
      </c>
      <c r="M593">
        <v>96</v>
      </c>
      <c r="N593" t="str">
        <f t="shared" si="29"/>
        <v>Medium Cost</v>
      </c>
      <c r="O593">
        <v>16.760000000000002</v>
      </c>
      <c r="P593" t="s">
        <v>51</v>
      </c>
      <c r="Q593" t="s">
        <v>24</v>
      </c>
      <c r="R593" t="s">
        <v>35</v>
      </c>
      <c r="S593" t="s">
        <v>118</v>
      </c>
      <c r="T593" t="s">
        <v>46</v>
      </c>
      <c r="U593">
        <v>71</v>
      </c>
      <c r="V593">
        <v>1.5</v>
      </c>
      <c r="W593" t="s">
        <v>47</v>
      </c>
      <c r="X593" t="s">
        <v>29</v>
      </c>
    </row>
    <row r="594" spans="1:24" x14ac:dyDescent="0.3">
      <c r="A594" t="s">
        <v>1872</v>
      </c>
      <c r="B594" t="s">
        <v>126</v>
      </c>
      <c r="C594" t="s">
        <v>31</v>
      </c>
      <c r="D594" t="str">
        <f t="shared" si="27"/>
        <v>Afternoon</v>
      </c>
      <c r="E594">
        <f>HOUR(EV_Data[[#This Row],[Charging Start Time]])</f>
        <v>16</v>
      </c>
      <c r="F594" s="1">
        <v>44951.666666666664</v>
      </c>
      <c r="G594" s="1">
        <v>44951.719444444447</v>
      </c>
      <c r="H594">
        <v>76</v>
      </c>
      <c r="I594">
        <v>12.48</v>
      </c>
      <c r="J594" t="str">
        <f t="shared" si="28"/>
        <v>Low</v>
      </c>
      <c r="K594" t="s">
        <v>42</v>
      </c>
      <c r="L594">
        <v>42</v>
      </c>
      <c r="M594">
        <v>74</v>
      </c>
      <c r="N594" t="str">
        <f t="shared" si="29"/>
        <v>Low Cost</v>
      </c>
      <c r="O594">
        <v>3.29</v>
      </c>
      <c r="P594" t="s">
        <v>64</v>
      </c>
      <c r="Q594" t="s">
        <v>58</v>
      </c>
      <c r="R594" t="s">
        <v>35</v>
      </c>
      <c r="S594" t="s">
        <v>571</v>
      </c>
      <c r="T594" t="s">
        <v>37</v>
      </c>
      <c r="U594">
        <v>61</v>
      </c>
      <c r="V594">
        <v>2.2000000000000002</v>
      </c>
      <c r="W594" t="s">
        <v>28</v>
      </c>
      <c r="X594" t="s">
        <v>68</v>
      </c>
    </row>
    <row r="595" spans="1:24" x14ac:dyDescent="0.3">
      <c r="A595" t="s">
        <v>1873</v>
      </c>
      <c r="B595" t="s">
        <v>30</v>
      </c>
      <c r="C595" t="s">
        <v>102</v>
      </c>
      <c r="D595" t="str">
        <f t="shared" si="27"/>
        <v>Evening</v>
      </c>
      <c r="E595">
        <f>HOUR(EV_Data[[#This Row],[Charging Start Time]])</f>
        <v>17</v>
      </c>
      <c r="F595" s="1">
        <v>44951.708333333336</v>
      </c>
      <c r="G595" s="1">
        <v>44951.789583333331</v>
      </c>
      <c r="H595">
        <v>117</v>
      </c>
      <c r="I595">
        <v>47.4</v>
      </c>
      <c r="J595" t="str">
        <f t="shared" si="28"/>
        <v>Medium</v>
      </c>
      <c r="K595" t="s">
        <v>22</v>
      </c>
      <c r="L595">
        <v>36</v>
      </c>
      <c r="M595">
        <v>60</v>
      </c>
      <c r="N595" t="str">
        <f t="shared" si="29"/>
        <v>Medium Cost</v>
      </c>
      <c r="O595">
        <v>14.3</v>
      </c>
      <c r="P595" t="s">
        <v>64</v>
      </c>
      <c r="Q595" t="s">
        <v>24</v>
      </c>
      <c r="R595" t="s">
        <v>44</v>
      </c>
      <c r="S595" t="s">
        <v>572</v>
      </c>
      <c r="T595" t="s">
        <v>27</v>
      </c>
      <c r="U595">
        <v>64</v>
      </c>
      <c r="V595">
        <v>4.9000000000000004</v>
      </c>
      <c r="W595" t="s">
        <v>47</v>
      </c>
      <c r="X595" t="s">
        <v>29</v>
      </c>
    </row>
    <row r="596" spans="1:24" x14ac:dyDescent="0.3">
      <c r="A596" t="s">
        <v>1874</v>
      </c>
      <c r="B596" t="s">
        <v>40</v>
      </c>
      <c r="C596" t="s">
        <v>41</v>
      </c>
      <c r="D596" t="str">
        <f t="shared" si="27"/>
        <v>Evening</v>
      </c>
      <c r="E596">
        <f>HOUR(EV_Data[[#This Row],[Charging Start Time]])</f>
        <v>18</v>
      </c>
      <c r="F596" s="1">
        <v>44951.75</v>
      </c>
      <c r="G596" s="1">
        <v>44951.750694444447</v>
      </c>
      <c r="H596">
        <v>1</v>
      </c>
      <c r="I596">
        <v>27.22</v>
      </c>
      <c r="J596" t="str">
        <f t="shared" si="28"/>
        <v>Medium</v>
      </c>
      <c r="K596" t="s">
        <v>50</v>
      </c>
      <c r="L596">
        <v>47</v>
      </c>
      <c r="M596">
        <v>64</v>
      </c>
      <c r="N596" t="str">
        <f t="shared" si="29"/>
        <v>Medium Cost</v>
      </c>
      <c r="O596">
        <v>10.199999999999999</v>
      </c>
      <c r="P596" t="s">
        <v>51</v>
      </c>
      <c r="Q596" t="s">
        <v>34</v>
      </c>
      <c r="R596" t="s">
        <v>44</v>
      </c>
      <c r="S596" t="s">
        <v>346</v>
      </c>
      <c r="T596" t="s">
        <v>46</v>
      </c>
      <c r="U596">
        <v>63</v>
      </c>
      <c r="V596">
        <v>4.8</v>
      </c>
      <c r="W596" t="s">
        <v>28</v>
      </c>
      <c r="X596" t="s">
        <v>68</v>
      </c>
    </row>
    <row r="597" spans="1:24" x14ac:dyDescent="0.3">
      <c r="A597" t="s">
        <v>1875</v>
      </c>
      <c r="B597" t="s">
        <v>77</v>
      </c>
      <c r="C597" t="s">
        <v>78</v>
      </c>
      <c r="D597" t="str">
        <f t="shared" si="27"/>
        <v>Evening</v>
      </c>
      <c r="E597">
        <f>HOUR(EV_Data[[#This Row],[Charging Start Time]])</f>
        <v>19</v>
      </c>
      <c r="F597" s="1">
        <v>44951.791666666664</v>
      </c>
      <c r="G597" s="1">
        <v>44951.820138888892</v>
      </c>
      <c r="H597">
        <v>41</v>
      </c>
      <c r="I597">
        <v>20.93</v>
      </c>
      <c r="J597" t="str">
        <f t="shared" si="28"/>
        <v>Medium</v>
      </c>
      <c r="K597" t="s">
        <v>69</v>
      </c>
      <c r="L597">
        <v>35</v>
      </c>
      <c r="M597">
        <v>53</v>
      </c>
      <c r="N597" t="str">
        <f t="shared" si="29"/>
        <v>Low Cost</v>
      </c>
      <c r="O597">
        <v>6.61</v>
      </c>
      <c r="P597" t="s">
        <v>23</v>
      </c>
      <c r="Q597" t="s">
        <v>58</v>
      </c>
      <c r="R597" t="s">
        <v>35</v>
      </c>
      <c r="S597" t="s">
        <v>321</v>
      </c>
      <c r="T597" t="s">
        <v>46</v>
      </c>
      <c r="U597">
        <v>82</v>
      </c>
      <c r="V597">
        <v>1.3</v>
      </c>
      <c r="W597" t="s">
        <v>28</v>
      </c>
      <c r="X597" t="s">
        <v>68</v>
      </c>
    </row>
    <row r="598" spans="1:24" x14ac:dyDescent="0.3">
      <c r="A598" t="s">
        <v>1876</v>
      </c>
      <c r="B598" t="s">
        <v>53</v>
      </c>
      <c r="C598" t="s">
        <v>54</v>
      </c>
      <c r="D598" t="str">
        <f t="shared" si="27"/>
        <v>Evening</v>
      </c>
      <c r="E598">
        <f>HOUR(EV_Data[[#This Row],[Charging Start Time]])</f>
        <v>20</v>
      </c>
      <c r="F598" s="1">
        <v>44951.833333333336</v>
      </c>
      <c r="G598" s="1">
        <v>44951.882638888892</v>
      </c>
      <c r="H598">
        <v>71</v>
      </c>
      <c r="I598">
        <v>32.020000000000003</v>
      </c>
      <c r="J598" t="str">
        <f t="shared" si="28"/>
        <v>Medium</v>
      </c>
      <c r="K598" t="s">
        <v>22</v>
      </c>
      <c r="L598">
        <v>33</v>
      </c>
      <c r="M598">
        <v>51</v>
      </c>
      <c r="N598" t="str">
        <f t="shared" si="29"/>
        <v>Medium Cost</v>
      </c>
      <c r="O598">
        <v>15.77</v>
      </c>
      <c r="P598" t="s">
        <v>43</v>
      </c>
      <c r="Q598" t="s">
        <v>58</v>
      </c>
      <c r="R598" t="s">
        <v>25</v>
      </c>
      <c r="S598" t="s">
        <v>573</v>
      </c>
      <c r="T598" t="s">
        <v>37</v>
      </c>
      <c r="U598">
        <v>100</v>
      </c>
      <c r="V598">
        <v>1.4</v>
      </c>
      <c r="W598" t="s">
        <v>28</v>
      </c>
      <c r="X598" t="s">
        <v>68</v>
      </c>
    </row>
    <row r="599" spans="1:24" x14ac:dyDescent="0.3">
      <c r="A599" t="s">
        <v>1877</v>
      </c>
      <c r="B599" t="s">
        <v>40</v>
      </c>
      <c r="C599" t="s">
        <v>41</v>
      </c>
      <c r="D599" t="str">
        <f t="shared" si="27"/>
        <v>Evening</v>
      </c>
      <c r="E599">
        <f>HOUR(EV_Data[[#This Row],[Charging Start Time]])</f>
        <v>21</v>
      </c>
      <c r="F599" s="1">
        <v>44951.875</v>
      </c>
      <c r="G599" s="1">
        <v>44951.927083333343</v>
      </c>
      <c r="H599">
        <v>75</v>
      </c>
      <c r="I599">
        <v>45.86</v>
      </c>
      <c r="J599" t="str">
        <f t="shared" si="28"/>
        <v>Medium</v>
      </c>
      <c r="K599" t="s">
        <v>69</v>
      </c>
      <c r="L599">
        <v>59</v>
      </c>
      <c r="M599">
        <v>81</v>
      </c>
      <c r="N599" t="str">
        <f t="shared" si="29"/>
        <v>Medium Cost</v>
      </c>
      <c r="O599">
        <v>10.65</v>
      </c>
      <c r="P599" t="s">
        <v>51</v>
      </c>
      <c r="Q599" t="s">
        <v>58</v>
      </c>
      <c r="R599" t="s">
        <v>44</v>
      </c>
      <c r="S599" t="s">
        <v>574</v>
      </c>
      <c r="T599" t="s">
        <v>37</v>
      </c>
      <c r="U599">
        <v>24</v>
      </c>
      <c r="V599">
        <v>3.4</v>
      </c>
      <c r="W599" t="s">
        <v>47</v>
      </c>
      <c r="X599" t="s">
        <v>29</v>
      </c>
    </row>
    <row r="600" spans="1:24" x14ac:dyDescent="0.3">
      <c r="A600" t="s">
        <v>1878</v>
      </c>
      <c r="B600" t="s">
        <v>126</v>
      </c>
      <c r="C600" t="s">
        <v>31</v>
      </c>
      <c r="D600" t="str">
        <f t="shared" si="27"/>
        <v>Evening</v>
      </c>
      <c r="E600">
        <f>HOUR(EV_Data[[#This Row],[Charging Start Time]])</f>
        <v>22</v>
      </c>
      <c r="F600" s="1">
        <v>44951.916666666664</v>
      </c>
      <c r="G600" s="1">
        <v>44951.95416666667</v>
      </c>
      <c r="H600">
        <v>54</v>
      </c>
      <c r="I600">
        <v>7.9</v>
      </c>
      <c r="J600" t="str">
        <f t="shared" si="28"/>
        <v>Low</v>
      </c>
      <c r="K600" t="s">
        <v>32</v>
      </c>
      <c r="L600">
        <v>59</v>
      </c>
      <c r="M600">
        <v>99</v>
      </c>
      <c r="N600" t="str">
        <f t="shared" si="29"/>
        <v>Low Cost</v>
      </c>
      <c r="O600">
        <v>3.04</v>
      </c>
      <c r="P600" t="s">
        <v>23</v>
      </c>
      <c r="Q600" t="s">
        <v>58</v>
      </c>
      <c r="R600" t="s">
        <v>44</v>
      </c>
      <c r="S600" t="s">
        <v>143</v>
      </c>
      <c r="T600" t="s">
        <v>46</v>
      </c>
      <c r="U600">
        <v>9</v>
      </c>
      <c r="V600">
        <v>4.8</v>
      </c>
      <c r="W600" t="s">
        <v>38</v>
      </c>
      <c r="X600" t="s">
        <v>85</v>
      </c>
    </row>
    <row r="601" spans="1:24" x14ac:dyDescent="0.3">
      <c r="A601" t="s">
        <v>1879</v>
      </c>
      <c r="B601" t="s">
        <v>53</v>
      </c>
      <c r="C601" t="s">
        <v>54</v>
      </c>
      <c r="D601" t="str">
        <f t="shared" si="27"/>
        <v>Evening</v>
      </c>
      <c r="E601">
        <f>HOUR(EV_Data[[#This Row],[Charging Start Time]])</f>
        <v>23</v>
      </c>
      <c r="F601" s="1">
        <v>44951.958333333336</v>
      </c>
      <c r="G601" s="1">
        <v>44951.990972222222</v>
      </c>
      <c r="H601">
        <v>47</v>
      </c>
      <c r="I601">
        <v>38.520000000000003</v>
      </c>
      <c r="J601" t="str">
        <f t="shared" si="28"/>
        <v>Medium</v>
      </c>
      <c r="K601" t="s">
        <v>55</v>
      </c>
      <c r="L601">
        <v>23</v>
      </c>
      <c r="M601">
        <v>37</v>
      </c>
      <c r="N601" t="str">
        <f t="shared" si="29"/>
        <v>High Cost</v>
      </c>
      <c r="O601">
        <v>17.97</v>
      </c>
      <c r="P601" t="s">
        <v>43</v>
      </c>
      <c r="Q601" t="s">
        <v>48</v>
      </c>
      <c r="R601" t="s">
        <v>56</v>
      </c>
      <c r="S601" t="s">
        <v>575</v>
      </c>
      <c r="T601" t="s">
        <v>27</v>
      </c>
      <c r="U601">
        <v>34</v>
      </c>
      <c r="V601">
        <v>2.4</v>
      </c>
      <c r="W601" t="s">
        <v>38</v>
      </c>
      <c r="X601" t="s">
        <v>83</v>
      </c>
    </row>
    <row r="602" spans="1:24" x14ac:dyDescent="0.3">
      <c r="A602" t="s">
        <v>1880</v>
      </c>
      <c r="B602" t="s">
        <v>20</v>
      </c>
      <c r="C602" t="s">
        <v>21</v>
      </c>
      <c r="D602" t="str">
        <f t="shared" si="27"/>
        <v>Morning</v>
      </c>
      <c r="E602">
        <f>HOUR(EV_Data[[#This Row],[Charging Start Time]])</f>
        <v>0</v>
      </c>
      <c r="F602" s="1">
        <v>44952</v>
      </c>
      <c r="G602" s="1">
        <v>44952.036805555559</v>
      </c>
      <c r="H602">
        <v>53</v>
      </c>
      <c r="I602">
        <v>26.21</v>
      </c>
      <c r="J602" t="str">
        <f t="shared" si="28"/>
        <v>Medium</v>
      </c>
      <c r="K602" t="s">
        <v>50</v>
      </c>
      <c r="L602">
        <v>44</v>
      </c>
      <c r="M602">
        <v>60</v>
      </c>
      <c r="N602" t="str">
        <f t="shared" si="29"/>
        <v>Medium Cost</v>
      </c>
      <c r="O602">
        <v>9.68</v>
      </c>
      <c r="P602" t="s">
        <v>23</v>
      </c>
      <c r="Q602" t="s">
        <v>58</v>
      </c>
      <c r="R602" t="s">
        <v>56</v>
      </c>
      <c r="S602" t="s">
        <v>576</v>
      </c>
      <c r="T602" t="s">
        <v>46</v>
      </c>
      <c r="U602">
        <v>88</v>
      </c>
      <c r="V602">
        <v>4.7</v>
      </c>
      <c r="W602" t="s">
        <v>47</v>
      </c>
      <c r="X602" t="s">
        <v>29</v>
      </c>
    </row>
    <row r="603" spans="1:24" x14ac:dyDescent="0.3">
      <c r="A603" t="s">
        <v>1881</v>
      </c>
      <c r="B603" t="s">
        <v>40</v>
      </c>
      <c r="C603" t="s">
        <v>41</v>
      </c>
      <c r="D603" t="str">
        <f t="shared" si="27"/>
        <v>Morning</v>
      </c>
      <c r="E603">
        <f>HOUR(EV_Data[[#This Row],[Charging Start Time]])</f>
        <v>1</v>
      </c>
      <c r="F603" s="1">
        <v>44952.041666666664</v>
      </c>
      <c r="G603" s="1">
        <v>44952.095833333333</v>
      </c>
      <c r="H603">
        <v>78</v>
      </c>
      <c r="I603">
        <v>20.86</v>
      </c>
      <c r="J603" t="str">
        <f t="shared" si="28"/>
        <v>Medium</v>
      </c>
      <c r="K603" t="s">
        <v>32</v>
      </c>
      <c r="L603">
        <v>73</v>
      </c>
      <c r="M603">
        <v>86</v>
      </c>
      <c r="N603" t="str">
        <f t="shared" si="29"/>
        <v>Medium Cost</v>
      </c>
      <c r="O603">
        <v>8.4</v>
      </c>
      <c r="P603" t="s">
        <v>33</v>
      </c>
      <c r="Q603" t="s">
        <v>48</v>
      </c>
      <c r="R603" t="s">
        <v>44</v>
      </c>
      <c r="S603" t="s">
        <v>577</v>
      </c>
      <c r="T603" t="s">
        <v>60</v>
      </c>
      <c r="U603">
        <v>51</v>
      </c>
      <c r="V603">
        <v>4.3</v>
      </c>
      <c r="W603" t="s">
        <v>28</v>
      </c>
      <c r="X603" t="s">
        <v>68</v>
      </c>
    </row>
    <row r="604" spans="1:24" x14ac:dyDescent="0.3">
      <c r="A604" t="s">
        <v>1882</v>
      </c>
      <c r="B604" t="s">
        <v>20</v>
      </c>
      <c r="C604" t="s">
        <v>21</v>
      </c>
      <c r="D604" t="str">
        <f t="shared" si="27"/>
        <v>Morning</v>
      </c>
      <c r="E604">
        <f>HOUR(EV_Data[[#This Row],[Charging Start Time]])</f>
        <v>2</v>
      </c>
      <c r="F604" s="1">
        <v>44952.083333333336</v>
      </c>
      <c r="G604" s="1">
        <v>44952.118750000001</v>
      </c>
      <c r="H604">
        <v>51</v>
      </c>
      <c r="I604">
        <v>41.61</v>
      </c>
      <c r="J604" t="str">
        <f t="shared" si="28"/>
        <v>Medium</v>
      </c>
      <c r="K604" t="s">
        <v>69</v>
      </c>
      <c r="L604">
        <v>67</v>
      </c>
      <c r="M604">
        <v>100</v>
      </c>
      <c r="N604" t="str">
        <f t="shared" si="29"/>
        <v>Medium Cost</v>
      </c>
      <c r="O604">
        <v>16.68</v>
      </c>
      <c r="P604" t="s">
        <v>23</v>
      </c>
      <c r="Q604" t="s">
        <v>34</v>
      </c>
      <c r="R604" t="s">
        <v>56</v>
      </c>
      <c r="S604" t="s">
        <v>295</v>
      </c>
      <c r="T604" t="s">
        <v>37</v>
      </c>
      <c r="U604">
        <v>77</v>
      </c>
      <c r="V604">
        <v>3.4</v>
      </c>
      <c r="W604" t="s">
        <v>47</v>
      </c>
      <c r="X604" t="s">
        <v>29</v>
      </c>
    </row>
    <row r="605" spans="1:24" x14ac:dyDescent="0.3">
      <c r="A605" t="s">
        <v>1883</v>
      </c>
      <c r="B605" t="s">
        <v>20</v>
      </c>
      <c r="C605" t="s">
        <v>21</v>
      </c>
      <c r="D605" t="str">
        <f t="shared" si="27"/>
        <v>Morning</v>
      </c>
      <c r="E605">
        <f>HOUR(EV_Data[[#This Row],[Charging Start Time]])</f>
        <v>3</v>
      </c>
      <c r="F605" s="1">
        <v>44952.125</v>
      </c>
      <c r="G605" s="1">
        <v>44952.160416666673</v>
      </c>
      <c r="H605">
        <v>51</v>
      </c>
      <c r="I605">
        <v>15.03</v>
      </c>
      <c r="J605" t="str">
        <f t="shared" si="28"/>
        <v>Low</v>
      </c>
      <c r="K605" t="s">
        <v>55</v>
      </c>
      <c r="L605">
        <v>18</v>
      </c>
      <c r="M605">
        <v>56</v>
      </c>
      <c r="N605" t="str">
        <f t="shared" si="29"/>
        <v>Low Cost</v>
      </c>
      <c r="O605">
        <v>6.87</v>
      </c>
      <c r="P605" t="s">
        <v>33</v>
      </c>
      <c r="Q605" t="s">
        <v>34</v>
      </c>
      <c r="R605" t="s">
        <v>35</v>
      </c>
      <c r="S605" t="s">
        <v>578</v>
      </c>
      <c r="T605" t="s">
        <v>46</v>
      </c>
      <c r="U605">
        <v>21</v>
      </c>
      <c r="V605">
        <v>1.2</v>
      </c>
      <c r="W605" t="s">
        <v>28</v>
      </c>
      <c r="X605" t="s">
        <v>68</v>
      </c>
    </row>
    <row r="606" spans="1:24" x14ac:dyDescent="0.3">
      <c r="A606" t="s">
        <v>1884</v>
      </c>
      <c r="B606" t="s">
        <v>77</v>
      </c>
      <c r="C606" t="s">
        <v>78</v>
      </c>
      <c r="D606" t="str">
        <f t="shared" si="27"/>
        <v>Morning</v>
      </c>
      <c r="E606">
        <f>HOUR(EV_Data[[#This Row],[Charging Start Time]])</f>
        <v>4</v>
      </c>
      <c r="F606" s="1">
        <v>44952.166666666664</v>
      </c>
      <c r="G606" s="1">
        <v>44952.206250000003</v>
      </c>
      <c r="H606">
        <v>57</v>
      </c>
      <c r="I606">
        <v>24.21</v>
      </c>
      <c r="J606" t="str">
        <f t="shared" si="28"/>
        <v>Medium</v>
      </c>
      <c r="K606" t="s">
        <v>32</v>
      </c>
      <c r="L606">
        <v>45</v>
      </c>
      <c r="M606">
        <v>78</v>
      </c>
      <c r="N606" t="str">
        <f t="shared" si="29"/>
        <v>Low Cost</v>
      </c>
      <c r="O606">
        <v>6.4</v>
      </c>
      <c r="P606" t="s">
        <v>51</v>
      </c>
      <c r="Q606" t="s">
        <v>48</v>
      </c>
      <c r="R606" t="s">
        <v>56</v>
      </c>
      <c r="S606" t="s">
        <v>579</v>
      </c>
      <c r="T606" t="s">
        <v>60</v>
      </c>
      <c r="U606">
        <v>69</v>
      </c>
      <c r="V606">
        <v>4.8</v>
      </c>
      <c r="W606" t="s">
        <v>47</v>
      </c>
      <c r="X606" t="s">
        <v>29</v>
      </c>
    </row>
    <row r="607" spans="1:24" x14ac:dyDescent="0.3">
      <c r="A607" t="s">
        <v>1885</v>
      </c>
      <c r="B607" t="s">
        <v>71</v>
      </c>
      <c r="C607" t="s">
        <v>72</v>
      </c>
      <c r="D607" t="str">
        <f t="shared" si="27"/>
        <v>Morning</v>
      </c>
      <c r="E607">
        <f>HOUR(EV_Data[[#This Row],[Charging Start Time]])</f>
        <v>5</v>
      </c>
      <c r="F607" s="1">
        <v>44952.208333333336</v>
      </c>
      <c r="G607" s="1">
        <v>44952.230555555558</v>
      </c>
      <c r="H607">
        <v>32</v>
      </c>
      <c r="I607">
        <v>31.91</v>
      </c>
      <c r="J607" t="str">
        <f t="shared" si="28"/>
        <v>Medium</v>
      </c>
      <c r="K607" t="s">
        <v>22</v>
      </c>
      <c r="L607">
        <v>45</v>
      </c>
      <c r="M607">
        <v>68</v>
      </c>
      <c r="N607" t="str">
        <f t="shared" si="29"/>
        <v>Medium Cost</v>
      </c>
      <c r="O607">
        <v>13.58</v>
      </c>
      <c r="P607" t="s">
        <v>51</v>
      </c>
      <c r="Q607" t="s">
        <v>48</v>
      </c>
      <c r="R607" t="s">
        <v>56</v>
      </c>
      <c r="S607" t="s">
        <v>580</v>
      </c>
      <c r="T607" t="s">
        <v>60</v>
      </c>
      <c r="U607">
        <v>44</v>
      </c>
      <c r="V607">
        <v>3.9</v>
      </c>
      <c r="W607" t="s">
        <v>47</v>
      </c>
      <c r="X607" t="s">
        <v>29</v>
      </c>
    </row>
    <row r="608" spans="1:24" x14ac:dyDescent="0.3">
      <c r="A608" t="s">
        <v>1886</v>
      </c>
      <c r="B608" t="s">
        <v>71</v>
      </c>
      <c r="C608" t="s">
        <v>72</v>
      </c>
      <c r="D608" t="str">
        <f t="shared" si="27"/>
        <v>Morning</v>
      </c>
      <c r="E608">
        <f>HOUR(EV_Data[[#This Row],[Charging Start Time]])</f>
        <v>6</v>
      </c>
      <c r="F608" s="1">
        <v>44952.25</v>
      </c>
      <c r="G608" s="1">
        <v>44952.277083333327</v>
      </c>
      <c r="H608">
        <v>39</v>
      </c>
      <c r="I608">
        <v>30.89</v>
      </c>
      <c r="J608" t="str">
        <f t="shared" si="28"/>
        <v>Medium</v>
      </c>
      <c r="K608" t="s">
        <v>55</v>
      </c>
      <c r="L608">
        <v>37</v>
      </c>
      <c r="M608">
        <v>54</v>
      </c>
      <c r="N608" t="str">
        <f t="shared" si="29"/>
        <v>Medium Cost</v>
      </c>
      <c r="O608">
        <v>13.69</v>
      </c>
      <c r="P608" t="s">
        <v>43</v>
      </c>
      <c r="Q608" t="s">
        <v>34</v>
      </c>
      <c r="R608" t="s">
        <v>56</v>
      </c>
      <c r="S608" t="s">
        <v>428</v>
      </c>
      <c r="T608" t="s">
        <v>27</v>
      </c>
      <c r="U608">
        <v>71</v>
      </c>
      <c r="V608">
        <v>4.3</v>
      </c>
      <c r="W608" t="s">
        <v>38</v>
      </c>
      <c r="X608" t="s">
        <v>85</v>
      </c>
    </row>
    <row r="609" spans="1:24" x14ac:dyDescent="0.3">
      <c r="A609" t="s">
        <v>1887</v>
      </c>
      <c r="B609" t="s">
        <v>92</v>
      </c>
      <c r="C609" t="s">
        <v>93</v>
      </c>
      <c r="D609" t="str">
        <f t="shared" si="27"/>
        <v>Morning</v>
      </c>
      <c r="E609">
        <f>HOUR(EV_Data[[#This Row],[Charging Start Time]])</f>
        <v>7</v>
      </c>
      <c r="F609" s="1">
        <v>44952.291666666664</v>
      </c>
      <c r="G609" s="1">
        <v>44952.318055555559</v>
      </c>
      <c r="H609">
        <v>38</v>
      </c>
      <c r="I609">
        <v>9.36</v>
      </c>
      <c r="J609" t="str">
        <f t="shared" si="28"/>
        <v>Low</v>
      </c>
      <c r="K609" t="s">
        <v>42</v>
      </c>
      <c r="L609">
        <v>69</v>
      </c>
      <c r="M609">
        <v>100</v>
      </c>
      <c r="N609" t="str">
        <f t="shared" si="29"/>
        <v>Low Cost</v>
      </c>
      <c r="O609">
        <v>2.57</v>
      </c>
      <c r="P609" t="s">
        <v>51</v>
      </c>
      <c r="Q609" t="s">
        <v>58</v>
      </c>
      <c r="R609" t="s">
        <v>44</v>
      </c>
      <c r="S609" t="s">
        <v>581</v>
      </c>
      <c r="T609" t="s">
        <v>60</v>
      </c>
      <c r="U609">
        <v>55</v>
      </c>
      <c r="V609">
        <v>4.3</v>
      </c>
      <c r="W609" t="s">
        <v>47</v>
      </c>
      <c r="X609" t="s">
        <v>29</v>
      </c>
    </row>
    <row r="610" spans="1:24" x14ac:dyDescent="0.3">
      <c r="A610" t="s">
        <v>1888</v>
      </c>
      <c r="B610" t="s">
        <v>53</v>
      </c>
      <c r="C610" t="s">
        <v>54</v>
      </c>
      <c r="D610" t="str">
        <f t="shared" si="27"/>
        <v>Morning</v>
      </c>
      <c r="E610">
        <f>HOUR(EV_Data[[#This Row],[Charging Start Time]])</f>
        <v>8</v>
      </c>
      <c r="F610" s="1">
        <v>44952.333333333336</v>
      </c>
      <c r="G610" s="1">
        <v>44952.370833333327</v>
      </c>
      <c r="H610">
        <v>54</v>
      </c>
      <c r="I610">
        <v>18.46</v>
      </c>
      <c r="J610" t="str">
        <f t="shared" si="28"/>
        <v>Low</v>
      </c>
      <c r="K610" t="s">
        <v>55</v>
      </c>
      <c r="L610">
        <v>15</v>
      </c>
      <c r="M610">
        <v>32</v>
      </c>
      <c r="N610" t="str">
        <f t="shared" si="29"/>
        <v>Medium Cost</v>
      </c>
      <c r="O610">
        <v>8.1999999999999993</v>
      </c>
      <c r="P610" t="s">
        <v>51</v>
      </c>
      <c r="Q610" t="s">
        <v>34</v>
      </c>
      <c r="R610" t="s">
        <v>56</v>
      </c>
      <c r="S610" t="s">
        <v>257</v>
      </c>
      <c r="T610" t="s">
        <v>60</v>
      </c>
      <c r="U610">
        <v>75</v>
      </c>
      <c r="V610">
        <v>2.6</v>
      </c>
      <c r="W610" t="s">
        <v>28</v>
      </c>
      <c r="X610" t="s">
        <v>68</v>
      </c>
    </row>
    <row r="611" spans="1:24" x14ac:dyDescent="0.3">
      <c r="A611" t="s">
        <v>1889</v>
      </c>
      <c r="B611" t="s">
        <v>71</v>
      </c>
      <c r="C611" t="s">
        <v>72</v>
      </c>
      <c r="D611" t="str">
        <f t="shared" si="27"/>
        <v>Morning</v>
      </c>
      <c r="E611">
        <f>HOUR(EV_Data[[#This Row],[Charging Start Time]])</f>
        <v>9</v>
      </c>
      <c r="F611" s="1">
        <v>44952.375</v>
      </c>
      <c r="G611" s="1">
        <v>44952.388888888891</v>
      </c>
      <c r="H611">
        <v>20</v>
      </c>
      <c r="I611">
        <v>44.92</v>
      </c>
      <c r="J611" t="str">
        <f t="shared" si="28"/>
        <v>Medium</v>
      </c>
      <c r="K611" t="s">
        <v>55</v>
      </c>
      <c r="L611">
        <v>72</v>
      </c>
      <c r="M611">
        <v>85</v>
      </c>
      <c r="N611" t="str">
        <f t="shared" si="29"/>
        <v>Medium Cost</v>
      </c>
      <c r="O611">
        <v>15.53</v>
      </c>
      <c r="P611" t="s">
        <v>51</v>
      </c>
      <c r="Q611" t="s">
        <v>24</v>
      </c>
      <c r="R611" t="s">
        <v>35</v>
      </c>
      <c r="S611" t="s">
        <v>582</v>
      </c>
      <c r="T611" t="s">
        <v>60</v>
      </c>
      <c r="U611">
        <v>7</v>
      </c>
      <c r="V611">
        <v>2</v>
      </c>
      <c r="W611" t="s">
        <v>47</v>
      </c>
      <c r="X611" t="s">
        <v>29</v>
      </c>
    </row>
    <row r="612" spans="1:24" x14ac:dyDescent="0.3">
      <c r="A612" t="s">
        <v>1890</v>
      </c>
      <c r="B612" t="s">
        <v>71</v>
      </c>
      <c r="C612" t="s">
        <v>72</v>
      </c>
      <c r="D612" t="str">
        <f t="shared" si="27"/>
        <v>Morning</v>
      </c>
      <c r="E612">
        <f>HOUR(EV_Data[[#This Row],[Charging Start Time]])</f>
        <v>10</v>
      </c>
      <c r="F612" s="1">
        <v>44952.416666666664</v>
      </c>
      <c r="G612" s="1">
        <v>44952.430555555547</v>
      </c>
      <c r="H612">
        <v>20</v>
      </c>
      <c r="I612">
        <v>12.78</v>
      </c>
      <c r="J612" t="str">
        <f t="shared" si="28"/>
        <v>Low</v>
      </c>
      <c r="K612" t="s">
        <v>50</v>
      </c>
      <c r="L612">
        <v>15</v>
      </c>
      <c r="M612">
        <v>48</v>
      </c>
      <c r="N612" t="str">
        <f t="shared" si="29"/>
        <v>Low Cost</v>
      </c>
      <c r="O612">
        <v>4.4000000000000004</v>
      </c>
      <c r="P612" t="s">
        <v>64</v>
      </c>
      <c r="Q612" t="s">
        <v>48</v>
      </c>
      <c r="R612" t="s">
        <v>35</v>
      </c>
      <c r="S612" t="s">
        <v>301</v>
      </c>
      <c r="T612" t="s">
        <v>60</v>
      </c>
      <c r="U612">
        <v>34</v>
      </c>
      <c r="V612">
        <v>3.6</v>
      </c>
      <c r="W612" t="s">
        <v>28</v>
      </c>
      <c r="X612" t="s">
        <v>68</v>
      </c>
    </row>
    <row r="613" spans="1:24" x14ac:dyDescent="0.3">
      <c r="A613" t="s">
        <v>1891</v>
      </c>
      <c r="B613" t="s">
        <v>126</v>
      </c>
      <c r="C613" t="s">
        <v>31</v>
      </c>
      <c r="D613" t="str">
        <f t="shared" si="27"/>
        <v>Morning</v>
      </c>
      <c r="E613">
        <f>HOUR(EV_Data[[#This Row],[Charging Start Time]])</f>
        <v>11</v>
      </c>
      <c r="F613" s="1">
        <v>44952.458333333336</v>
      </c>
      <c r="G613" s="1">
        <v>44952.497916666667</v>
      </c>
      <c r="H613">
        <v>57</v>
      </c>
      <c r="I613">
        <v>43.69</v>
      </c>
      <c r="J613" t="str">
        <f t="shared" si="28"/>
        <v>Medium</v>
      </c>
      <c r="K613" t="s">
        <v>55</v>
      </c>
      <c r="L613">
        <v>5</v>
      </c>
      <c r="M613">
        <v>23</v>
      </c>
      <c r="N613" t="str">
        <f t="shared" si="29"/>
        <v>Medium Cost</v>
      </c>
      <c r="O613">
        <v>16.71</v>
      </c>
      <c r="P613" t="s">
        <v>51</v>
      </c>
      <c r="Q613" t="s">
        <v>58</v>
      </c>
      <c r="R613" t="s">
        <v>35</v>
      </c>
      <c r="S613" t="s">
        <v>583</v>
      </c>
      <c r="T613" t="s">
        <v>46</v>
      </c>
      <c r="U613">
        <v>13</v>
      </c>
      <c r="V613">
        <v>3.5</v>
      </c>
      <c r="W613" t="s">
        <v>38</v>
      </c>
    </row>
    <row r="614" spans="1:24" x14ac:dyDescent="0.3">
      <c r="A614" t="s">
        <v>1892</v>
      </c>
      <c r="B614" t="s">
        <v>40</v>
      </c>
      <c r="C614" t="s">
        <v>41</v>
      </c>
      <c r="D614" t="str">
        <f t="shared" si="27"/>
        <v>Afternoon</v>
      </c>
      <c r="E614">
        <f>HOUR(EV_Data[[#This Row],[Charging Start Time]])</f>
        <v>12</v>
      </c>
      <c r="F614" s="1">
        <v>44952.5</v>
      </c>
      <c r="G614" s="1">
        <v>44952.525694444441</v>
      </c>
      <c r="H614">
        <v>37</v>
      </c>
      <c r="I614">
        <v>24.54</v>
      </c>
      <c r="J614" t="str">
        <f t="shared" si="28"/>
        <v>Medium</v>
      </c>
      <c r="K614" t="s">
        <v>22</v>
      </c>
      <c r="L614">
        <v>6</v>
      </c>
      <c r="M614">
        <v>43</v>
      </c>
      <c r="N614" t="str">
        <f t="shared" si="29"/>
        <v>Medium Cost</v>
      </c>
      <c r="O614">
        <v>11.2</v>
      </c>
      <c r="P614" t="s">
        <v>64</v>
      </c>
      <c r="Q614" t="s">
        <v>48</v>
      </c>
      <c r="R614" t="s">
        <v>35</v>
      </c>
      <c r="S614" t="s">
        <v>414</v>
      </c>
      <c r="T614" t="s">
        <v>37</v>
      </c>
      <c r="U614">
        <v>84</v>
      </c>
      <c r="V614">
        <v>2.8</v>
      </c>
      <c r="W614" t="s">
        <v>28</v>
      </c>
      <c r="X614" t="s">
        <v>68</v>
      </c>
    </row>
    <row r="615" spans="1:24" x14ac:dyDescent="0.3">
      <c r="A615" t="s">
        <v>1893</v>
      </c>
      <c r="B615" t="s">
        <v>40</v>
      </c>
      <c r="C615" t="s">
        <v>41</v>
      </c>
      <c r="D615" t="str">
        <f t="shared" si="27"/>
        <v>Afternoon</v>
      </c>
      <c r="E615">
        <f>HOUR(EV_Data[[#This Row],[Charging Start Time]])</f>
        <v>13</v>
      </c>
      <c r="F615" s="1">
        <v>44952.541666666664</v>
      </c>
      <c r="G615" s="1">
        <v>44952.568055555559</v>
      </c>
      <c r="H615">
        <v>38</v>
      </c>
      <c r="I615">
        <v>5.62</v>
      </c>
      <c r="J615" t="str">
        <f t="shared" si="28"/>
        <v>Low</v>
      </c>
      <c r="K615" t="s">
        <v>69</v>
      </c>
      <c r="L615">
        <v>33</v>
      </c>
      <c r="M615">
        <v>55</v>
      </c>
      <c r="N615" t="str">
        <f t="shared" si="29"/>
        <v>Low Cost</v>
      </c>
      <c r="O615">
        <v>2.02</v>
      </c>
      <c r="P615" t="s">
        <v>23</v>
      </c>
      <c r="Q615" t="s">
        <v>34</v>
      </c>
      <c r="R615" t="s">
        <v>44</v>
      </c>
      <c r="S615" t="s">
        <v>584</v>
      </c>
      <c r="T615" t="s">
        <v>27</v>
      </c>
      <c r="U615">
        <v>39</v>
      </c>
      <c r="V615">
        <v>2.1</v>
      </c>
      <c r="W615" t="s">
        <v>47</v>
      </c>
      <c r="X615" t="s">
        <v>29</v>
      </c>
    </row>
    <row r="616" spans="1:24" x14ac:dyDescent="0.3">
      <c r="A616" t="s">
        <v>1894</v>
      </c>
      <c r="B616" t="s">
        <v>53</v>
      </c>
      <c r="C616" t="s">
        <v>54</v>
      </c>
      <c r="D616" t="str">
        <f t="shared" si="27"/>
        <v>Afternoon</v>
      </c>
      <c r="E616">
        <f>HOUR(EV_Data[[#This Row],[Charging Start Time]])</f>
        <v>14</v>
      </c>
      <c r="F616" s="1">
        <v>44952.583333333336</v>
      </c>
      <c r="G616" s="1">
        <v>44952.640972222223</v>
      </c>
      <c r="H616">
        <v>83</v>
      </c>
      <c r="I616">
        <v>49.53</v>
      </c>
      <c r="J616" t="str">
        <f t="shared" si="28"/>
        <v>Medium</v>
      </c>
      <c r="K616" t="s">
        <v>42</v>
      </c>
      <c r="L616">
        <v>28</v>
      </c>
      <c r="M616">
        <v>43</v>
      </c>
      <c r="N616" t="str">
        <f t="shared" si="29"/>
        <v>High Cost</v>
      </c>
      <c r="O616">
        <v>23.37</v>
      </c>
      <c r="P616" t="s">
        <v>33</v>
      </c>
      <c r="Q616" t="s">
        <v>34</v>
      </c>
      <c r="R616" t="s">
        <v>35</v>
      </c>
      <c r="S616" t="s">
        <v>585</v>
      </c>
      <c r="T616" t="s">
        <v>27</v>
      </c>
      <c r="U616">
        <v>95</v>
      </c>
      <c r="V616">
        <v>1.6</v>
      </c>
      <c r="W616" t="s">
        <v>38</v>
      </c>
    </row>
    <row r="617" spans="1:24" x14ac:dyDescent="0.3">
      <c r="A617" t="s">
        <v>1895</v>
      </c>
      <c r="B617" t="s">
        <v>71</v>
      </c>
      <c r="C617" t="s">
        <v>72</v>
      </c>
      <c r="D617" t="str">
        <f t="shared" si="27"/>
        <v>Afternoon</v>
      </c>
      <c r="E617">
        <f>HOUR(EV_Data[[#This Row],[Charging Start Time]])</f>
        <v>15</v>
      </c>
      <c r="F617" s="1">
        <v>44952.625</v>
      </c>
      <c r="G617" s="1">
        <v>44952.666666666657</v>
      </c>
      <c r="H617">
        <v>60</v>
      </c>
      <c r="I617">
        <v>47.72</v>
      </c>
      <c r="J617" t="str">
        <f t="shared" si="28"/>
        <v>Medium</v>
      </c>
      <c r="K617" t="s">
        <v>22</v>
      </c>
      <c r="L617">
        <v>11</v>
      </c>
      <c r="M617">
        <v>40</v>
      </c>
      <c r="N617" t="str">
        <f t="shared" si="29"/>
        <v>High Cost</v>
      </c>
      <c r="O617">
        <v>17.68</v>
      </c>
      <c r="P617" t="s">
        <v>64</v>
      </c>
      <c r="Q617" t="s">
        <v>48</v>
      </c>
      <c r="R617" t="s">
        <v>56</v>
      </c>
      <c r="S617" t="s">
        <v>90</v>
      </c>
      <c r="T617" t="s">
        <v>60</v>
      </c>
      <c r="U617">
        <v>37</v>
      </c>
      <c r="V617">
        <v>2.4</v>
      </c>
      <c r="W617" t="s">
        <v>28</v>
      </c>
      <c r="X617" t="s">
        <v>68</v>
      </c>
    </row>
    <row r="618" spans="1:24" x14ac:dyDescent="0.3">
      <c r="A618" t="s">
        <v>1896</v>
      </c>
      <c r="B618" t="s">
        <v>71</v>
      </c>
      <c r="C618" t="s">
        <v>72</v>
      </c>
      <c r="D618" t="str">
        <f t="shared" si="27"/>
        <v>Afternoon</v>
      </c>
      <c r="E618">
        <f>HOUR(EV_Data[[#This Row],[Charging Start Time]])</f>
        <v>16</v>
      </c>
      <c r="F618" s="1">
        <v>44952.666666666664</v>
      </c>
      <c r="G618" s="1">
        <v>44952.719444444447</v>
      </c>
      <c r="H618">
        <v>76</v>
      </c>
      <c r="I618">
        <v>22.45</v>
      </c>
      <c r="J618" t="str">
        <f t="shared" si="28"/>
        <v>Medium</v>
      </c>
      <c r="K618" t="s">
        <v>32</v>
      </c>
      <c r="L618">
        <v>76</v>
      </c>
      <c r="M618">
        <v>100</v>
      </c>
      <c r="N618" t="str">
        <f t="shared" si="29"/>
        <v>Medium Cost</v>
      </c>
      <c r="O618">
        <v>9.94</v>
      </c>
      <c r="P618" t="s">
        <v>33</v>
      </c>
      <c r="Q618" t="s">
        <v>58</v>
      </c>
      <c r="R618" t="s">
        <v>35</v>
      </c>
      <c r="S618" t="s">
        <v>462</v>
      </c>
      <c r="T618" t="s">
        <v>37</v>
      </c>
      <c r="U618">
        <v>63</v>
      </c>
      <c r="V618">
        <v>4.3</v>
      </c>
      <c r="W618" t="s">
        <v>28</v>
      </c>
      <c r="X618" t="s">
        <v>68</v>
      </c>
    </row>
    <row r="619" spans="1:24" x14ac:dyDescent="0.3">
      <c r="A619" t="s">
        <v>1897</v>
      </c>
      <c r="B619" t="s">
        <v>20</v>
      </c>
      <c r="C619" t="s">
        <v>21</v>
      </c>
      <c r="D619" t="str">
        <f t="shared" si="27"/>
        <v>Evening</v>
      </c>
      <c r="E619">
        <f>HOUR(EV_Data[[#This Row],[Charging Start Time]])</f>
        <v>17</v>
      </c>
      <c r="F619" s="1">
        <v>44952.708333333336</v>
      </c>
      <c r="G619" s="1">
        <v>44952.728472222218</v>
      </c>
      <c r="H619">
        <v>29</v>
      </c>
      <c r="I619">
        <v>9.16</v>
      </c>
      <c r="J619" t="str">
        <f t="shared" si="28"/>
        <v>Low</v>
      </c>
      <c r="K619" t="s">
        <v>42</v>
      </c>
      <c r="L619">
        <v>46</v>
      </c>
      <c r="M619">
        <v>74</v>
      </c>
      <c r="N619" t="str">
        <f t="shared" si="29"/>
        <v>Low Cost</v>
      </c>
      <c r="O619">
        <v>2.7</v>
      </c>
      <c r="P619" t="s">
        <v>51</v>
      </c>
      <c r="Q619" t="s">
        <v>48</v>
      </c>
      <c r="R619" t="s">
        <v>44</v>
      </c>
      <c r="S619" t="s">
        <v>586</v>
      </c>
      <c r="T619" t="s">
        <v>37</v>
      </c>
      <c r="U619">
        <v>92</v>
      </c>
      <c r="V619">
        <v>2.9</v>
      </c>
      <c r="W619" t="s">
        <v>28</v>
      </c>
      <c r="X619" t="s">
        <v>68</v>
      </c>
    </row>
    <row r="620" spans="1:24" x14ac:dyDescent="0.3">
      <c r="A620" t="s">
        <v>1898</v>
      </c>
      <c r="B620" t="s">
        <v>71</v>
      </c>
      <c r="C620" t="s">
        <v>72</v>
      </c>
      <c r="D620" t="str">
        <f t="shared" si="27"/>
        <v>Evening</v>
      </c>
      <c r="E620">
        <f>HOUR(EV_Data[[#This Row],[Charging Start Time]])</f>
        <v>18</v>
      </c>
      <c r="F620" s="1">
        <v>44952.75</v>
      </c>
      <c r="G620" s="1">
        <v>44952.800000000003</v>
      </c>
      <c r="H620">
        <v>72</v>
      </c>
      <c r="I620">
        <v>6.6</v>
      </c>
      <c r="J620" t="str">
        <f t="shared" si="28"/>
        <v>Low</v>
      </c>
      <c r="K620" t="s">
        <v>55</v>
      </c>
      <c r="L620">
        <v>11</v>
      </c>
      <c r="M620">
        <v>28</v>
      </c>
      <c r="N620" t="str">
        <f t="shared" si="29"/>
        <v>Low Cost</v>
      </c>
      <c r="O620">
        <v>2.5</v>
      </c>
      <c r="P620" t="s">
        <v>43</v>
      </c>
      <c r="Q620" t="s">
        <v>58</v>
      </c>
      <c r="R620" t="s">
        <v>25</v>
      </c>
      <c r="S620" t="s">
        <v>587</v>
      </c>
      <c r="T620" t="s">
        <v>46</v>
      </c>
      <c r="U620">
        <v>13</v>
      </c>
      <c r="V620">
        <v>2.4</v>
      </c>
      <c r="W620" t="s">
        <v>47</v>
      </c>
      <c r="X620" t="s">
        <v>29</v>
      </c>
    </row>
    <row r="621" spans="1:24" x14ac:dyDescent="0.3">
      <c r="A621" t="s">
        <v>1899</v>
      </c>
      <c r="B621" t="s">
        <v>77</v>
      </c>
      <c r="C621" t="s">
        <v>78</v>
      </c>
      <c r="D621" t="str">
        <f t="shared" si="27"/>
        <v>Evening</v>
      </c>
      <c r="E621">
        <f>HOUR(EV_Data[[#This Row],[Charging Start Time]])</f>
        <v>19</v>
      </c>
      <c r="F621" s="1">
        <v>44952.791666666664</v>
      </c>
      <c r="G621" s="1">
        <v>44952.868750000001</v>
      </c>
      <c r="H621">
        <v>111</v>
      </c>
      <c r="I621">
        <v>43.27</v>
      </c>
      <c r="J621" t="str">
        <f t="shared" si="28"/>
        <v>Medium</v>
      </c>
      <c r="K621" t="s">
        <v>32</v>
      </c>
      <c r="L621">
        <v>78</v>
      </c>
      <c r="M621">
        <v>93</v>
      </c>
      <c r="N621" t="str">
        <f t="shared" si="29"/>
        <v>High Cost</v>
      </c>
      <c r="O621">
        <v>18.38</v>
      </c>
      <c r="P621" t="s">
        <v>64</v>
      </c>
      <c r="Q621" t="s">
        <v>34</v>
      </c>
      <c r="R621" t="s">
        <v>35</v>
      </c>
      <c r="S621" t="s">
        <v>588</v>
      </c>
      <c r="T621" t="s">
        <v>37</v>
      </c>
      <c r="U621">
        <v>48</v>
      </c>
      <c r="V621">
        <v>1</v>
      </c>
      <c r="W621" t="s">
        <v>38</v>
      </c>
    </row>
    <row r="622" spans="1:24" x14ac:dyDescent="0.3">
      <c r="A622" t="s">
        <v>1900</v>
      </c>
      <c r="B622" t="s">
        <v>92</v>
      </c>
      <c r="C622" t="s">
        <v>93</v>
      </c>
      <c r="D622" t="str">
        <f t="shared" si="27"/>
        <v>Evening</v>
      </c>
      <c r="E622">
        <f>HOUR(EV_Data[[#This Row],[Charging Start Time]])</f>
        <v>20</v>
      </c>
      <c r="F622" s="1">
        <v>44952.833333333336</v>
      </c>
      <c r="G622" s="1">
        <v>44952.865972222222</v>
      </c>
      <c r="H622">
        <v>47</v>
      </c>
      <c r="I622">
        <v>25.67</v>
      </c>
      <c r="J622" t="str">
        <f t="shared" si="28"/>
        <v>Medium</v>
      </c>
      <c r="K622" t="s">
        <v>42</v>
      </c>
      <c r="L622">
        <v>21</v>
      </c>
      <c r="M622">
        <v>38</v>
      </c>
      <c r="N622" t="str">
        <f t="shared" si="29"/>
        <v>Medium Cost</v>
      </c>
      <c r="O622">
        <v>8.83</v>
      </c>
      <c r="P622" t="s">
        <v>43</v>
      </c>
      <c r="Q622" t="s">
        <v>48</v>
      </c>
      <c r="R622" t="s">
        <v>35</v>
      </c>
      <c r="S622" t="s">
        <v>589</v>
      </c>
      <c r="T622" t="s">
        <v>60</v>
      </c>
      <c r="U622">
        <v>39</v>
      </c>
      <c r="V622">
        <v>1.5</v>
      </c>
      <c r="W622" t="s">
        <v>47</v>
      </c>
      <c r="X622" t="s">
        <v>29</v>
      </c>
    </row>
    <row r="623" spans="1:24" x14ac:dyDescent="0.3">
      <c r="A623" t="s">
        <v>1901</v>
      </c>
      <c r="B623" t="s">
        <v>126</v>
      </c>
      <c r="C623" t="s">
        <v>31</v>
      </c>
      <c r="D623" t="str">
        <f t="shared" si="27"/>
        <v>Evening</v>
      </c>
      <c r="E623">
        <f>HOUR(EV_Data[[#This Row],[Charging Start Time]])</f>
        <v>21</v>
      </c>
      <c r="F623" s="1">
        <v>44952.875</v>
      </c>
      <c r="G623" s="1">
        <v>44952.897222222222</v>
      </c>
      <c r="H623">
        <v>32</v>
      </c>
      <c r="I623">
        <v>27.96</v>
      </c>
      <c r="J623" t="str">
        <f t="shared" si="28"/>
        <v>Medium</v>
      </c>
      <c r="K623" t="s">
        <v>32</v>
      </c>
      <c r="L623">
        <v>60</v>
      </c>
      <c r="M623">
        <v>75</v>
      </c>
      <c r="N623" t="str">
        <f t="shared" si="29"/>
        <v>Low Cost</v>
      </c>
      <c r="O623">
        <v>5.83</v>
      </c>
      <c r="P623" t="s">
        <v>33</v>
      </c>
      <c r="Q623" t="s">
        <v>24</v>
      </c>
      <c r="R623" t="s">
        <v>35</v>
      </c>
      <c r="S623" t="s">
        <v>473</v>
      </c>
      <c r="T623" t="s">
        <v>37</v>
      </c>
      <c r="U623">
        <v>0</v>
      </c>
      <c r="V623">
        <v>4.4000000000000004</v>
      </c>
      <c r="W623" t="s">
        <v>47</v>
      </c>
      <c r="X623" t="s">
        <v>29</v>
      </c>
    </row>
    <row r="624" spans="1:24" x14ac:dyDescent="0.3">
      <c r="A624" t="s">
        <v>1902</v>
      </c>
      <c r="B624" t="s">
        <v>92</v>
      </c>
      <c r="C624" t="s">
        <v>93</v>
      </c>
      <c r="D624" t="str">
        <f t="shared" si="27"/>
        <v>Evening</v>
      </c>
      <c r="E624">
        <f>HOUR(EV_Data[[#This Row],[Charging Start Time]])</f>
        <v>22</v>
      </c>
      <c r="F624" s="1">
        <v>44952.916666666664</v>
      </c>
      <c r="G624" s="1">
        <v>44952.954861111109</v>
      </c>
      <c r="H624">
        <v>55</v>
      </c>
      <c r="I624">
        <v>7.46</v>
      </c>
      <c r="J624" t="str">
        <f t="shared" si="28"/>
        <v>Low</v>
      </c>
      <c r="K624" t="s">
        <v>22</v>
      </c>
      <c r="L624">
        <v>79</v>
      </c>
      <c r="M624">
        <v>89</v>
      </c>
      <c r="N624" t="str">
        <f t="shared" si="29"/>
        <v>Low Cost</v>
      </c>
      <c r="O624">
        <v>3.3</v>
      </c>
      <c r="P624" t="s">
        <v>64</v>
      </c>
      <c r="Q624" t="s">
        <v>58</v>
      </c>
      <c r="R624" t="s">
        <v>35</v>
      </c>
      <c r="S624" t="s">
        <v>590</v>
      </c>
      <c r="T624" t="s">
        <v>60</v>
      </c>
      <c r="U624">
        <v>0</v>
      </c>
      <c r="V624">
        <v>2.8</v>
      </c>
      <c r="W624" t="s">
        <v>47</v>
      </c>
      <c r="X624" t="s">
        <v>29</v>
      </c>
    </row>
    <row r="625" spans="1:24" x14ac:dyDescent="0.3">
      <c r="A625" t="s">
        <v>1903</v>
      </c>
      <c r="B625" t="s">
        <v>77</v>
      </c>
      <c r="C625" t="s">
        <v>78</v>
      </c>
      <c r="D625" t="str">
        <f t="shared" si="27"/>
        <v>Evening</v>
      </c>
      <c r="E625">
        <f>HOUR(EV_Data[[#This Row],[Charging Start Time]])</f>
        <v>23</v>
      </c>
      <c r="F625" s="1">
        <v>44952.958333333336</v>
      </c>
      <c r="G625" s="1">
        <v>44952.990277777782</v>
      </c>
      <c r="H625">
        <v>46</v>
      </c>
      <c r="I625">
        <v>43.65</v>
      </c>
      <c r="J625" t="str">
        <f t="shared" si="28"/>
        <v>Medium</v>
      </c>
      <c r="K625" t="s">
        <v>55</v>
      </c>
      <c r="L625">
        <v>75</v>
      </c>
      <c r="M625">
        <v>85</v>
      </c>
      <c r="N625" t="str">
        <f t="shared" si="29"/>
        <v>Medium Cost</v>
      </c>
      <c r="O625">
        <v>16.52</v>
      </c>
      <c r="P625" t="s">
        <v>64</v>
      </c>
      <c r="Q625" t="s">
        <v>58</v>
      </c>
      <c r="R625" t="s">
        <v>25</v>
      </c>
      <c r="S625" t="s">
        <v>591</v>
      </c>
      <c r="T625" t="s">
        <v>37</v>
      </c>
      <c r="U625">
        <v>94</v>
      </c>
      <c r="V625">
        <v>2.4</v>
      </c>
      <c r="W625" t="s">
        <v>28</v>
      </c>
      <c r="X625" t="s">
        <v>68</v>
      </c>
    </row>
    <row r="626" spans="1:24" x14ac:dyDescent="0.3">
      <c r="A626" t="s">
        <v>1904</v>
      </c>
      <c r="B626" t="s">
        <v>20</v>
      </c>
      <c r="C626" t="s">
        <v>21</v>
      </c>
      <c r="D626" t="str">
        <f t="shared" si="27"/>
        <v>Morning</v>
      </c>
      <c r="E626">
        <f>HOUR(EV_Data[[#This Row],[Charging Start Time]])</f>
        <v>0</v>
      </c>
      <c r="F626" s="1">
        <v>44953</v>
      </c>
      <c r="G626" s="1">
        <v>44953.039583333331</v>
      </c>
      <c r="H626">
        <v>57</v>
      </c>
      <c r="I626">
        <v>40.090000000000003</v>
      </c>
      <c r="J626" t="str">
        <f t="shared" si="28"/>
        <v>Medium</v>
      </c>
      <c r="K626" t="s">
        <v>32</v>
      </c>
      <c r="L626">
        <v>79</v>
      </c>
      <c r="M626">
        <v>100</v>
      </c>
      <c r="N626" t="str">
        <f t="shared" si="29"/>
        <v>Medium Cost</v>
      </c>
      <c r="O626">
        <v>12.8</v>
      </c>
      <c r="P626" t="s">
        <v>43</v>
      </c>
      <c r="Q626" t="s">
        <v>58</v>
      </c>
      <c r="R626" t="s">
        <v>35</v>
      </c>
      <c r="S626" t="s">
        <v>592</v>
      </c>
      <c r="T626" t="s">
        <v>46</v>
      </c>
      <c r="U626">
        <v>59</v>
      </c>
      <c r="V626">
        <v>2.5</v>
      </c>
      <c r="W626" t="s">
        <v>28</v>
      </c>
      <c r="X626" t="s">
        <v>68</v>
      </c>
    </row>
    <row r="627" spans="1:24" x14ac:dyDescent="0.3">
      <c r="A627" t="s">
        <v>1905</v>
      </c>
      <c r="B627" t="s">
        <v>92</v>
      </c>
      <c r="C627" t="s">
        <v>93</v>
      </c>
      <c r="D627" t="str">
        <f t="shared" si="27"/>
        <v>Morning</v>
      </c>
      <c r="E627">
        <f>HOUR(EV_Data[[#This Row],[Charging Start Time]])</f>
        <v>1</v>
      </c>
      <c r="F627" s="1">
        <v>44953.041666666664</v>
      </c>
      <c r="G627" s="1">
        <v>44953.087500000001</v>
      </c>
      <c r="H627">
        <v>66</v>
      </c>
      <c r="I627">
        <v>38.93</v>
      </c>
      <c r="J627" t="str">
        <f t="shared" si="28"/>
        <v>Medium</v>
      </c>
      <c r="K627" t="s">
        <v>50</v>
      </c>
      <c r="L627">
        <v>74</v>
      </c>
      <c r="M627">
        <v>100</v>
      </c>
      <c r="N627" t="str">
        <f t="shared" si="29"/>
        <v>High Cost</v>
      </c>
      <c r="O627">
        <v>18.13</v>
      </c>
      <c r="P627" t="s">
        <v>43</v>
      </c>
      <c r="Q627" t="s">
        <v>24</v>
      </c>
      <c r="R627" t="s">
        <v>35</v>
      </c>
      <c r="S627" t="s">
        <v>329</v>
      </c>
      <c r="T627" t="s">
        <v>37</v>
      </c>
      <c r="U627">
        <v>19</v>
      </c>
      <c r="V627">
        <v>4.2</v>
      </c>
      <c r="W627" t="s">
        <v>47</v>
      </c>
      <c r="X627" t="s">
        <v>29</v>
      </c>
    </row>
    <row r="628" spans="1:24" x14ac:dyDescent="0.3">
      <c r="A628" t="s">
        <v>1906</v>
      </c>
      <c r="B628" t="s">
        <v>53</v>
      </c>
      <c r="C628" t="s">
        <v>54</v>
      </c>
      <c r="D628" t="str">
        <f t="shared" si="27"/>
        <v>Morning</v>
      </c>
      <c r="E628">
        <f>HOUR(EV_Data[[#This Row],[Charging Start Time]])</f>
        <v>2</v>
      </c>
      <c r="F628" s="1">
        <v>44953.083333333336</v>
      </c>
      <c r="G628" s="1">
        <v>44953.111111111109</v>
      </c>
      <c r="H628">
        <v>40</v>
      </c>
      <c r="I628">
        <v>35.99</v>
      </c>
      <c r="J628" t="str">
        <f t="shared" si="28"/>
        <v>Medium</v>
      </c>
      <c r="K628" t="s">
        <v>69</v>
      </c>
      <c r="L628">
        <v>18</v>
      </c>
      <c r="M628">
        <v>57</v>
      </c>
      <c r="N628" t="str">
        <f t="shared" si="29"/>
        <v>Low Cost</v>
      </c>
      <c r="O628">
        <v>7.23</v>
      </c>
      <c r="P628" t="s">
        <v>23</v>
      </c>
      <c r="Q628" t="s">
        <v>34</v>
      </c>
      <c r="R628" t="s">
        <v>25</v>
      </c>
      <c r="S628" t="s">
        <v>593</v>
      </c>
      <c r="T628" t="s">
        <v>46</v>
      </c>
      <c r="U628">
        <v>36</v>
      </c>
      <c r="V628">
        <v>3.8</v>
      </c>
      <c r="W628" t="s">
        <v>38</v>
      </c>
      <c r="X628" t="s">
        <v>39</v>
      </c>
    </row>
    <row r="629" spans="1:24" x14ac:dyDescent="0.3">
      <c r="A629" t="s">
        <v>1907</v>
      </c>
      <c r="B629" t="s">
        <v>77</v>
      </c>
      <c r="C629" t="s">
        <v>78</v>
      </c>
      <c r="D629" t="str">
        <f t="shared" si="27"/>
        <v>Morning</v>
      </c>
      <c r="E629">
        <f>HOUR(EV_Data[[#This Row],[Charging Start Time]])</f>
        <v>3</v>
      </c>
      <c r="F629" s="1">
        <v>44953.125</v>
      </c>
      <c r="G629" s="1">
        <v>44953.198611111111</v>
      </c>
      <c r="H629">
        <v>106</v>
      </c>
      <c r="I629">
        <v>38.549999999999997</v>
      </c>
      <c r="J629" t="str">
        <f t="shared" si="28"/>
        <v>Medium</v>
      </c>
      <c r="K629" t="s">
        <v>42</v>
      </c>
      <c r="L629">
        <v>37</v>
      </c>
      <c r="M629">
        <v>74</v>
      </c>
      <c r="N629" t="str">
        <f t="shared" si="29"/>
        <v>Medium Cost</v>
      </c>
      <c r="O629">
        <v>15.36</v>
      </c>
      <c r="P629" t="s">
        <v>23</v>
      </c>
      <c r="Q629" t="s">
        <v>24</v>
      </c>
      <c r="R629" t="s">
        <v>25</v>
      </c>
      <c r="S629" t="s">
        <v>594</v>
      </c>
      <c r="T629" t="s">
        <v>27</v>
      </c>
      <c r="U629">
        <v>45</v>
      </c>
      <c r="V629">
        <v>3.5</v>
      </c>
      <c r="W629" t="s">
        <v>47</v>
      </c>
      <c r="X629" t="s">
        <v>29</v>
      </c>
    </row>
    <row r="630" spans="1:24" x14ac:dyDescent="0.3">
      <c r="A630" t="s">
        <v>1908</v>
      </c>
      <c r="B630" t="s">
        <v>126</v>
      </c>
      <c r="C630" t="s">
        <v>31</v>
      </c>
      <c r="D630" t="str">
        <f t="shared" si="27"/>
        <v>Morning</v>
      </c>
      <c r="E630">
        <f>HOUR(EV_Data[[#This Row],[Charging Start Time]])</f>
        <v>4</v>
      </c>
      <c r="F630" s="1">
        <v>44953.166666666664</v>
      </c>
      <c r="G630" s="1">
        <v>44953.184027777781</v>
      </c>
      <c r="H630">
        <v>25</v>
      </c>
      <c r="I630">
        <v>13.62</v>
      </c>
      <c r="J630" t="str">
        <f t="shared" si="28"/>
        <v>Low</v>
      </c>
      <c r="K630" t="s">
        <v>50</v>
      </c>
      <c r="L630">
        <v>23</v>
      </c>
      <c r="M630">
        <v>55</v>
      </c>
      <c r="N630" t="str">
        <f t="shared" si="29"/>
        <v>Low Cost</v>
      </c>
      <c r="O630">
        <v>6.53</v>
      </c>
      <c r="P630" t="s">
        <v>43</v>
      </c>
      <c r="Q630" t="s">
        <v>24</v>
      </c>
      <c r="R630" t="s">
        <v>44</v>
      </c>
      <c r="S630" t="s">
        <v>539</v>
      </c>
      <c r="T630" t="s">
        <v>60</v>
      </c>
      <c r="U630">
        <v>35</v>
      </c>
      <c r="V630">
        <v>1.3</v>
      </c>
      <c r="W630" t="s">
        <v>28</v>
      </c>
      <c r="X630" t="s">
        <v>68</v>
      </c>
    </row>
    <row r="631" spans="1:24" x14ac:dyDescent="0.3">
      <c r="A631" t="s">
        <v>1909</v>
      </c>
      <c r="B631" t="s">
        <v>20</v>
      </c>
      <c r="C631" t="s">
        <v>21</v>
      </c>
      <c r="D631" t="str">
        <f t="shared" si="27"/>
        <v>Morning</v>
      </c>
      <c r="E631">
        <f>HOUR(EV_Data[[#This Row],[Charging Start Time]])</f>
        <v>5</v>
      </c>
      <c r="F631" s="1">
        <v>44953.208333333336</v>
      </c>
      <c r="G631" s="1">
        <v>44953.263194444437</v>
      </c>
      <c r="H631">
        <v>79</v>
      </c>
      <c r="I631">
        <v>36.72</v>
      </c>
      <c r="J631" t="str">
        <f t="shared" si="28"/>
        <v>Medium</v>
      </c>
      <c r="K631" t="s">
        <v>55</v>
      </c>
      <c r="L631">
        <v>10</v>
      </c>
      <c r="M631">
        <v>38</v>
      </c>
      <c r="N631" t="str">
        <f t="shared" si="29"/>
        <v>Medium Cost</v>
      </c>
      <c r="O631">
        <v>15.42</v>
      </c>
      <c r="P631" t="s">
        <v>33</v>
      </c>
      <c r="Q631" t="s">
        <v>34</v>
      </c>
      <c r="R631" t="s">
        <v>44</v>
      </c>
      <c r="S631" t="s">
        <v>595</v>
      </c>
      <c r="T631" t="s">
        <v>46</v>
      </c>
      <c r="U631">
        <v>35</v>
      </c>
      <c r="V631">
        <v>2.2999999999999998</v>
      </c>
      <c r="W631" t="s">
        <v>38</v>
      </c>
      <c r="X631" t="s">
        <v>83</v>
      </c>
    </row>
    <row r="632" spans="1:24" x14ac:dyDescent="0.3">
      <c r="A632" t="s">
        <v>1910</v>
      </c>
      <c r="B632" t="s">
        <v>77</v>
      </c>
      <c r="C632" t="s">
        <v>78</v>
      </c>
      <c r="D632" t="str">
        <f t="shared" si="27"/>
        <v>Morning</v>
      </c>
      <c r="E632">
        <f>HOUR(EV_Data[[#This Row],[Charging Start Time]])</f>
        <v>6</v>
      </c>
      <c r="F632" s="1">
        <v>44953.25</v>
      </c>
      <c r="G632" s="1">
        <v>44953.293055555558</v>
      </c>
      <c r="H632">
        <v>62</v>
      </c>
      <c r="I632">
        <v>21.5</v>
      </c>
      <c r="J632" t="str">
        <f t="shared" si="28"/>
        <v>Medium</v>
      </c>
      <c r="K632" t="s">
        <v>42</v>
      </c>
      <c r="L632">
        <v>59</v>
      </c>
      <c r="M632">
        <v>94</v>
      </c>
      <c r="N632" t="str">
        <f t="shared" si="29"/>
        <v>Medium Cost</v>
      </c>
      <c r="O632">
        <v>9.18</v>
      </c>
      <c r="P632" t="s">
        <v>23</v>
      </c>
      <c r="Q632" t="s">
        <v>48</v>
      </c>
      <c r="R632" t="s">
        <v>44</v>
      </c>
      <c r="S632" t="s">
        <v>596</v>
      </c>
      <c r="T632" t="s">
        <v>37</v>
      </c>
      <c r="U632">
        <v>22</v>
      </c>
      <c r="V632">
        <v>4.0999999999999996</v>
      </c>
      <c r="W632" t="s">
        <v>38</v>
      </c>
    </row>
    <row r="633" spans="1:24" x14ac:dyDescent="0.3">
      <c r="A633" t="s">
        <v>1911</v>
      </c>
      <c r="B633" t="s">
        <v>77</v>
      </c>
      <c r="C633" t="s">
        <v>78</v>
      </c>
      <c r="D633" t="str">
        <f t="shared" si="27"/>
        <v>Morning</v>
      </c>
      <c r="E633">
        <f>HOUR(EV_Data[[#This Row],[Charging Start Time]])</f>
        <v>7</v>
      </c>
      <c r="F633" s="1">
        <v>44953.291666666664</v>
      </c>
      <c r="G633" s="1">
        <v>44953.339583333327</v>
      </c>
      <c r="H633">
        <v>69</v>
      </c>
      <c r="I633">
        <v>25.23</v>
      </c>
      <c r="J633" t="str">
        <f t="shared" si="28"/>
        <v>Medium</v>
      </c>
      <c r="K633" t="s">
        <v>42</v>
      </c>
      <c r="L633">
        <v>27</v>
      </c>
      <c r="M633">
        <v>59</v>
      </c>
      <c r="N633" t="str">
        <f t="shared" si="29"/>
        <v>Low Cost</v>
      </c>
      <c r="O633">
        <v>6</v>
      </c>
      <c r="P633" t="s">
        <v>51</v>
      </c>
      <c r="Q633" t="s">
        <v>24</v>
      </c>
      <c r="R633" t="s">
        <v>35</v>
      </c>
      <c r="S633" t="s">
        <v>377</v>
      </c>
      <c r="T633" t="s">
        <v>46</v>
      </c>
      <c r="U633">
        <v>85</v>
      </c>
      <c r="V633">
        <v>3.9</v>
      </c>
      <c r="W633" t="s">
        <v>38</v>
      </c>
      <c r="X633" t="s">
        <v>83</v>
      </c>
    </row>
    <row r="634" spans="1:24" x14ac:dyDescent="0.3">
      <c r="A634" t="s">
        <v>1912</v>
      </c>
      <c r="B634" t="s">
        <v>30</v>
      </c>
      <c r="C634" t="s">
        <v>102</v>
      </c>
      <c r="D634" t="str">
        <f t="shared" si="27"/>
        <v>Morning</v>
      </c>
      <c r="E634">
        <f>HOUR(EV_Data[[#This Row],[Charging Start Time]])</f>
        <v>8</v>
      </c>
      <c r="F634" s="1">
        <v>44953.333333333336</v>
      </c>
      <c r="G634" s="1">
        <v>44953.352777777778</v>
      </c>
      <c r="H634">
        <v>28</v>
      </c>
      <c r="I634">
        <v>30.53</v>
      </c>
      <c r="J634" t="str">
        <f t="shared" si="28"/>
        <v>Medium</v>
      </c>
      <c r="K634" t="s">
        <v>32</v>
      </c>
      <c r="L634">
        <v>54</v>
      </c>
      <c r="M634">
        <v>70</v>
      </c>
      <c r="N634" t="str">
        <f t="shared" si="29"/>
        <v>Medium Cost</v>
      </c>
      <c r="O634">
        <v>14.13</v>
      </c>
      <c r="P634" t="s">
        <v>64</v>
      </c>
      <c r="Q634" t="s">
        <v>58</v>
      </c>
      <c r="R634" t="s">
        <v>56</v>
      </c>
      <c r="S634" t="s">
        <v>442</v>
      </c>
      <c r="T634" t="s">
        <v>27</v>
      </c>
      <c r="U634">
        <v>4</v>
      </c>
      <c r="V634">
        <v>2.2999999999999998</v>
      </c>
      <c r="W634" t="s">
        <v>47</v>
      </c>
      <c r="X634" t="s">
        <v>29</v>
      </c>
    </row>
    <row r="635" spans="1:24" x14ac:dyDescent="0.3">
      <c r="A635" t="s">
        <v>1913</v>
      </c>
      <c r="B635" t="s">
        <v>40</v>
      </c>
      <c r="C635" t="s">
        <v>41</v>
      </c>
      <c r="D635" t="str">
        <f t="shared" si="27"/>
        <v>Morning</v>
      </c>
      <c r="E635">
        <f>HOUR(EV_Data[[#This Row],[Charging Start Time]])</f>
        <v>9</v>
      </c>
      <c r="F635" s="1">
        <v>44953.375</v>
      </c>
      <c r="G635" s="1">
        <v>44953.450694444437</v>
      </c>
      <c r="H635">
        <v>109</v>
      </c>
      <c r="I635">
        <v>10.69</v>
      </c>
      <c r="J635" t="str">
        <f t="shared" si="28"/>
        <v>Low</v>
      </c>
      <c r="K635" t="s">
        <v>69</v>
      </c>
      <c r="L635">
        <v>25</v>
      </c>
      <c r="M635">
        <v>50</v>
      </c>
      <c r="N635" t="str">
        <f t="shared" si="29"/>
        <v>Low Cost</v>
      </c>
      <c r="O635">
        <v>3.83</v>
      </c>
      <c r="P635" t="s">
        <v>33</v>
      </c>
      <c r="Q635" t="s">
        <v>58</v>
      </c>
      <c r="R635" t="s">
        <v>35</v>
      </c>
      <c r="S635" t="s">
        <v>597</v>
      </c>
      <c r="T635" t="s">
        <v>46</v>
      </c>
      <c r="U635">
        <v>28</v>
      </c>
      <c r="V635">
        <v>1.9</v>
      </c>
      <c r="W635" t="s">
        <v>28</v>
      </c>
      <c r="X635" t="s">
        <v>68</v>
      </c>
    </row>
    <row r="636" spans="1:24" x14ac:dyDescent="0.3">
      <c r="A636" t="s">
        <v>1914</v>
      </c>
      <c r="B636" t="s">
        <v>30</v>
      </c>
      <c r="C636" t="s">
        <v>102</v>
      </c>
      <c r="D636" t="str">
        <f t="shared" si="27"/>
        <v>Morning</v>
      </c>
      <c r="E636">
        <f>HOUR(EV_Data[[#This Row],[Charging Start Time]])</f>
        <v>10</v>
      </c>
      <c r="F636" s="1">
        <v>44953.416666666664</v>
      </c>
      <c r="G636" s="1">
        <v>44953.448611111111</v>
      </c>
      <c r="H636">
        <v>46</v>
      </c>
      <c r="I636">
        <v>36.6</v>
      </c>
      <c r="J636" t="str">
        <f t="shared" si="28"/>
        <v>Medium</v>
      </c>
      <c r="K636" t="s">
        <v>42</v>
      </c>
      <c r="L636">
        <v>31</v>
      </c>
      <c r="M636">
        <v>45</v>
      </c>
      <c r="N636" t="str">
        <f t="shared" si="29"/>
        <v>Medium Cost</v>
      </c>
      <c r="O636">
        <v>12.66</v>
      </c>
      <c r="P636" t="s">
        <v>43</v>
      </c>
      <c r="Q636" t="s">
        <v>48</v>
      </c>
      <c r="R636" t="s">
        <v>44</v>
      </c>
      <c r="S636" t="s">
        <v>88</v>
      </c>
      <c r="T636" t="s">
        <v>46</v>
      </c>
      <c r="U636">
        <v>82</v>
      </c>
      <c r="V636">
        <v>1.4</v>
      </c>
      <c r="W636" t="s">
        <v>47</v>
      </c>
      <c r="X636" t="s">
        <v>29</v>
      </c>
    </row>
    <row r="637" spans="1:24" x14ac:dyDescent="0.3">
      <c r="A637" t="s">
        <v>1915</v>
      </c>
      <c r="B637" t="s">
        <v>20</v>
      </c>
      <c r="C637" t="s">
        <v>21</v>
      </c>
      <c r="D637" t="str">
        <f t="shared" si="27"/>
        <v>Morning</v>
      </c>
      <c r="E637">
        <f>HOUR(EV_Data[[#This Row],[Charging Start Time]])</f>
        <v>11</v>
      </c>
      <c r="F637" s="1">
        <v>44953.458333333336</v>
      </c>
      <c r="G637" s="1">
        <v>44953.489583333343</v>
      </c>
      <c r="H637">
        <v>45</v>
      </c>
      <c r="I637">
        <v>36.85</v>
      </c>
      <c r="J637" t="str">
        <f t="shared" si="28"/>
        <v>Medium</v>
      </c>
      <c r="K637" t="s">
        <v>22</v>
      </c>
      <c r="L637">
        <v>19</v>
      </c>
      <c r="M637">
        <v>30</v>
      </c>
      <c r="N637" t="str">
        <f t="shared" si="29"/>
        <v>Low Cost</v>
      </c>
      <c r="O637">
        <v>7.73</v>
      </c>
      <c r="P637" t="s">
        <v>23</v>
      </c>
      <c r="Q637" t="s">
        <v>58</v>
      </c>
      <c r="R637" t="s">
        <v>44</v>
      </c>
      <c r="S637" t="s">
        <v>598</v>
      </c>
      <c r="T637" t="s">
        <v>37</v>
      </c>
      <c r="U637">
        <v>6</v>
      </c>
      <c r="V637">
        <v>1.2</v>
      </c>
      <c r="W637" t="s">
        <v>47</v>
      </c>
      <c r="X637" t="s">
        <v>29</v>
      </c>
    </row>
    <row r="638" spans="1:24" x14ac:dyDescent="0.3">
      <c r="A638" t="s">
        <v>1916</v>
      </c>
      <c r="B638" t="s">
        <v>77</v>
      </c>
      <c r="C638" t="s">
        <v>78</v>
      </c>
      <c r="D638" t="str">
        <f t="shared" si="27"/>
        <v>Afternoon</v>
      </c>
      <c r="E638">
        <f>HOUR(EV_Data[[#This Row],[Charging Start Time]])</f>
        <v>12</v>
      </c>
      <c r="F638" s="1">
        <v>44953.5</v>
      </c>
      <c r="G638" s="1">
        <v>44953.534722222219</v>
      </c>
      <c r="H638">
        <v>50</v>
      </c>
      <c r="I638">
        <v>8.32</v>
      </c>
      <c r="J638" t="str">
        <f t="shared" si="28"/>
        <v>Low</v>
      </c>
      <c r="K638" t="s">
        <v>50</v>
      </c>
      <c r="L638">
        <v>55</v>
      </c>
      <c r="M638">
        <v>77</v>
      </c>
      <c r="N638" t="str">
        <f t="shared" si="29"/>
        <v>Low Cost</v>
      </c>
      <c r="O638">
        <v>1.83</v>
      </c>
      <c r="P638" t="s">
        <v>23</v>
      </c>
      <c r="Q638" t="s">
        <v>24</v>
      </c>
      <c r="R638" t="s">
        <v>44</v>
      </c>
      <c r="S638" t="s">
        <v>599</v>
      </c>
      <c r="T638" t="s">
        <v>46</v>
      </c>
      <c r="U638">
        <v>56</v>
      </c>
      <c r="V638">
        <v>4.9000000000000004</v>
      </c>
      <c r="W638" t="s">
        <v>47</v>
      </c>
      <c r="X638" t="s">
        <v>29</v>
      </c>
    </row>
    <row r="639" spans="1:24" x14ac:dyDescent="0.3">
      <c r="A639" t="s">
        <v>1917</v>
      </c>
      <c r="B639" t="s">
        <v>40</v>
      </c>
      <c r="C639" t="s">
        <v>41</v>
      </c>
      <c r="D639" t="str">
        <f t="shared" si="27"/>
        <v>Afternoon</v>
      </c>
      <c r="E639">
        <f>HOUR(EV_Data[[#This Row],[Charging Start Time]])</f>
        <v>13</v>
      </c>
      <c r="F639" s="1">
        <v>44953.541666666664</v>
      </c>
      <c r="G639" s="1">
        <v>44953.57916666667</v>
      </c>
      <c r="H639">
        <v>54</v>
      </c>
      <c r="I639">
        <v>39.76</v>
      </c>
      <c r="J639" t="str">
        <f t="shared" si="28"/>
        <v>Medium</v>
      </c>
      <c r="K639" t="s">
        <v>32</v>
      </c>
      <c r="L639">
        <v>79</v>
      </c>
      <c r="M639">
        <v>90</v>
      </c>
      <c r="N639" t="str">
        <f t="shared" si="29"/>
        <v>Medium Cost</v>
      </c>
      <c r="O639">
        <v>11.69</v>
      </c>
      <c r="P639" t="s">
        <v>33</v>
      </c>
      <c r="Q639" t="s">
        <v>48</v>
      </c>
      <c r="R639" t="s">
        <v>25</v>
      </c>
      <c r="S639" t="s">
        <v>600</v>
      </c>
      <c r="T639" t="s">
        <v>60</v>
      </c>
      <c r="U639">
        <v>88</v>
      </c>
      <c r="V639">
        <v>1.3</v>
      </c>
      <c r="W639" t="s">
        <v>28</v>
      </c>
      <c r="X639" t="s">
        <v>68</v>
      </c>
    </row>
    <row r="640" spans="1:24" x14ac:dyDescent="0.3">
      <c r="A640" t="s">
        <v>1918</v>
      </c>
      <c r="B640" t="s">
        <v>92</v>
      </c>
      <c r="C640" t="s">
        <v>93</v>
      </c>
      <c r="D640" t="str">
        <f t="shared" si="27"/>
        <v>Afternoon</v>
      </c>
      <c r="E640">
        <f>HOUR(EV_Data[[#This Row],[Charging Start Time]])</f>
        <v>14</v>
      </c>
      <c r="F640" s="1">
        <v>44953.583333333336</v>
      </c>
      <c r="G640" s="1">
        <v>44953.626388888893</v>
      </c>
      <c r="H640">
        <v>62</v>
      </c>
      <c r="I640">
        <v>12.47</v>
      </c>
      <c r="J640" t="str">
        <f t="shared" si="28"/>
        <v>Low</v>
      </c>
      <c r="K640" t="s">
        <v>50</v>
      </c>
      <c r="L640">
        <v>14</v>
      </c>
      <c r="M640">
        <v>47</v>
      </c>
      <c r="N640" t="str">
        <f t="shared" si="29"/>
        <v>Low Cost</v>
      </c>
      <c r="O640">
        <v>4.33</v>
      </c>
      <c r="P640" t="s">
        <v>51</v>
      </c>
      <c r="Q640" t="s">
        <v>48</v>
      </c>
      <c r="R640" t="s">
        <v>56</v>
      </c>
      <c r="S640" t="s">
        <v>601</v>
      </c>
      <c r="T640" t="s">
        <v>46</v>
      </c>
      <c r="U640">
        <v>22</v>
      </c>
      <c r="V640">
        <v>4.9000000000000004</v>
      </c>
      <c r="W640" t="s">
        <v>28</v>
      </c>
      <c r="X640" t="s">
        <v>68</v>
      </c>
    </row>
    <row r="641" spans="1:24" x14ac:dyDescent="0.3">
      <c r="A641" t="s">
        <v>1919</v>
      </c>
      <c r="B641" t="s">
        <v>126</v>
      </c>
      <c r="C641" t="s">
        <v>31</v>
      </c>
      <c r="D641" t="str">
        <f t="shared" si="27"/>
        <v>Afternoon</v>
      </c>
      <c r="E641">
        <f>HOUR(EV_Data[[#This Row],[Charging Start Time]])</f>
        <v>15</v>
      </c>
      <c r="F641" s="1">
        <v>44953.625</v>
      </c>
      <c r="G641" s="1">
        <v>44953.669444444437</v>
      </c>
      <c r="H641">
        <v>64</v>
      </c>
      <c r="I641">
        <v>37.549999999999997</v>
      </c>
      <c r="J641" t="str">
        <f t="shared" si="28"/>
        <v>Medium</v>
      </c>
      <c r="K641" t="s">
        <v>32</v>
      </c>
      <c r="L641">
        <v>39</v>
      </c>
      <c r="M641">
        <v>55</v>
      </c>
      <c r="N641" t="str">
        <f t="shared" si="29"/>
        <v>Medium Cost</v>
      </c>
      <c r="O641">
        <v>16.37</v>
      </c>
      <c r="P641" t="s">
        <v>23</v>
      </c>
      <c r="Q641" t="s">
        <v>24</v>
      </c>
      <c r="R641" t="s">
        <v>56</v>
      </c>
      <c r="S641" t="s">
        <v>602</v>
      </c>
      <c r="T641" t="s">
        <v>37</v>
      </c>
      <c r="U641">
        <v>67</v>
      </c>
      <c r="V641">
        <v>2.2999999999999998</v>
      </c>
      <c r="W641" t="s">
        <v>38</v>
      </c>
      <c r="X641" t="s">
        <v>62</v>
      </c>
    </row>
    <row r="642" spans="1:24" x14ac:dyDescent="0.3">
      <c r="A642" t="s">
        <v>1920</v>
      </c>
      <c r="B642" t="s">
        <v>71</v>
      </c>
      <c r="C642" t="s">
        <v>72</v>
      </c>
      <c r="D642" t="str">
        <f t="shared" ref="D642:D705" si="30">IF(E642&lt;12,"Morning",IF(E642&lt;17,"Afternoon","Evening"))</f>
        <v>Afternoon</v>
      </c>
      <c r="E642">
        <f>HOUR(EV_Data[[#This Row],[Charging Start Time]])</f>
        <v>16</v>
      </c>
      <c r="F642" s="1">
        <v>44953.666666666664</v>
      </c>
      <c r="G642" s="1">
        <v>44953.703472222223</v>
      </c>
      <c r="H642">
        <v>53</v>
      </c>
      <c r="I642">
        <v>40.590000000000003</v>
      </c>
      <c r="J642" t="str">
        <f t="shared" ref="J642:J705" si="31">IF(I642&lt;20,"Low",IF(I642&lt;50,"Medium","High"))</f>
        <v>Medium</v>
      </c>
      <c r="K642" t="s">
        <v>50</v>
      </c>
      <c r="L642">
        <v>6</v>
      </c>
      <c r="M642">
        <v>32</v>
      </c>
      <c r="N642" t="str">
        <f t="shared" ref="N642:N705" si="32">IF(O642&lt;8,"Low Cost",IF(O642&lt;17,"Medium Cost","High Cost"))</f>
        <v>Medium Cost</v>
      </c>
      <c r="O642">
        <v>11.81</v>
      </c>
      <c r="P642" t="s">
        <v>43</v>
      </c>
      <c r="Q642" t="s">
        <v>34</v>
      </c>
      <c r="R642" t="s">
        <v>56</v>
      </c>
      <c r="S642" t="s">
        <v>603</v>
      </c>
      <c r="T642" t="s">
        <v>37</v>
      </c>
      <c r="U642">
        <v>79</v>
      </c>
      <c r="V642">
        <v>3.3</v>
      </c>
      <c r="W642" t="s">
        <v>38</v>
      </c>
      <c r="X642" t="s">
        <v>85</v>
      </c>
    </row>
    <row r="643" spans="1:24" x14ac:dyDescent="0.3">
      <c r="A643" t="s">
        <v>1921</v>
      </c>
      <c r="B643" t="s">
        <v>40</v>
      </c>
      <c r="C643" t="s">
        <v>41</v>
      </c>
      <c r="D643" t="str">
        <f t="shared" si="30"/>
        <v>Evening</v>
      </c>
      <c r="E643">
        <f>HOUR(EV_Data[[#This Row],[Charging Start Time]])</f>
        <v>17</v>
      </c>
      <c r="F643" s="1">
        <v>44953.708333333336</v>
      </c>
      <c r="G643" s="1">
        <v>44953.753472222219</v>
      </c>
      <c r="H643">
        <v>65</v>
      </c>
      <c r="I643">
        <v>30.13</v>
      </c>
      <c r="J643" t="str">
        <f t="shared" si="31"/>
        <v>Medium</v>
      </c>
      <c r="K643" t="s">
        <v>55</v>
      </c>
      <c r="L643">
        <v>76</v>
      </c>
      <c r="M643">
        <v>100</v>
      </c>
      <c r="N643" t="str">
        <f t="shared" si="32"/>
        <v>Medium Cost</v>
      </c>
      <c r="O643">
        <v>13.44</v>
      </c>
      <c r="P643" t="s">
        <v>43</v>
      </c>
      <c r="Q643" t="s">
        <v>34</v>
      </c>
      <c r="R643" t="s">
        <v>44</v>
      </c>
      <c r="S643" t="s">
        <v>604</v>
      </c>
      <c r="T643" t="s">
        <v>60</v>
      </c>
      <c r="U643">
        <v>79</v>
      </c>
      <c r="V643">
        <v>4.7</v>
      </c>
      <c r="W643" t="s">
        <v>38</v>
      </c>
      <c r="X643" t="s">
        <v>85</v>
      </c>
    </row>
    <row r="644" spans="1:24" x14ac:dyDescent="0.3">
      <c r="A644" t="s">
        <v>1922</v>
      </c>
      <c r="B644" t="s">
        <v>92</v>
      </c>
      <c r="C644" t="s">
        <v>93</v>
      </c>
      <c r="D644" t="str">
        <f t="shared" si="30"/>
        <v>Evening</v>
      </c>
      <c r="E644">
        <f>HOUR(EV_Data[[#This Row],[Charging Start Time]])</f>
        <v>18</v>
      </c>
      <c r="F644" s="1">
        <v>44953.75</v>
      </c>
      <c r="G644" s="1">
        <v>44953.782638888893</v>
      </c>
      <c r="H644">
        <v>47</v>
      </c>
      <c r="I644">
        <v>35.46</v>
      </c>
      <c r="J644" t="str">
        <f t="shared" si="31"/>
        <v>Medium</v>
      </c>
      <c r="K644" t="s">
        <v>22</v>
      </c>
      <c r="L644">
        <v>13</v>
      </c>
      <c r="M644">
        <v>24</v>
      </c>
      <c r="N644" t="str">
        <f t="shared" si="32"/>
        <v>Medium Cost</v>
      </c>
      <c r="O644">
        <v>8.0500000000000007</v>
      </c>
      <c r="P644" t="s">
        <v>43</v>
      </c>
      <c r="Q644" t="s">
        <v>48</v>
      </c>
      <c r="R644" t="s">
        <v>25</v>
      </c>
      <c r="S644" t="s">
        <v>605</v>
      </c>
      <c r="T644" t="s">
        <v>37</v>
      </c>
      <c r="U644">
        <v>56</v>
      </c>
      <c r="V644">
        <v>1.1000000000000001</v>
      </c>
      <c r="W644" t="s">
        <v>47</v>
      </c>
      <c r="X644" t="s">
        <v>29</v>
      </c>
    </row>
    <row r="645" spans="1:24" x14ac:dyDescent="0.3">
      <c r="A645" t="s">
        <v>1923</v>
      </c>
      <c r="B645" t="s">
        <v>71</v>
      </c>
      <c r="C645" t="s">
        <v>72</v>
      </c>
      <c r="D645" t="str">
        <f t="shared" si="30"/>
        <v>Evening</v>
      </c>
      <c r="E645">
        <f>HOUR(EV_Data[[#This Row],[Charging Start Time]])</f>
        <v>19</v>
      </c>
      <c r="F645" s="1">
        <v>44953.791666666664</v>
      </c>
      <c r="G645" s="1">
        <v>44953.804166666669</v>
      </c>
      <c r="H645">
        <v>18</v>
      </c>
      <c r="I645">
        <v>14.05</v>
      </c>
      <c r="J645" t="str">
        <f t="shared" si="31"/>
        <v>Low</v>
      </c>
      <c r="K645" t="s">
        <v>69</v>
      </c>
      <c r="L645">
        <v>60</v>
      </c>
      <c r="M645">
        <v>80</v>
      </c>
      <c r="N645" t="str">
        <f t="shared" si="32"/>
        <v>Low Cost</v>
      </c>
      <c r="O645">
        <v>5.0199999999999996</v>
      </c>
      <c r="P645" t="s">
        <v>33</v>
      </c>
      <c r="Q645" t="s">
        <v>58</v>
      </c>
      <c r="R645" t="s">
        <v>25</v>
      </c>
      <c r="S645" t="s">
        <v>257</v>
      </c>
      <c r="T645" t="s">
        <v>27</v>
      </c>
      <c r="U645">
        <v>5</v>
      </c>
      <c r="V645">
        <v>3.3</v>
      </c>
      <c r="W645" t="s">
        <v>38</v>
      </c>
      <c r="X645" t="s">
        <v>39</v>
      </c>
    </row>
    <row r="646" spans="1:24" x14ac:dyDescent="0.3">
      <c r="A646" t="s">
        <v>1924</v>
      </c>
      <c r="B646" t="s">
        <v>20</v>
      </c>
      <c r="C646" t="s">
        <v>21</v>
      </c>
      <c r="D646" t="str">
        <f t="shared" si="30"/>
        <v>Evening</v>
      </c>
      <c r="E646">
        <f>HOUR(EV_Data[[#This Row],[Charging Start Time]])</f>
        <v>20</v>
      </c>
      <c r="F646" s="1">
        <v>44953.833333333336</v>
      </c>
      <c r="G646" s="1">
        <v>44953.834027777782</v>
      </c>
      <c r="H646">
        <v>1</v>
      </c>
      <c r="I646">
        <v>42.64</v>
      </c>
      <c r="J646" t="str">
        <f t="shared" si="31"/>
        <v>Medium</v>
      </c>
      <c r="K646" t="s">
        <v>55</v>
      </c>
      <c r="L646">
        <v>62</v>
      </c>
      <c r="M646">
        <v>98</v>
      </c>
      <c r="N646" t="str">
        <f t="shared" si="32"/>
        <v>Medium Cost</v>
      </c>
      <c r="O646">
        <v>14.29</v>
      </c>
      <c r="P646" t="s">
        <v>23</v>
      </c>
      <c r="Q646" t="s">
        <v>48</v>
      </c>
      <c r="R646" t="s">
        <v>56</v>
      </c>
      <c r="S646" t="s">
        <v>606</v>
      </c>
      <c r="T646" t="s">
        <v>60</v>
      </c>
      <c r="U646">
        <v>21</v>
      </c>
      <c r="V646">
        <v>4.5</v>
      </c>
      <c r="W646" t="s">
        <v>47</v>
      </c>
      <c r="X646" t="s">
        <v>29</v>
      </c>
    </row>
    <row r="647" spans="1:24" x14ac:dyDescent="0.3">
      <c r="A647" t="s">
        <v>1925</v>
      </c>
      <c r="B647" t="s">
        <v>71</v>
      </c>
      <c r="C647" t="s">
        <v>72</v>
      </c>
      <c r="D647" t="str">
        <f t="shared" si="30"/>
        <v>Evening</v>
      </c>
      <c r="E647">
        <f>HOUR(EV_Data[[#This Row],[Charging Start Time]])</f>
        <v>21</v>
      </c>
      <c r="F647" s="1">
        <v>44953.875</v>
      </c>
      <c r="G647" s="1">
        <v>44953.895138888889</v>
      </c>
      <c r="H647">
        <v>29</v>
      </c>
      <c r="I647">
        <v>9.7100000000000009</v>
      </c>
      <c r="J647" t="str">
        <f t="shared" si="31"/>
        <v>Low</v>
      </c>
      <c r="K647" t="s">
        <v>69</v>
      </c>
      <c r="L647">
        <v>15</v>
      </c>
      <c r="M647">
        <v>49</v>
      </c>
      <c r="N647" t="str">
        <f t="shared" si="32"/>
        <v>Low Cost</v>
      </c>
      <c r="O647">
        <v>2.42</v>
      </c>
      <c r="P647" t="s">
        <v>23</v>
      </c>
      <c r="Q647" t="s">
        <v>58</v>
      </c>
      <c r="R647" t="s">
        <v>35</v>
      </c>
      <c r="S647" t="s">
        <v>607</v>
      </c>
      <c r="T647" t="s">
        <v>60</v>
      </c>
      <c r="U647">
        <v>11</v>
      </c>
      <c r="V647">
        <v>2.8</v>
      </c>
      <c r="W647" t="s">
        <v>28</v>
      </c>
      <c r="X647" t="s">
        <v>68</v>
      </c>
    </row>
    <row r="648" spans="1:24" x14ac:dyDescent="0.3">
      <c r="A648" t="s">
        <v>1926</v>
      </c>
      <c r="B648" t="s">
        <v>92</v>
      </c>
      <c r="C648" t="s">
        <v>93</v>
      </c>
      <c r="D648" t="str">
        <f t="shared" si="30"/>
        <v>Evening</v>
      </c>
      <c r="E648">
        <f>HOUR(EV_Data[[#This Row],[Charging Start Time]])</f>
        <v>22</v>
      </c>
      <c r="F648" s="1">
        <v>44953.916666666664</v>
      </c>
      <c r="G648" s="1">
        <v>44953.956250000003</v>
      </c>
      <c r="H648">
        <v>57</v>
      </c>
      <c r="I648">
        <v>32.159999999999997</v>
      </c>
      <c r="J648" t="str">
        <f t="shared" si="31"/>
        <v>Medium</v>
      </c>
      <c r="K648" t="s">
        <v>55</v>
      </c>
      <c r="L648">
        <v>23</v>
      </c>
      <c r="M648">
        <v>63</v>
      </c>
      <c r="N648" t="str">
        <f t="shared" si="32"/>
        <v>Medium Cost</v>
      </c>
      <c r="O648">
        <v>14.96</v>
      </c>
      <c r="P648" t="s">
        <v>51</v>
      </c>
      <c r="Q648" t="s">
        <v>24</v>
      </c>
      <c r="R648" t="s">
        <v>25</v>
      </c>
      <c r="S648" t="s">
        <v>608</v>
      </c>
      <c r="T648" t="s">
        <v>27</v>
      </c>
      <c r="U648">
        <v>19</v>
      </c>
      <c r="V648">
        <v>2.8</v>
      </c>
      <c r="W648" t="s">
        <v>47</v>
      </c>
      <c r="X648" t="s">
        <v>29</v>
      </c>
    </row>
    <row r="649" spans="1:24" x14ac:dyDescent="0.3">
      <c r="A649" t="s">
        <v>1927</v>
      </c>
      <c r="B649" t="s">
        <v>20</v>
      </c>
      <c r="C649" t="s">
        <v>21</v>
      </c>
      <c r="D649" t="str">
        <f t="shared" si="30"/>
        <v>Evening</v>
      </c>
      <c r="E649">
        <f>HOUR(EV_Data[[#This Row],[Charging Start Time]])</f>
        <v>23</v>
      </c>
      <c r="F649" s="1">
        <v>44953.958333333336</v>
      </c>
      <c r="G649" s="1">
        <v>44954.012499999997</v>
      </c>
      <c r="H649">
        <v>78</v>
      </c>
      <c r="I649">
        <v>27.8</v>
      </c>
      <c r="J649" t="str">
        <f t="shared" si="31"/>
        <v>Medium</v>
      </c>
      <c r="K649" t="s">
        <v>42</v>
      </c>
      <c r="L649">
        <v>55</v>
      </c>
      <c r="M649">
        <v>80</v>
      </c>
      <c r="N649" t="str">
        <f t="shared" si="32"/>
        <v>Medium Cost</v>
      </c>
      <c r="O649">
        <v>10.24</v>
      </c>
      <c r="P649" t="s">
        <v>51</v>
      </c>
      <c r="Q649" t="s">
        <v>24</v>
      </c>
      <c r="R649" t="s">
        <v>35</v>
      </c>
      <c r="S649" t="s">
        <v>609</v>
      </c>
      <c r="T649" t="s">
        <v>27</v>
      </c>
      <c r="U649">
        <v>16</v>
      </c>
      <c r="V649">
        <v>3.6</v>
      </c>
      <c r="W649" t="s">
        <v>47</v>
      </c>
      <c r="X649" t="s">
        <v>29</v>
      </c>
    </row>
    <row r="650" spans="1:24" x14ac:dyDescent="0.3">
      <c r="A650" t="s">
        <v>1928</v>
      </c>
      <c r="B650" t="s">
        <v>40</v>
      </c>
      <c r="C650" t="s">
        <v>41</v>
      </c>
      <c r="D650" t="str">
        <f t="shared" si="30"/>
        <v>Morning</v>
      </c>
      <c r="E650">
        <f>HOUR(EV_Data[[#This Row],[Charging Start Time]])</f>
        <v>0</v>
      </c>
      <c r="F650" s="1">
        <v>44954</v>
      </c>
      <c r="G650" s="1">
        <v>44954.027777777781</v>
      </c>
      <c r="H650">
        <v>40</v>
      </c>
      <c r="I650">
        <v>35.229999999999997</v>
      </c>
      <c r="J650" t="str">
        <f t="shared" si="31"/>
        <v>Medium</v>
      </c>
      <c r="K650" t="s">
        <v>42</v>
      </c>
      <c r="L650">
        <v>49</v>
      </c>
      <c r="M650">
        <v>73</v>
      </c>
      <c r="N650" t="str">
        <f t="shared" si="32"/>
        <v>Medium Cost</v>
      </c>
      <c r="O650">
        <v>8.41</v>
      </c>
      <c r="P650" t="s">
        <v>33</v>
      </c>
      <c r="Q650" t="s">
        <v>48</v>
      </c>
      <c r="R650" t="s">
        <v>35</v>
      </c>
      <c r="S650" t="s">
        <v>610</v>
      </c>
      <c r="T650" t="s">
        <v>46</v>
      </c>
      <c r="U650">
        <v>29</v>
      </c>
      <c r="V650">
        <v>3.6</v>
      </c>
      <c r="W650" t="s">
        <v>47</v>
      </c>
      <c r="X650" t="s">
        <v>29</v>
      </c>
    </row>
    <row r="651" spans="1:24" x14ac:dyDescent="0.3">
      <c r="A651" t="s">
        <v>1929</v>
      </c>
      <c r="B651" t="s">
        <v>126</v>
      </c>
      <c r="C651" t="s">
        <v>31</v>
      </c>
      <c r="D651" t="str">
        <f t="shared" si="30"/>
        <v>Morning</v>
      </c>
      <c r="E651">
        <f>HOUR(EV_Data[[#This Row],[Charging Start Time]])</f>
        <v>1</v>
      </c>
      <c r="F651" s="1">
        <v>44954.041666666664</v>
      </c>
      <c r="G651" s="1">
        <v>44954.053472222222</v>
      </c>
      <c r="H651">
        <v>17</v>
      </c>
      <c r="I651">
        <v>12.99</v>
      </c>
      <c r="J651" t="str">
        <f t="shared" si="31"/>
        <v>Low</v>
      </c>
      <c r="K651" t="s">
        <v>50</v>
      </c>
      <c r="L651">
        <v>31</v>
      </c>
      <c r="M651">
        <v>66</v>
      </c>
      <c r="N651" t="str">
        <f t="shared" si="32"/>
        <v>Low Cost</v>
      </c>
      <c r="O651">
        <v>4.8499999999999996</v>
      </c>
      <c r="P651" t="s">
        <v>64</v>
      </c>
      <c r="Q651" t="s">
        <v>24</v>
      </c>
      <c r="R651" t="s">
        <v>35</v>
      </c>
      <c r="S651" t="s">
        <v>611</v>
      </c>
      <c r="T651" t="s">
        <v>60</v>
      </c>
      <c r="U651">
        <v>37</v>
      </c>
      <c r="V651">
        <v>1.3</v>
      </c>
      <c r="W651" t="s">
        <v>38</v>
      </c>
    </row>
    <row r="652" spans="1:24" x14ac:dyDescent="0.3">
      <c r="A652" t="s">
        <v>1930</v>
      </c>
      <c r="B652" t="s">
        <v>71</v>
      </c>
      <c r="C652" t="s">
        <v>72</v>
      </c>
      <c r="D652" t="str">
        <f t="shared" si="30"/>
        <v>Morning</v>
      </c>
      <c r="E652">
        <f>HOUR(EV_Data[[#This Row],[Charging Start Time]])</f>
        <v>2</v>
      </c>
      <c r="F652" s="1">
        <v>44954.083333333336</v>
      </c>
      <c r="G652" s="1">
        <v>44954.118055555547</v>
      </c>
      <c r="H652">
        <v>50</v>
      </c>
      <c r="I652">
        <v>25</v>
      </c>
      <c r="J652" t="str">
        <f t="shared" si="31"/>
        <v>Medium</v>
      </c>
      <c r="K652" t="s">
        <v>32</v>
      </c>
      <c r="L652">
        <v>35</v>
      </c>
      <c r="M652">
        <v>75</v>
      </c>
      <c r="N652" t="str">
        <f t="shared" si="32"/>
        <v>Low Cost</v>
      </c>
      <c r="O652">
        <v>7.97</v>
      </c>
      <c r="P652" t="s">
        <v>43</v>
      </c>
      <c r="Q652" t="s">
        <v>34</v>
      </c>
      <c r="R652" t="s">
        <v>56</v>
      </c>
      <c r="S652" t="s">
        <v>612</v>
      </c>
      <c r="T652" t="s">
        <v>37</v>
      </c>
      <c r="U652">
        <v>59</v>
      </c>
      <c r="V652">
        <v>4.3</v>
      </c>
      <c r="W652" t="s">
        <v>28</v>
      </c>
      <c r="X652" t="s">
        <v>68</v>
      </c>
    </row>
    <row r="653" spans="1:24" x14ac:dyDescent="0.3">
      <c r="A653" t="s">
        <v>1931</v>
      </c>
      <c r="B653" t="s">
        <v>77</v>
      </c>
      <c r="C653" t="s">
        <v>78</v>
      </c>
      <c r="D653" t="str">
        <f t="shared" si="30"/>
        <v>Morning</v>
      </c>
      <c r="E653">
        <f>HOUR(EV_Data[[#This Row],[Charging Start Time]])</f>
        <v>3</v>
      </c>
      <c r="F653" s="1">
        <v>44954.125</v>
      </c>
      <c r="G653" s="1">
        <v>44954.15625</v>
      </c>
      <c r="H653">
        <v>45</v>
      </c>
      <c r="I653">
        <v>45.74</v>
      </c>
      <c r="J653" t="str">
        <f t="shared" si="31"/>
        <v>Medium</v>
      </c>
      <c r="K653" t="s">
        <v>32</v>
      </c>
      <c r="L653">
        <v>20</v>
      </c>
      <c r="M653">
        <v>56</v>
      </c>
      <c r="N653" t="str">
        <f t="shared" si="32"/>
        <v>High Cost</v>
      </c>
      <c r="O653">
        <v>21.15</v>
      </c>
      <c r="P653" t="s">
        <v>33</v>
      </c>
      <c r="Q653" t="s">
        <v>58</v>
      </c>
      <c r="R653" t="s">
        <v>44</v>
      </c>
      <c r="S653" t="s">
        <v>613</v>
      </c>
      <c r="T653" t="s">
        <v>37</v>
      </c>
      <c r="U653">
        <v>72</v>
      </c>
      <c r="V653">
        <v>4.3</v>
      </c>
      <c r="W653" t="s">
        <v>38</v>
      </c>
      <c r="X653" t="s">
        <v>62</v>
      </c>
    </row>
    <row r="654" spans="1:24" x14ac:dyDescent="0.3">
      <c r="A654" t="s">
        <v>1932</v>
      </c>
      <c r="B654" t="s">
        <v>77</v>
      </c>
      <c r="C654" t="s">
        <v>78</v>
      </c>
      <c r="D654" t="str">
        <f t="shared" si="30"/>
        <v>Morning</v>
      </c>
      <c r="E654">
        <f>HOUR(EV_Data[[#This Row],[Charging Start Time]])</f>
        <v>4</v>
      </c>
      <c r="F654" s="1">
        <v>44954.166666666664</v>
      </c>
      <c r="G654" s="1">
        <v>44954.17083333333</v>
      </c>
      <c r="H654">
        <v>6</v>
      </c>
      <c r="I654">
        <v>46.8</v>
      </c>
      <c r="J654" t="str">
        <f t="shared" si="31"/>
        <v>Medium</v>
      </c>
      <c r="K654" t="s">
        <v>69</v>
      </c>
      <c r="L654">
        <v>61</v>
      </c>
      <c r="M654">
        <v>100</v>
      </c>
      <c r="N654" t="str">
        <f t="shared" si="32"/>
        <v>Medium Cost</v>
      </c>
      <c r="O654">
        <v>11.65</v>
      </c>
      <c r="P654" t="s">
        <v>43</v>
      </c>
      <c r="Q654" t="s">
        <v>58</v>
      </c>
      <c r="R654" t="s">
        <v>44</v>
      </c>
      <c r="S654" t="s">
        <v>614</v>
      </c>
      <c r="T654" t="s">
        <v>46</v>
      </c>
      <c r="U654">
        <v>95</v>
      </c>
      <c r="V654">
        <v>1</v>
      </c>
      <c r="W654" t="s">
        <v>38</v>
      </c>
      <c r="X654" t="s">
        <v>85</v>
      </c>
    </row>
    <row r="655" spans="1:24" x14ac:dyDescent="0.3">
      <c r="A655" t="s">
        <v>1933</v>
      </c>
      <c r="B655" t="s">
        <v>71</v>
      </c>
      <c r="C655" t="s">
        <v>72</v>
      </c>
      <c r="D655" t="str">
        <f t="shared" si="30"/>
        <v>Morning</v>
      </c>
      <c r="E655">
        <f>HOUR(EV_Data[[#This Row],[Charging Start Time]])</f>
        <v>5</v>
      </c>
      <c r="F655" s="1">
        <v>44954.208333333336</v>
      </c>
      <c r="G655" s="1">
        <v>44954.283333333333</v>
      </c>
      <c r="H655">
        <v>108</v>
      </c>
      <c r="I655">
        <v>39.32</v>
      </c>
      <c r="J655" t="str">
        <f t="shared" si="31"/>
        <v>Medium</v>
      </c>
      <c r="K655" t="s">
        <v>69</v>
      </c>
      <c r="L655">
        <v>47</v>
      </c>
      <c r="M655">
        <v>76</v>
      </c>
      <c r="N655" t="str">
        <f t="shared" si="32"/>
        <v>Medium Cost</v>
      </c>
      <c r="O655">
        <v>15.78</v>
      </c>
      <c r="P655" t="s">
        <v>51</v>
      </c>
      <c r="Q655" t="s">
        <v>34</v>
      </c>
      <c r="R655" t="s">
        <v>25</v>
      </c>
      <c r="S655" t="s">
        <v>615</v>
      </c>
      <c r="T655" t="s">
        <v>27</v>
      </c>
      <c r="U655">
        <v>71</v>
      </c>
      <c r="V655">
        <v>1.5</v>
      </c>
      <c r="W655" t="s">
        <v>38</v>
      </c>
      <c r="X655" t="s">
        <v>39</v>
      </c>
    </row>
    <row r="656" spans="1:24" x14ac:dyDescent="0.3">
      <c r="A656" t="s">
        <v>1934</v>
      </c>
      <c r="B656" t="s">
        <v>92</v>
      </c>
      <c r="C656" t="s">
        <v>93</v>
      </c>
      <c r="D656" t="str">
        <f t="shared" si="30"/>
        <v>Morning</v>
      </c>
      <c r="E656">
        <f>HOUR(EV_Data[[#This Row],[Charging Start Time]])</f>
        <v>6</v>
      </c>
      <c r="F656" s="1">
        <v>44954.25</v>
      </c>
      <c r="G656" s="1">
        <v>44954.291666666657</v>
      </c>
      <c r="H656">
        <v>60</v>
      </c>
      <c r="I656">
        <v>47.8</v>
      </c>
      <c r="J656" t="str">
        <f t="shared" si="31"/>
        <v>Medium</v>
      </c>
      <c r="K656" t="s">
        <v>50</v>
      </c>
      <c r="L656">
        <v>16</v>
      </c>
      <c r="M656">
        <v>47</v>
      </c>
      <c r="N656" t="str">
        <f t="shared" si="32"/>
        <v>Medium Cost</v>
      </c>
      <c r="O656">
        <v>16.940000000000001</v>
      </c>
      <c r="P656" t="s">
        <v>33</v>
      </c>
      <c r="Q656" t="s">
        <v>48</v>
      </c>
      <c r="R656" t="s">
        <v>56</v>
      </c>
      <c r="S656" t="s">
        <v>616</v>
      </c>
      <c r="T656" t="s">
        <v>27</v>
      </c>
      <c r="U656">
        <v>56</v>
      </c>
      <c r="V656">
        <v>3.4</v>
      </c>
      <c r="W656" t="s">
        <v>28</v>
      </c>
      <c r="X656" t="s">
        <v>68</v>
      </c>
    </row>
    <row r="657" spans="1:24" x14ac:dyDescent="0.3">
      <c r="A657" t="s">
        <v>1935</v>
      </c>
      <c r="B657" t="s">
        <v>53</v>
      </c>
      <c r="C657" t="s">
        <v>54</v>
      </c>
      <c r="D657" t="str">
        <f t="shared" si="30"/>
        <v>Morning</v>
      </c>
      <c r="E657">
        <f>HOUR(EV_Data[[#This Row],[Charging Start Time]])</f>
        <v>7</v>
      </c>
      <c r="F657" s="1">
        <v>44954.291666666664</v>
      </c>
      <c r="G657" s="1">
        <v>44954.302777777782</v>
      </c>
      <c r="H657">
        <v>16</v>
      </c>
      <c r="I657">
        <v>49.97</v>
      </c>
      <c r="J657" t="str">
        <f t="shared" si="31"/>
        <v>Medium</v>
      </c>
      <c r="K657" t="s">
        <v>50</v>
      </c>
      <c r="L657">
        <v>45</v>
      </c>
      <c r="M657">
        <v>78</v>
      </c>
      <c r="N657" t="str">
        <f t="shared" si="32"/>
        <v>High Cost</v>
      </c>
      <c r="O657">
        <v>19.37</v>
      </c>
      <c r="P657" t="s">
        <v>64</v>
      </c>
      <c r="Q657" t="s">
        <v>34</v>
      </c>
      <c r="R657" t="s">
        <v>44</v>
      </c>
      <c r="S657" t="s">
        <v>617</v>
      </c>
      <c r="T657" t="s">
        <v>46</v>
      </c>
      <c r="U657">
        <v>94</v>
      </c>
      <c r="V657">
        <v>4.5</v>
      </c>
      <c r="W657" t="s">
        <v>28</v>
      </c>
      <c r="X657" t="s">
        <v>68</v>
      </c>
    </row>
    <row r="658" spans="1:24" x14ac:dyDescent="0.3">
      <c r="A658" t="s">
        <v>1936</v>
      </c>
      <c r="B658" t="s">
        <v>30</v>
      </c>
      <c r="C658" t="s">
        <v>102</v>
      </c>
      <c r="D658" t="str">
        <f t="shared" si="30"/>
        <v>Morning</v>
      </c>
      <c r="E658">
        <f>HOUR(EV_Data[[#This Row],[Charging Start Time]])</f>
        <v>8</v>
      </c>
      <c r="F658" s="1">
        <v>44954.333333333336</v>
      </c>
      <c r="G658" s="1">
        <v>44954.356249999997</v>
      </c>
      <c r="H658">
        <v>33</v>
      </c>
      <c r="I658">
        <v>35.54</v>
      </c>
      <c r="J658" t="str">
        <f t="shared" si="31"/>
        <v>Medium</v>
      </c>
      <c r="K658" t="s">
        <v>42</v>
      </c>
      <c r="L658">
        <v>78</v>
      </c>
      <c r="M658">
        <v>89</v>
      </c>
      <c r="N658" t="str">
        <f t="shared" si="32"/>
        <v>Low Cost</v>
      </c>
      <c r="O658">
        <v>7.33</v>
      </c>
      <c r="P658" t="s">
        <v>51</v>
      </c>
      <c r="Q658" t="s">
        <v>48</v>
      </c>
      <c r="R658" t="s">
        <v>25</v>
      </c>
      <c r="S658" t="s">
        <v>618</v>
      </c>
      <c r="T658" t="s">
        <v>60</v>
      </c>
      <c r="U658">
        <v>40</v>
      </c>
      <c r="V658">
        <v>3.9</v>
      </c>
      <c r="W658" t="s">
        <v>28</v>
      </c>
      <c r="X658" t="s">
        <v>68</v>
      </c>
    </row>
    <row r="659" spans="1:24" x14ac:dyDescent="0.3">
      <c r="A659" t="s">
        <v>1937</v>
      </c>
      <c r="B659" t="s">
        <v>40</v>
      </c>
      <c r="C659" t="s">
        <v>41</v>
      </c>
      <c r="D659" t="str">
        <f t="shared" si="30"/>
        <v>Morning</v>
      </c>
      <c r="E659">
        <f>HOUR(EV_Data[[#This Row],[Charging Start Time]])</f>
        <v>9</v>
      </c>
      <c r="F659" s="1">
        <v>44954.375</v>
      </c>
      <c r="G659" s="1">
        <v>44954.401388888888</v>
      </c>
      <c r="H659">
        <v>38</v>
      </c>
      <c r="I659">
        <v>22.6</v>
      </c>
      <c r="J659" t="str">
        <f t="shared" si="31"/>
        <v>Medium</v>
      </c>
      <c r="K659" t="s">
        <v>69</v>
      </c>
      <c r="L659">
        <v>57</v>
      </c>
      <c r="M659">
        <v>83</v>
      </c>
      <c r="N659" t="str">
        <f t="shared" si="32"/>
        <v>Medium Cost</v>
      </c>
      <c r="O659">
        <v>10.58</v>
      </c>
      <c r="P659" t="s">
        <v>33</v>
      </c>
      <c r="Q659" t="s">
        <v>24</v>
      </c>
      <c r="R659" t="s">
        <v>35</v>
      </c>
      <c r="S659" t="s">
        <v>112</v>
      </c>
      <c r="T659" t="s">
        <v>27</v>
      </c>
      <c r="U659">
        <v>31</v>
      </c>
      <c r="V659">
        <v>4.5</v>
      </c>
      <c r="W659" t="s">
        <v>28</v>
      </c>
      <c r="X659" t="s">
        <v>68</v>
      </c>
    </row>
    <row r="660" spans="1:24" x14ac:dyDescent="0.3">
      <c r="A660" t="s">
        <v>1938</v>
      </c>
      <c r="B660" t="s">
        <v>126</v>
      </c>
      <c r="C660" t="s">
        <v>31</v>
      </c>
      <c r="D660" t="str">
        <f t="shared" si="30"/>
        <v>Morning</v>
      </c>
      <c r="E660">
        <f>HOUR(EV_Data[[#This Row],[Charging Start Time]])</f>
        <v>10</v>
      </c>
      <c r="F660" s="1">
        <v>44954.416666666664</v>
      </c>
      <c r="G660" s="1">
        <v>44954.417361111111</v>
      </c>
      <c r="H660">
        <v>1</v>
      </c>
      <c r="I660">
        <v>48.53</v>
      </c>
      <c r="J660" t="str">
        <f t="shared" si="31"/>
        <v>Medium</v>
      </c>
      <c r="K660" t="s">
        <v>32</v>
      </c>
      <c r="L660">
        <v>15</v>
      </c>
      <c r="M660">
        <v>43</v>
      </c>
      <c r="N660" t="str">
        <f t="shared" si="32"/>
        <v>High Cost</v>
      </c>
      <c r="O660">
        <v>18</v>
      </c>
      <c r="P660" t="s">
        <v>64</v>
      </c>
      <c r="Q660" t="s">
        <v>34</v>
      </c>
      <c r="R660" t="s">
        <v>35</v>
      </c>
      <c r="S660" t="s">
        <v>554</v>
      </c>
      <c r="T660" t="s">
        <v>37</v>
      </c>
      <c r="U660">
        <v>99</v>
      </c>
      <c r="V660">
        <v>2.4</v>
      </c>
      <c r="W660" t="s">
        <v>28</v>
      </c>
      <c r="X660" t="s">
        <v>68</v>
      </c>
    </row>
    <row r="661" spans="1:24" x14ac:dyDescent="0.3">
      <c r="A661" t="s">
        <v>1939</v>
      </c>
      <c r="B661" t="s">
        <v>71</v>
      </c>
      <c r="C661" t="s">
        <v>72</v>
      </c>
      <c r="D661" t="str">
        <f t="shared" si="30"/>
        <v>Morning</v>
      </c>
      <c r="E661">
        <f>HOUR(EV_Data[[#This Row],[Charging Start Time]])</f>
        <v>11</v>
      </c>
      <c r="F661" s="1">
        <v>44954.458333333336</v>
      </c>
      <c r="G661" s="1">
        <v>44954.496527777781</v>
      </c>
      <c r="H661">
        <v>55</v>
      </c>
      <c r="I661">
        <v>13.6</v>
      </c>
      <c r="J661" t="str">
        <f t="shared" si="31"/>
        <v>Low</v>
      </c>
      <c r="K661" t="s">
        <v>42</v>
      </c>
      <c r="L661">
        <v>25</v>
      </c>
      <c r="M661">
        <v>62</v>
      </c>
      <c r="N661" t="str">
        <f t="shared" si="32"/>
        <v>Low Cost</v>
      </c>
      <c r="O661">
        <v>4.01</v>
      </c>
      <c r="P661" t="s">
        <v>64</v>
      </c>
      <c r="Q661" t="s">
        <v>48</v>
      </c>
      <c r="R661" t="s">
        <v>44</v>
      </c>
      <c r="S661" t="s">
        <v>619</v>
      </c>
      <c r="T661" t="s">
        <v>46</v>
      </c>
      <c r="U661">
        <v>2</v>
      </c>
      <c r="V661">
        <v>3.1</v>
      </c>
      <c r="W661" t="s">
        <v>38</v>
      </c>
      <c r="X661" t="s">
        <v>85</v>
      </c>
    </row>
    <row r="662" spans="1:24" x14ac:dyDescent="0.3">
      <c r="A662" t="s">
        <v>1280</v>
      </c>
      <c r="B662" t="s">
        <v>40</v>
      </c>
      <c r="C662" t="s">
        <v>41</v>
      </c>
      <c r="D662" t="str">
        <f t="shared" si="30"/>
        <v>Afternoon</v>
      </c>
      <c r="E662">
        <f>HOUR(EV_Data[[#This Row],[Charging Start Time]])</f>
        <v>12</v>
      </c>
      <c r="F662" s="1">
        <v>44954.5</v>
      </c>
      <c r="G662" s="1">
        <v>44954.524305555547</v>
      </c>
      <c r="H662">
        <v>35</v>
      </c>
      <c r="I662">
        <v>29.19</v>
      </c>
      <c r="J662" t="str">
        <f t="shared" si="31"/>
        <v>Medium</v>
      </c>
      <c r="K662" t="s">
        <v>50</v>
      </c>
      <c r="L662">
        <v>24</v>
      </c>
      <c r="M662">
        <v>47</v>
      </c>
      <c r="N662" t="str">
        <f t="shared" si="32"/>
        <v>Medium Cost</v>
      </c>
      <c r="O662">
        <v>9.24</v>
      </c>
      <c r="P662" t="s">
        <v>43</v>
      </c>
      <c r="Q662" t="s">
        <v>34</v>
      </c>
      <c r="R662" t="s">
        <v>35</v>
      </c>
      <c r="S662" t="s">
        <v>620</v>
      </c>
      <c r="T662" t="s">
        <v>60</v>
      </c>
      <c r="U662">
        <v>14</v>
      </c>
      <c r="V662">
        <v>4.0999999999999996</v>
      </c>
      <c r="W662" t="s">
        <v>47</v>
      </c>
      <c r="X662" t="s">
        <v>29</v>
      </c>
    </row>
    <row r="663" spans="1:24" x14ac:dyDescent="0.3">
      <c r="A663" t="s">
        <v>1940</v>
      </c>
      <c r="B663" t="s">
        <v>53</v>
      </c>
      <c r="C663" t="s">
        <v>54</v>
      </c>
      <c r="D663" t="str">
        <f t="shared" si="30"/>
        <v>Afternoon</v>
      </c>
      <c r="E663">
        <f>HOUR(EV_Data[[#This Row],[Charging Start Time]])</f>
        <v>13</v>
      </c>
      <c r="F663" s="1">
        <v>44954.541666666664</v>
      </c>
      <c r="G663" s="1">
        <v>44954.574305555558</v>
      </c>
      <c r="H663">
        <v>47</v>
      </c>
      <c r="I663">
        <v>16.2</v>
      </c>
      <c r="J663" t="str">
        <f t="shared" si="31"/>
        <v>Low</v>
      </c>
      <c r="K663" t="s">
        <v>69</v>
      </c>
      <c r="L663">
        <v>74</v>
      </c>
      <c r="M663">
        <v>100</v>
      </c>
      <c r="N663" t="str">
        <f t="shared" si="32"/>
        <v>Low Cost</v>
      </c>
      <c r="O663">
        <v>3.66</v>
      </c>
      <c r="P663" t="s">
        <v>43</v>
      </c>
      <c r="Q663" t="s">
        <v>48</v>
      </c>
      <c r="R663" t="s">
        <v>25</v>
      </c>
      <c r="S663" t="s">
        <v>621</v>
      </c>
      <c r="T663" t="s">
        <v>27</v>
      </c>
      <c r="U663">
        <v>35</v>
      </c>
      <c r="V663">
        <v>4.3</v>
      </c>
      <c r="W663" t="s">
        <v>47</v>
      </c>
      <c r="X663" t="s">
        <v>29</v>
      </c>
    </row>
    <row r="664" spans="1:24" x14ac:dyDescent="0.3">
      <c r="A664" t="s">
        <v>1941</v>
      </c>
      <c r="B664" t="s">
        <v>53</v>
      </c>
      <c r="C664" t="s">
        <v>54</v>
      </c>
      <c r="D664" t="str">
        <f t="shared" si="30"/>
        <v>Afternoon</v>
      </c>
      <c r="E664">
        <f>HOUR(EV_Data[[#This Row],[Charging Start Time]])</f>
        <v>14</v>
      </c>
      <c r="F664" s="1">
        <v>44954.583333333336</v>
      </c>
      <c r="G664" s="1">
        <v>44954.638194444437</v>
      </c>
      <c r="H664">
        <v>79</v>
      </c>
      <c r="I664">
        <v>27.77</v>
      </c>
      <c r="J664" t="str">
        <f t="shared" si="31"/>
        <v>Medium</v>
      </c>
      <c r="K664" t="s">
        <v>32</v>
      </c>
      <c r="L664">
        <v>7</v>
      </c>
      <c r="M664">
        <v>46</v>
      </c>
      <c r="N664" t="str">
        <f t="shared" si="32"/>
        <v>Low Cost</v>
      </c>
      <c r="O664">
        <v>6.71</v>
      </c>
      <c r="P664" t="s">
        <v>33</v>
      </c>
      <c r="Q664" t="s">
        <v>48</v>
      </c>
      <c r="R664" t="s">
        <v>25</v>
      </c>
      <c r="S664" t="s">
        <v>622</v>
      </c>
      <c r="T664" t="s">
        <v>46</v>
      </c>
      <c r="U664">
        <v>14</v>
      </c>
      <c r="V664">
        <v>3.2</v>
      </c>
      <c r="W664" t="s">
        <v>28</v>
      </c>
      <c r="X664" t="s">
        <v>68</v>
      </c>
    </row>
    <row r="665" spans="1:24" x14ac:dyDescent="0.3">
      <c r="A665" t="s">
        <v>1942</v>
      </c>
      <c r="B665" t="s">
        <v>77</v>
      </c>
      <c r="C665" t="s">
        <v>78</v>
      </c>
      <c r="D665" t="str">
        <f t="shared" si="30"/>
        <v>Afternoon</v>
      </c>
      <c r="E665">
        <f>HOUR(EV_Data[[#This Row],[Charging Start Time]])</f>
        <v>15</v>
      </c>
      <c r="F665" s="1">
        <v>44954.625</v>
      </c>
      <c r="G665" s="1">
        <v>44954.700694444437</v>
      </c>
      <c r="H665">
        <v>109</v>
      </c>
      <c r="I665">
        <v>37.46</v>
      </c>
      <c r="J665" t="str">
        <f t="shared" si="31"/>
        <v>Medium</v>
      </c>
      <c r="K665" t="s">
        <v>50</v>
      </c>
      <c r="L665">
        <v>78</v>
      </c>
      <c r="M665">
        <v>100</v>
      </c>
      <c r="N665" t="str">
        <f t="shared" si="32"/>
        <v>Medium Cost</v>
      </c>
      <c r="O665">
        <v>15</v>
      </c>
      <c r="P665" t="s">
        <v>51</v>
      </c>
      <c r="Q665" t="s">
        <v>34</v>
      </c>
      <c r="R665" t="s">
        <v>25</v>
      </c>
      <c r="S665" t="s">
        <v>623</v>
      </c>
      <c r="T665" t="s">
        <v>37</v>
      </c>
      <c r="U665">
        <v>24</v>
      </c>
      <c r="V665">
        <v>2</v>
      </c>
      <c r="W665" t="s">
        <v>38</v>
      </c>
      <c r="X665" t="s">
        <v>39</v>
      </c>
    </row>
    <row r="666" spans="1:24" x14ac:dyDescent="0.3">
      <c r="A666" t="s">
        <v>1943</v>
      </c>
      <c r="B666" t="s">
        <v>40</v>
      </c>
      <c r="C666" t="s">
        <v>41</v>
      </c>
      <c r="D666" t="str">
        <f t="shared" si="30"/>
        <v>Afternoon</v>
      </c>
      <c r="E666">
        <f>HOUR(EV_Data[[#This Row],[Charging Start Time]])</f>
        <v>16</v>
      </c>
      <c r="F666" s="1">
        <v>44954.666666666664</v>
      </c>
      <c r="G666" s="1">
        <v>44954.693055555559</v>
      </c>
      <c r="H666">
        <v>38</v>
      </c>
      <c r="I666">
        <v>27.3</v>
      </c>
      <c r="J666" t="str">
        <f t="shared" si="31"/>
        <v>Medium</v>
      </c>
      <c r="K666" t="s">
        <v>50</v>
      </c>
      <c r="L666">
        <v>48</v>
      </c>
      <c r="M666">
        <v>59</v>
      </c>
      <c r="N666" t="str">
        <f t="shared" si="32"/>
        <v>Low Cost</v>
      </c>
      <c r="O666">
        <v>7.23</v>
      </c>
      <c r="P666" t="s">
        <v>23</v>
      </c>
      <c r="Q666" t="s">
        <v>34</v>
      </c>
      <c r="R666" t="s">
        <v>25</v>
      </c>
      <c r="S666" t="s">
        <v>103</v>
      </c>
      <c r="T666" t="s">
        <v>37</v>
      </c>
      <c r="U666">
        <v>63</v>
      </c>
      <c r="V666">
        <v>1.5</v>
      </c>
      <c r="W666" t="s">
        <v>38</v>
      </c>
      <c r="X666" t="s">
        <v>39</v>
      </c>
    </row>
    <row r="667" spans="1:24" x14ac:dyDescent="0.3">
      <c r="A667" t="s">
        <v>1944</v>
      </c>
      <c r="B667" t="s">
        <v>126</v>
      </c>
      <c r="C667" t="s">
        <v>31</v>
      </c>
      <c r="D667" t="str">
        <f t="shared" si="30"/>
        <v>Evening</v>
      </c>
      <c r="E667">
        <f>HOUR(EV_Data[[#This Row],[Charging Start Time]])</f>
        <v>17</v>
      </c>
      <c r="F667" s="1">
        <v>44954.708333333336</v>
      </c>
      <c r="G667" s="1">
        <v>44954.734027777777</v>
      </c>
      <c r="H667">
        <v>37</v>
      </c>
      <c r="I667">
        <v>23.58</v>
      </c>
      <c r="J667" t="str">
        <f t="shared" si="31"/>
        <v>Medium</v>
      </c>
      <c r="K667" t="s">
        <v>69</v>
      </c>
      <c r="L667">
        <v>8</v>
      </c>
      <c r="M667">
        <v>20</v>
      </c>
      <c r="N667" t="str">
        <f t="shared" si="32"/>
        <v>Medium Cost</v>
      </c>
      <c r="O667">
        <v>8.06</v>
      </c>
      <c r="P667" t="s">
        <v>64</v>
      </c>
      <c r="Q667" t="s">
        <v>34</v>
      </c>
      <c r="R667" t="s">
        <v>35</v>
      </c>
      <c r="S667" t="s">
        <v>624</v>
      </c>
      <c r="T667" t="s">
        <v>60</v>
      </c>
      <c r="U667">
        <v>19</v>
      </c>
      <c r="V667">
        <v>2.5</v>
      </c>
      <c r="W667" t="s">
        <v>47</v>
      </c>
      <c r="X667" t="s">
        <v>29</v>
      </c>
    </row>
    <row r="668" spans="1:24" x14ac:dyDescent="0.3">
      <c r="A668" t="s">
        <v>1945</v>
      </c>
      <c r="B668" t="s">
        <v>20</v>
      </c>
      <c r="C668" t="s">
        <v>21</v>
      </c>
      <c r="D668" t="str">
        <f t="shared" si="30"/>
        <v>Evening</v>
      </c>
      <c r="E668">
        <f>HOUR(EV_Data[[#This Row],[Charging Start Time]])</f>
        <v>18</v>
      </c>
      <c r="F668" s="1">
        <v>44954.75</v>
      </c>
      <c r="G668" s="1">
        <v>44954.794444444437</v>
      </c>
      <c r="H668">
        <v>64</v>
      </c>
      <c r="I668">
        <v>31.31</v>
      </c>
      <c r="J668" t="str">
        <f t="shared" si="31"/>
        <v>Medium</v>
      </c>
      <c r="K668" t="s">
        <v>42</v>
      </c>
      <c r="L668">
        <v>75</v>
      </c>
      <c r="M668">
        <v>100</v>
      </c>
      <c r="N668" t="str">
        <f t="shared" si="32"/>
        <v>Medium Cost</v>
      </c>
      <c r="O668">
        <v>9.26</v>
      </c>
      <c r="P668" t="s">
        <v>33</v>
      </c>
      <c r="Q668" t="s">
        <v>48</v>
      </c>
      <c r="R668" t="s">
        <v>44</v>
      </c>
      <c r="S668" t="s">
        <v>625</v>
      </c>
      <c r="T668" t="s">
        <v>46</v>
      </c>
      <c r="U668">
        <v>56</v>
      </c>
      <c r="V668">
        <v>3.5</v>
      </c>
      <c r="W668" t="s">
        <v>28</v>
      </c>
      <c r="X668" t="s">
        <v>68</v>
      </c>
    </row>
    <row r="669" spans="1:24" x14ac:dyDescent="0.3">
      <c r="A669" t="s">
        <v>1946</v>
      </c>
      <c r="B669" t="s">
        <v>20</v>
      </c>
      <c r="C669" t="s">
        <v>21</v>
      </c>
      <c r="D669" t="str">
        <f t="shared" si="30"/>
        <v>Evening</v>
      </c>
      <c r="E669">
        <f>HOUR(EV_Data[[#This Row],[Charging Start Time]])</f>
        <v>19</v>
      </c>
      <c r="F669" s="1">
        <v>44954.791666666664</v>
      </c>
      <c r="G669" s="1">
        <v>44954.835416666669</v>
      </c>
      <c r="H669">
        <v>63</v>
      </c>
      <c r="I669">
        <v>38.229999999999997</v>
      </c>
      <c r="J669" t="str">
        <f t="shared" si="31"/>
        <v>Medium</v>
      </c>
      <c r="K669" t="s">
        <v>50</v>
      </c>
      <c r="L669">
        <v>10</v>
      </c>
      <c r="M669">
        <v>29</v>
      </c>
      <c r="N669" t="str">
        <f t="shared" si="32"/>
        <v>Medium Cost</v>
      </c>
      <c r="O669">
        <v>14.59</v>
      </c>
      <c r="P669" t="s">
        <v>64</v>
      </c>
      <c r="Q669" t="s">
        <v>48</v>
      </c>
      <c r="R669" t="s">
        <v>35</v>
      </c>
      <c r="S669" t="s">
        <v>161</v>
      </c>
      <c r="T669" t="s">
        <v>46</v>
      </c>
      <c r="U669">
        <v>64</v>
      </c>
      <c r="V669">
        <v>3</v>
      </c>
      <c r="W669" t="s">
        <v>28</v>
      </c>
      <c r="X669" t="s">
        <v>68</v>
      </c>
    </row>
    <row r="670" spans="1:24" x14ac:dyDescent="0.3">
      <c r="A670" t="s">
        <v>1947</v>
      </c>
      <c r="B670" t="s">
        <v>20</v>
      </c>
      <c r="C670" t="s">
        <v>21</v>
      </c>
      <c r="D670" t="str">
        <f t="shared" si="30"/>
        <v>Evening</v>
      </c>
      <c r="E670">
        <f>HOUR(EV_Data[[#This Row],[Charging Start Time]])</f>
        <v>20</v>
      </c>
      <c r="F670" s="1">
        <v>44954.833333333336</v>
      </c>
      <c r="G670" s="1">
        <v>44954.859722222223</v>
      </c>
      <c r="H670">
        <v>38</v>
      </c>
      <c r="I670">
        <v>48.47</v>
      </c>
      <c r="J670" t="str">
        <f t="shared" si="31"/>
        <v>Medium</v>
      </c>
      <c r="K670" t="s">
        <v>55</v>
      </c>
      <c r="L670">
        <v>68</v>
      </c>
      <c r="M670">
        <v>100</v>
      </c>
      <c r="N670" t="str">
        <f t="shared" si="32"/>
        <v>Medium Cost</v>
      </c>
      <c r="O670">
        <v>11.72</v>
      </c>
      <c r="P670" t="s">
        <v>23</v>
      </c>
      <c r="Q670" t="s">
        <v>58</v>
      </c>
      <c r="R670" t="s">
        <v>35</v>
      </c>
      <c r="S670" t="s">
        <v>626</v>
      </c>
      <c r="T670" t="s">
        <v>37</v>
      </c>
      <c r="U670">
        <v>45</v>
      </c>
      <c r="V670">
        <v>3.8</v>
      </c>
      <c r="W670" t="s">
        <v>47</v>
      </c>
      <c r="X670" t="s">
        <v>29</v>
      </c>
    </row>
    <row r="671" spans="1:24" x14ac:dyDescent="0.3">
      <c r="A671" t="s">
        <v>1948</v>
      </c>
      <c r="B671" t="s">
        <v>92</v>
      </c>
      <c r="C671" t="s">
        <v>93</v>
      </c>
      <c r="D671" t="str">
        <f t="shared" si="30"/>
        <v>Evening</v>
      </c>
      <c r="E671">
        <f>HOUR(EV_Data[[#This Row],[Charging Start Time]])</f>
        <v>21</v>
      </c>
      <c r="F671" s="1">
        <v>44954.875</v>
      </c>
      <c r="G671" s="1">
        <v>44954.910416666673</v>
      </c>
      <c r="H671">
        <v>51</v>
      </c>
      <c r="I671">
        <v>21.52</v>
      </c>
      <c r="J671" t="str">
        <f t="shared" si="31"/>
        <v>Medium</v>
      </c>
      <c r="K671" t="s">
        <v>22</v>
      </c>
      <c r="L671">
        <v>77</v>
      </c>
      <c r="M671">
        <v>100</v>
      </c>
      <c r="N671" t="str">
        <f t="shared" si="32"/>
        <v>Medium Cost</v>
      </c>
      <c r="O671">
        <v>9.36</v>
      </c>
      <c r="P671" t="s">
        <v>43</v>
      </c>
      <c r="Q671" t="s">
        <v>48</v>
      </c>
      <c r="R671" t="s">
        <v>56</v>
      </c>
      <c r="S671" t="s">
        <v>627</v>
      </c>
      <c r="T671" t="s">
        <v>27</v>
      </c>
      <c r="U671">
        <v>40</v>
      </c>
      <c r="V671">
        <v>3</v>
      </c>
      <c r="W671" t="s">
        <v>28</v>
      </c>
      <c r="X671" t="s">
        <v>68</v>
      </c>
    </row>
    <row r="672" spans="1:24" x14ac:dyDescent="0.3">
      <c r="A672" t="s">
        <v>1949</v>
      </c>
      <c r="B672" t="s">
        <v>40</v>
      </c>
      <c r="C672" t="s">
        <v>41</v>
      </c>
      <c r="D672" t="str">
        <f t="shared" si="30"/>
        <v>Evening</v>
      </c>
      <c r="E672">
        <f>HOUR(EV_Data[[#This Row],[Charging Start Time]])</f>
        <v>22</v>
      </c>
      <c r="F672" s="1">
        <v>44954.916666666664</v>
      </c>
      <c r="G672" s="1">
        <v>44954.99722222222</v>
      </c>
      <c r="H672">
        <v>116</v>
      </c>
      <c r="I672">
        <v>6.49</v>
      </c>
      <c r="J672" t="str">
        <f t="shared" si="31"/>
        <v>Low</v>
      </c>
      <c r="K672" t="s">
        <v>32</v>
      </c>
      <c r="L672">
        <v>25</v>
      </c>
      <c r="M672">
        <v>53</v>
      </c>
      <c r="N672" t="str">
        <f t="shared" si="32"/>
        <v>Low Cost</v>
      </c>
      <c r="O672">
        <v>1.45</v>
      </c>
      <c r="P672" t="s">
        <v>51</v>
      </c>
      <c r="Q672" t="s">
        <v>34</v>
      </c>
      <c r="R672" t="s">
        <v>25</v>
      </c>
      <c r="S672" t="s">
        <v>628</v>
      </c>
      <c r="T672" t="s">
        <v>46</v>
      </c>
      <c r="U672">
        <v>9</v>
      </c>
      <c r="V672">
        <v>3.3</v>
      </c>
      <c r="W672" t="s">
        <v>38</v>
      </c>
      <c r="X672" t="s">
        <v>39</v>
      </c>
    </row>
    <row r="673" spans="1:24" x14ac:dyDescent="0.3">
      <c r="A673" t="s">
        <v>1950</v>
      </c>
      <c r="B673" t="s">
        <v>30</v>
      </c>
      <c r="C673" t="s">
        <v>102</v>
      </c>
      <c r="D673" t="str">
        <f t="shared" si="30"/>
        <v>Evening</v>
      </c>
      <c r="E673">
        <f>HOUR(EV_Data[[#This Row],[Charging Start Time]])</f>
        <v>23</v>
      </c>
      <c r="F673" s="1">
        <v>44954.958333333336</v>
      </c>
      <c r="G673" s="1">
        <v>44955.011111111111</v>
      </c>
      <c r="H673">
        <v>76</v>
      </c>
      <c r="I673">
        <v>31.23</v>
      </c>
      <c r="J673" t="str">
        <f t="shared" si="31"/>
        <v>Medium</v>
      </c>
      <c r="K673" t="s">
        <v>50</v>
      </c>
      <c r="L673">
        <v>48</v>
      </c>
      <c r="M673">
        <v>72</v>
      </c>
      <c r="N673" t="str">
        <f t="shared" si="32"/>
        <v>Medium Cost</v>
      </c>
      <c r="O673">
        <v>9.48</v>
      </c>
      <c r="P673" t="s">
        <v>33</v>
      </c>
      <c r="Q673" t="s">
        <v>58</v>
      </c>
      <c r="R673" t="s">
        <v>44</v>
      </c>
      <c r="S673" t="s">
        <v>208</v>
      </c>
      <c r="T673" t="s">
        <v>37</v>
      </c>
      <c r="U673">
        <v>61</v>
      </c>
      <c r="V673">
        <v>4.5999999999999996</v>
      </c>
      <c r="W673" t="s">
        <v>47</v>
      </c>
      <c r="X673" t="s">
        <v>29</v>
      </c>
    </row>
    <row r="674" spans="1:24" x14ac:dyDescent="0.3">
      <c r="A674" t="s">
        <v>1951</v>
      </c>
      <c r="B674" t="s">
        <v>20</v>
      </c>
      <c r="C674" t="s">
        <v>21</v>
      </c>
      <c r="D674" t="str">
        <f t="shared" si="30"/>
        <v>Morning</v>
      </c>
      <c r="E674">
        <f>HOUR(EV_Data[[#This Row],[Charging Start Time]])</f>
        <v>0</v>
      </c>
      <c r="F674" s="1">
        <v>44955</v>
      </c>
      <c r="G674" s="1">
        <v>44955.029861111107</v>
      </c>
      <c r="H674">
        <v>43</v>
      </c>
      <c r="I674">
        <v>25.44</v>
      </c>
      <c r="J674" t="str">
        <f t="shared" si="31"/>
        <v>Medium</v>
      </c>
      <c r="K674" t="s">
        <v>69</v>
      </c>
      <c r="L674">
        <v>38</v>
      </c>
      <c r="M674">
        <v>53</v>
      </c>
      <c r="N674" t="str">
        <f t="shared" si="32"/>
        <v>Low Cost</v>
      </c>
      <c r="O674">
        <v>5.46</v>
      </c>
      <c r="P674" t="s">
        <v>51</v>
      </c>
      <c r="Q674" t="s">
        <v>24</v>
      </c>
      <c r="R674" t="s">
        <v>35</v>
      </c>
      <c r="S674" t="s">
        <v>52</v>
      </c>
      <c r="T674" t="s">
        <v>37</v>
      </c>
      <c r="U674">
        <v>69</v>
      </c>
      <c r="V674">
        <v>1.4</v>
      </c>
      <c r="W674" t="s">
        <v>47</v>
      </c>
      <c r="X674" t="s">
        <v>29</v>
      </c>
    </row>
    <row r="675" spans="1:24" x14ac:dyDescent="0.3">
      <c r="A675" t="s">
        <v>1952</v>
      </c>
      <c r="B675" t="s">
        <v>71</v>
      </c>
      <c r="C675" t="s">
        <v>72</v>
      </c>
      <c r="D675" t="str">
        <f t="shared" si="30"/>
        <v>Morning</v>
      </c>
      <c r="E675">
        <f>HOUR(EV_Data[[#This Row],[Charging Start Time]])</f>
        <v>1</v>
      </c>
      <c r="F675" s="1">
        <v>44955.041666666664</v>
      </c>
      <c r="G675" s="1">
        <v>44955.059027777781</v>
      </c>
      <c r="H675">
        <v>25</v>
      </c>
      <c r="I675">
        <v>20.21</v>
      </c>
      <c r="J675" t="str">
        <f t="shared" si="31"/>
        <v>Medium</v>
      </c>
      <c r="K675" t="s">
        <v>32</v>
      </c>
      <c r="L675">
        <v>54</v>
      </c>
      <c r="M675">
        <v>73</v>
      </c>
      <c r="N675" t="str">
        <f t="shared" si="32"/>
        <v>Low Cost</v>
      </c>
      <c r="O675">
        <v>4.57</v>
      </c>
      <c r="P675" t="s">
        <v>51</v>
      </c>
      <c r="Q675" t="s">
        <v>48</v>
      </c>
      <c r="R675" t="s">
        <v>25</v>
      </c>
      <c r="S675" t="s">
        <v>629</v>
      </c>
      <c r="T675" t="s">
        <v>27</v>
      </c>
      <c r="U675">
        <v>73</v>
      </c>
      <c r="V675">
        <v>3.9</v>
      </c>
      <c r="W675" t="s">
        <v>38</v>
      </c>
      <c r="X675" t="s">
        <v>83</v>
      </c>
    </row>
    <row r="676" spans="1:24" x14ac:dyDescent="0.3">
      <c r="A676" t="s">
        <v>1953</v>
      </c>
      <c r="B676" t="s">
        <v>126</v>
      </c>
      <c r="C676" t="s">
        <v>31</v>
      </c>
      <c r="D676" t="str">
        <f t="shared" si="30"/>
        <v>Morning</v>
      </c>
      <c r="E676">
        <f>HOUR(EV_Data[[#This Row],[Charging Start Time]])</f>
        <v>2</v>
      </c>
      <c r="F676" s="1">
        <v>44955.083333333336</v>
      </c>
      <c r="G676" s="1">
        <v>44955.128472222219</v>
      </c>
      <c r="H676">
        <v>65</v>
      </c>
      <c r="I676">
        <v>39.85</v>
      </c>
      <c r="J676" t="str">
        <f t="shared" si="31"/>
        <v>Medium</v>
      </c>
      <c r="K676" t="s">
        <v>69</v>
      </c>
      <c r="L676">
        <v>43</v>
      </c>
      <c r="M676">
        <v>57</v>
      </c>
      <c r="N676" t="str">
        <f t="shared" si="32"/>
        <v>Medium Cost</v>
      </c>
      <c r="O676">
        <v>10.9</v>
      </c>
      <c r="P676" t="s">
        <v>33</v>
      </c>
      <c r="Q676" t="s">
        <v>48</v>
      </c>
      <c r="R676" t="s">
        <v>25</v>
      </c>
      <c r="S676" t="s">
        <v>237</v>
      </c>
      <c r="T676" t="s">
        <v>46</v>
      </c>
      <c r="U676">
        <v>79</v>
      </c>
      <c r="V676">
        <v>3.4</v>
      </c>
      <c r="W676" t="s">
        <v>28</v>
      </c>
      <c r="X676" t="s">
        <v>68</v>
      </c>
    </row>
    <row r="677" spans="1:24" x14ac:dyDescent="0.3">
      <c r="A677" t="s">
        <v>1954</v>
      </c>
      <c r="B677" t="s">
        <v>71</v>
      </c>
      <c r="C677" t="s">
        <v>72</v>
      </c>
      <c r="D677" t="str">
        <f t="shared" si="30"/>
        <v>Morning</v>
      </c>
      <c r="E677">
        <f>HOUR(EV_Data[[#This Row],[Charging Start Time]])</f>
        <v>3</v>
      </c>
      <c r="F677" s="1">
        <v>44955.125</v>
      </c>
      <c r="G677" s="1">
        <v>44955.173611111109</v>
      </c>
      <c r="H677">
        <v>70</v>
      </c>
      <c r="I677">
        <v>28.38</v>
      </c>
      <c r="J677" t="str">
        <f t="shared" si="31"/>
        <v>Medium</v>
      </c>
      <c r="K677" t="s">
        <v>69</v>
      </c>
      <c r="L677">
        <v>78</v>
      </c>
      <c r="M677">
        <v>100</v>
      </c>
      <c r="N677" t="str">
        <f t="shared" si="32"/>
        <v>Medium Cost</v>
      </c>
      <c r="O677">
        <v>13.91</v>
      </c>
      <c r="P677" t="s">
        <v>64</v>
      </c>
      <c r="Q677" t="s">
        <v>48</v>
      </c>
      <c r="R677" t="s">
        <v>35</v>
      </c>
      <c r="S677" t="s">
        <v>630</v>
      </c>
      <c r="T677" t="s">
        <v>46</v>
      </c>
      <c r="U677">
        <v>80</v>
      </c>
      <c r="V677">
        <v>3.7</v>
      </c>
      <c r="W677" t="s">
        <v>47</v>
      </c>
      <c r="X677" t="s">
        <v>29</v>
      </c>
    </row>
    <row r="678" spans="1:24" x14ac:dyDescent="0.3">
      <c r="A678" t="s">
        <v>1955</v>
      </c>
      <c r="B678" t="s">
        <v>20</v>
      </c>
      <c r="C678" t="s">
        <v>21</v>
      </c>
      <c r="D678" t="str">
        <f t="shared" si="30"/>
        <v>Morning</v>
      </c>
      <c r="E678">
        <f>HOUR(EV_Data[[#This Row],[Charging Start Time]])</f>
        <v>4</v>
      </c>
      <c r="F678" s="1">
        <v>44955.166666666664</v>
      </c>
      <c r="G678" s="1">
        <v>44955.199305555558</v>
      </c>
      <c r="H678">
        <v>47</v>
      </c>
      <c r="I678">
        <v>16.39</v>
      </c>
      <c r="J678" t="str">
        <f t="shared" si="31"/>
        <v>Low</v>
      </c>
      <c r="K678" t="s">
        <v>69</v>
      </c>
      <c r="L678">
        <v>68</v>
      </c>
      <c r="M678">
        <v>100</v>
      </c>
      <c r="N678" t="str">
        <f t="shared" si="32"/>
        <v>Low Cost</v>
      </c>
      <c r="O678">
        <v>4.2</v>
      </c>
      <c r="P678" t="s">
        <v>64</v>
      </c>
      <c r="Q678" t="s">
        <v>58</v>
      </c>
      <c r="R678" t="s">
        <v>25</v>
      </c>
      <c r="S678" t="s">
        <v>631</v>
      </c>
      <c r="T678" t="s">
        <v>27</v>
      </c>
      <c r="U678">
        <v>63</v>
      </c>
      <c r="V678">
        <v>1.9</v>
      </c>
      <c r="W678" t="s">
        <v>47</v>
      </c>
      <c r="X678" t="s">
        <v>29</v>
      </c>
    </row>
    <row r="679" spans="1:24" x14ac:dyDescent="0.3">
      <c r="A679" t="s">
        <v>1956</v>
      </c>
      <c r="B679" t="s">
        <v>20</v>
      </c>
      <c r="C679" t="s">
        <v>21</v>
      </c>
      <c r="D679" t="str">
        <f t="shared" si="30"/>
        <v>Morning</v>
      </c>
      <c r="E679">
        <f>HOUR(EV_Data[[#This Row],[Charging Start Time]])</f>
        <v>5</v>
      </c>
      <c r="F679" s="1">
        <v>44955.208333333336</v>
      </c>
      <c r="G679" s="1">
        <v>44955.234027777777</v>
      </c>
      <c r="H679">
        <v>37</v>
      </c>
      <c r="I679">
        <v>46.55</v>
      </c>
      <c r="J679" t="str">
        <f t="shared" si="31"/>
        <v>Medium</v>
      </c>
      <c r="K679" t="s">
        <v>42</v>
      </c>
      <c r="L679">
        <v>31</v>
      </c>
      <c r="M679">
        <v>54</v>
      </c>
      <c r="N679" t="str">
        <f t="shared" si="32"/>
        <v>High Cost</v>
      </c>
      <c r="O679">
        <v>19.010000000000002</v>
      </c>
      <c r="P679" t="s">
        <v>51</v>
      </c>
      <c r="Q679" t="s">
        <v>34</v>
      </c>
      <c r="R679" t="s">
        <v>56</v>
      </c>
      <c r="S679" t="s">
        <v>632</v>
      </c>
      <c r="T679" t="s">
        <v>27</v>
      </c>
      <c r="U679">
        <v>60</v>
      </c>
      <c r="V679">
        <v>4.8</v>
      </c>
      <c r="W679" t="s">
        <v>28</v>
      </c>
      <c r="X679" t="s">
        <v>68</v>
      </c>
    </row>
    <row r="680" spans="1:24" x14ac:dyDescent="0.3">
      <c r="A680" t="s">
        <v>1957</v>
      </c>
      <c r="B680" t="s">
        <v>71</v>
      </c>
      <c r="C680" t="s">
        <v>72</v>
      </c>
      <c r="D680" t="str">
        <f t="shared" si="30"/>
        <v>Morning</v>
      </c>
      <c r="E680">
        <f>HOUR(EV_Data[[#This Row],[Charging Start Time]])</f>
        <v>6</v>
      </c>
      <c r="F680" s="1">
        <v>44955.25</v>
      </c>
      <c r="G680" s="1">
        <v>44955.290972222218</v>
      </c>
      <c r="H680">
        <v>59</v>
      </c>
      <c r="I680">
        <v>29.7</v>
      </c>
      <c r="J680" t="str">
        <f t="shared" si="31"/>
        <v>Medium</v>
      </c>
      <c r="K680" t="s">
        <v>69</v>
      </c>
      <c r="L680">
        <v>19</v>
      </c>
      <c r="M680">
        <v>34</v>
      </c>
      <c r="N680" t="str">
        <f t="shared" si="32"/>
        <v>Medium Cost</v>
      </c>
      <c r="O680">
        <v>12.91</v>
      </c>
      <c r="P680" t="s">
        <v>51</v>
      </c>
      <c r="Q680" t="s">
        <v>34</v>
      </c>
      <c r="R680" t="s">
        <v>44</v>
      </c>
      <c r="S680" t="s">
        <v>633</v>
      </c>
      <c r="T680" t="s">
        <v>27</v>
      </c>
      <c r="U680">
        <v>11</v>
      </c>
      <c r="V680">
        <v>1.2</v>
      </c>
      <c r="W680" t="s">
        <v>47</v>
      </c>
      <c r="X680" t="s">
        <v>29</v>
      </c>
    </row>
    <row r="681" spans="1:24" x14ac:dyDescent="0.3">
      <c r="A681" t="s">
        <v>1958</v>
      </c>
      <c r="B681" t="s">
        <v>40</v>
      </c>
      <c r="C681" t="s">
        <v>41</v>
      </c>
      <c r="D681" t="str">
        <f t="shared" si="30"/>
        <v>Morning</v>
      </c>
      <c r="E681">
        <f>HOUR(EV_Data[[#This Row],[Charging Start Time]])</f>
        <v>7</v>
      </c>
      <c r="F681" s="1">
        <v>44955.291666666664</v>
      </c>
      <c r="G681" s="1">
        <v>44955.31527777778</v>
      </c>
      <c r="H681">
        <v>34</v>
      </c>
      <c r="I681">
        <v>19.98</v>
      </c>
      <c r="J681" t="str">
        <f t="shared" si="31"/>
        <v>Low</v>
      </c>
      <c r="K681" t="s">
        <v>32</v>
      </c>
      <c r="L681">
        <v>69</v>
      </c>
      <c r="M681">
        <v>97</v>
      </c>
      <c r="N681" t="str">
        <f t="shared" si="32"/>
        <v>Medium Cost</v>
      </c>
      <c r="O681">
        <v>8.02</v>
      </c>
      <c r="P681" t="s">
        <v>64</v>
      </c>
      <c r="Q681" t="s">
        <v>34</v>
      </c>
      <c r="R681" t="s">
        <v>56</v>
      </c>
      <c r="S681" t="s">
        <v>634</v>
      </c>
      <c r="T681" t="s">
        <v>60</v>
      </c>
      <c r="U681">
        <v>60</v>
      </c>
      <c r="V681">
        <v>3.5</v>
      </c>
      <c r="W681" t="s">
        <v>47</v>
      </c>
      <c r="X681" t="s">
        <v>29</v>
      </c>
    </row>
    <row r="682" spans="1:24" x14ac:dyDescent="0.3">
      <c r="A682" t="s">
        <v>1959</v>
      </c>
      <c r="B682" t="s">
        <v>126</v>
      </c>
      <c r="C682" t="s">
        <v>31</v>
      </c>
      <c r="D682" t="str">
        <f t="shared" si="30"/>
        <v>Morning</v>
      </c>
      <c r="E682">
        <f>HOUR(EV_Data[[#This Row],[Charging Start Time]])</f>
        <v>8</v>
      </c>
      <c r="F682" s="1">
        <v>44955.333333333336</v>
      </c>
      <c r="G682" s="1">
        <v>44955.36041666667</v>
      </c>
      <c r="H682">
        <v>39</v>
      </c>
      <c r="I682">
        <v>40.6</v>
      </c>
      <c r="J682" t="str">
        <f t="shared" si="31"/>
        <v>Medium</v>
      </c>
      <c r="K682" t="s">
        <v>55</v>
      </c>
      <c r="L682">
        <v>36</v>
      </c>
      <c r="M682">
        <v>64</v>
      </c>
      <c r="N682" t="str">
        <f t="shared" si="32"/>
        <v>Medium Cost</v>
      </c>
      <c r="O682">
        <v>11.22</v>
      </c>
      <c r="P682" t="s">
        <v>64</v>
      </c>
      <c r="Q682" t="s">
        <v>58</v>
      </c>
      <c r="R682" t="s">
        <v>44</v>
      </c>
      <c r="S682" t="s">
        <v>635</v>
      </c>
      <c r="T682" t="s">
        <v>60</v>
      </c>
      <c r="U682">
        <v>58</v>
      </c>
      <c r="V682">
        <v>1.1000000000000001</v>
      </c>
      <c r="W682" t="s">
        <v>47</v>
      </c>
      <c r="X682" t="s">
        <v>29</v>
      </c>
    </row>
    <row r="683" spans="1:24" x14ac:dyDescent="0.3">
      <c r="A683" t="s">
        <v>1960</v>
      </c>
      <c r="B683" t="s">
        <v>77</v>
      </c>
      <c r="C683" t="s">
        <v>78</v>
      </c>
      <c r="D683" t="str">
        <f t="shared" si="30"/>
        <v>Morning</v>
      </c>
      <c r="E683">
        <f>HOUR(EV_Data[[#This Row],[Charging Start Time]])</f>
        <v>9</v>
      </c>
      <c r="F683" s="1">
        <v>44955.375</v>
      </c>
      <c r="G683" s="1">
        <v>44955.38958333333</v>
      </c>
      <c r="H683">
        <v>21</v>
      </c>
      <c r="I683">
        <v>17.11</v>
      </c>
      <c r="J683" t="str">
        <f t="shared" si="31"/>
        <v>Low</v>
      </c>
      <c r="K683" t="s">
        <v>42</v>
      </c>
      <c r="L683">
        <v>40</v>
      </c>
      <c r="M683">
        <v>67</v>
      </c>
      <c r="N683" t="str">
        <f t="shared" si="32"/>
        <v>Low Cost</v>
      </c>
      <c r="O683">
        <v>7.65</v>
      </c>
      <c r="P683" t="s">
        <v>64</v>
      </c>
      <c r="Q683" t="s">
        <v>48</v>
      </c>
      <c r="R683" t="s">
        <v>35</v>
      </c>
      <c r="S683" t="s">
        <v>636</v>
      </c>
      <c r="T683" t="s">
        <v>37</v>
      </c>
      <c r="U683">
        <v>27</v>
      </c>
      <c r="V683">
        <v>2.1</v>
      </c>
      <c r="W683" t="s">
        <v>28</v>
      </c>
      <c r="X683" t="s">
        <v>68</v>
      </c>
    </row>
    <row r="684" spans="1:24" x14ac:dyDescent="0.3">
      <c r="A684" t="s">
        <v>1961</v>
      </c>
      <c r="B684" t="s">
        <v>30</v>
      </c>
      <c r="C684" t="s">
        <v>102</v>
      </c>
      <c r="D684" t="str">
        <f t="shared" si="30"/>
        <v>Morning</v>
      </c>
      <c r="E684">
        <f>HOUR(EV_Data[[#This Row],[Charging Start Time]])</f>
        <v>10</v>
      </c>
      <c r="F684" s="1">
        <v>44955.416666666664</v>
      </c>
      <c r="G684" s="1">
        <v>44955.447222222218</v>
      </c>
      <c r="H684">
        <v>44</v>
      </c>
      <c r="I684">
        <v>27.21</v>
      </c>
      <c r="J684" t="str">
        <f t="shared" si="31"/>
        <v>Medium</v>
      </c>
      <c r="K684" t="s">
        <v>55</v>
      </c>
      <c r="L684">
        <v>16</v>
      </c>
      <c r="M684">
        <v>30</v>
      </c>
      <c r="N684" t="str">
        <f t="shared" si="32"/>
        <v>Medium Cost</v>
      </c>
      <c r="O684">
        <v>11.22</v>
      </c>
      <c r="P684" t="s">
        <v>33</v>
      </c>
      <c r="Q684" t="s">
        <v>58</v>
      </c>
      <c r="R684" t="s">
        <v>56</v>
      </c>
      <c r="S684" t="s">
        <v>637</v>
      </c>
      <c r="T684" t="s">
        <v>46</v>
      </c>
      <c r="U684">
        <v>45</v>
      </c>
      <c r="V684">
        <v>1.6</v>
      </c>
      <c r="W684" t="s">
        <v>28</v>
      </c>
      <c r="X684" t="s">
        <v>68</v>
      </c>
    </row>
    <row r="685" spans="1:24" x14ac:dyDescent="0.3">
      <c r="A685" t="s">
        <v>1962</v>
      </c>
      <c r="B685" t="s">
        <v>30</v>
      </c>
      <c r="C685" t="s">
        <v>102</v>
      </c>
      <c r="D685" t="str">
        <f t="shared" si="30"/>
        <v>Morning</v>
      </c>
      <c r="E685">
        <f>HOUR(EV_Data[[#This Row],[Charging Start Time]])</f>
        <v>11</v>
      </c>
      <c r="F685" s="1">
        <v>44955.458333333336</v>
      </c>
      <c r="G685" s="1">
        <v>44955.539583333331</v>
      </c>
      <c r="H685">
        <v>117</v>
      </c>
      <c r="I685">
        <v>14.48</v>
      </c>
      <c r="J685" t="str">
        <f t="shared" si="31"/>
        <v>Low</v>
      </c>
      <c r="K685" t="s">
        <v>42</v>
      </c>
      <c r="L685">
        <v>23</v>
      </c>
      <c r="M685">
        <v>53</v>
      </c>
      <c r="N685" t="str">
        <f t="shared" si="32"/>
        <v>Low Cost</v>
      </c>
      <c r="O685">
        <v>4.71</v>
      </c>
      <c r="P685" t="s">
        <v>43</v>
      </c>
      <c r="Q685" t="s">
        <v>48</v>
      </c>
      <c r="R685" t="s">
        <v>25</v>
      </c>
      <c r="S685" t="s">
        <v>523</v>
      </c>
      <c r="T685" t="s">
        <v>60</v>
      </c>
      <c r="U685">
        <v>50</v>
      </c>
      <c r="V685">
        <v>4.9000000000000004</v>
      </c>
      <c r="W685" t="s">
        <v>28</v>
      </c>
      <c r="X685" t="s">
        <v>68</v>
      </c>
    </row>
    <row r="686" spans="1:24" x14ac:dyDescent="0.3">
      <c r="A686" t="s">
        <v>1963</v>
      </c>
      <c r="B686" t="s">
        <v>77</v>
      </c>
      <c r="C686" t="s">
        <v>78</v>
      </c>
      <c r="D686" t="str">
        <f t="shared" si="30"/>
        <v>Afternoon</v>
      </c>
      <c r="E686">
        <f>HOUR(EV_Data[[#This Row],[Charging Start Time]])</f>
        <v>12</v>
      </c>
      <c r="F686" s="1">
        <v>44955.5</v>
      </c>
      <c r="G686" s="1">
        <v>44955.568055555559</v>
      </c>
      <c r="H686">
        <v>98</v>
      </c>
      <c r="I686">
        <v>28.26</v>
      </c>
      <c r="J686" t="str">
        <f t="shared" si="31"/>
        <v>Medium</v>
      </c>
      <c r="K686" t="s">
        <v>50</v>
      </c>
      <c r="L686">
        <v>18</v>
      </c>
      <c r="M686">
        <v>48</v>
      </c>
      <c r="N686" t="str">
        <f t="shared" si="32"/>
        <v>Medium Cost</v>
      </c>
      <c r="O686">
        <v>12.52</v>
      </c>
      <c r="P686" t="s">
        <v>64</v>
      </c>
      <c r="Q686" t="s">
        <v>58</v>
      </c>
      <c r="R686" t="s">
        <v>25</v>
      </c>
      <c r="S686" t="s">
        <v>638</v>
      </c>
      <c r="T686" t="s">
        <v>27</v>
      </c>
      <c r="U686">
        <v>31</v>
      </c>
      <c r="V686">
        <v>3.5</v>
      </c>
      <c r="W686" t="s">
        <v>47</v>
      </c>
      <c r="X686" t="s">
        <v>29</v>
      </c>
    </row>
    <row r="687" spans="1:24" x14ac:dyDescent="0.3">
      <c r="A687" t="s">
        <v>1964</v>
      </c>
      <c r="B687" t="s">
        <v>126</v>
      </c>
      <c r="C687" t="s">
        <v>31</v>
      </c>
      <c r="D687" t="str">
        <f t="shared" si="30"/>
        <v>Afternoon</v>
      </c>
      <c r="E687">
        <f>HOUR(EV_Data[[#This Row],[Charging Start Time]])</f>
        <v>13</v>
      </c>
      <c r="F687" s="1">
        <v>44955.541666666664</v>
      </c>
      <c r="G687" s="1">
        <v>44955.587500000001</v>
      </c>
      <c r="H687">
        <v>66</v>
      </c>
      <c r="I687">
        <v>28.63</v>
      </c>
      <c r="J687" t="str">
        <f t="shared" si="31"/>
        <v>Medium</v>
      </c>
      <c r="K687" t="s">
        <v>42</v>
      </c>
      <c r="L687">
        <v>44</v>
      </c>
      <c r="M687">
        <v>64</v>
      </c>
      <c r="N687" t="str">
        <f t="shared" si="32"/>
        <v>Low Cost</v>
      </c>
      <c r="O687">
        <v>6.55</v>
      </c>
      <c r="P687" t="s">
        <v>33</v>
      </c>
      <c r="Q687" t="s">
        <v>48</v>
      </c>
      <c r="R687" t="s">
        <v>44</v>
      </c>
      <c r="S687" t="s">
        <v>639</v>
      </c>
      <c r="T687" t="s">
        <v>46</v>
      </c>
      <c r="U687">
        <v>17</v>
      </c>
      <c r="V687">
        <v>3.5</v>
      </c>
      <c r="W687" t="s">
        <v>28</v>
      </c>
      <c r="X687" t="s">
        <v>68</v>
      </c>
    </row>
    <row r="688" spans="1:24" x14ac:dyDescent="0.3">
      <c r="A688" t="s">
        <v>1965</v>
      </c>
      <c r="B688" t="s">
        <v>92</v>
      </c>
      <c r="C688" t="s">
        <v>93</v>
      </c>
      <c r="D688" t="str">
        <f t="shared" si="30"/>
        <v>Afternoon</v>
      </c>
      <c r="E688">
        <f>HOUR(EV_Data[[#This Row],[Charging Start Time]])</f>
        <v>14</v>
      </c>
      <c r="F688" s="1">
        <v>44955.583333333336</v>
      </c>
      <c r="G688" s="1">
        <v>44955.640972222223</v>
      </c>
      <c r="H688">
        <v>83</v>
      </c>
      <c r="I688">
        <v>46.41</v>
      </c>
      <c r="J688" t="str">
        <f t="shared" si="31"/>
        <v>Medium</v>
      </c>
      <c r="K688" t="s">
        <v>22</v>
      </c>
      <c r="L688">
        <v>50</v>
      </c>
      <c r="M688">
        <v>75</v>
      </c>
      <c r="N688" t="str">
        <f t="shared" si="32"/>
        <v>Medium Cost</v>
      </c>
      <c r="O688">
        <v>10.210000000000001</v>
      </c>
      <c r="P688" t="s">
        <v>64</v>
      </c>
      <c r="Q688" t="s">
        <v>58</v>
      </c>
      <c r="R688" t="s">
        <v>44</v>
      </c>
      <c r="S688" t="s">
        <v>640</v>
      </c>
      <c r="T688" t="s">
        <v>46</v>
      </c>
      <c r="U688">
        <v>84</v>
      </c>
      <c r="V688">
        <v>2.6</v>
      </c>
      <c r="W688" t="s">
        <v>47</v>
      </c>
      <c r="X688" t="s">
        <v>29</v>
      </c>
    </row>
    <row r="689" spans="1:24" x14ac:dyDescent="0.3">
      <c r="A689" t="s">
        <v>1966</v>
      </c>
      <c r="B689" t="s">
        <v>40</v>
      </c>
      <c r="C689" t="s">
        <v>41</v>
      </c>
      <c r="D689" t="str">
        <f t="shared" si="30"/>
        <v>Afternoon</v>
      </c>
      <c r="E689">
        <f>HOUR(EV_Data[[#This Row],[Charging Start Time]])</f>
        <v>15</v>
      </c>
      <c r="F689" s="1">
        <v>44955.625</v>
      </c>
      <c r="G689" s="1">
        <v>44955.693749999999</v>
      </c>
      <c r="H689">
        <v>99</v>
      </c>
      <c r="I689">
        <v>41.84</v>
      </c>
      <c r="J689" t="str">
        <f t="shared" si="31"/>
        <v>Medium</v>
      </c>
      <c r="K689" t="s">
        <v>32</v>
      </c>
      <c r="L689">
        <v>74</v>
      </c>
      <c r="M689">
        <v>92</v>
      </c>
      <c r="N689" t="str">
        <f t="shared" si="32"/>
        <v>Medium Cost</v>
      </c>
      <c r="O689">
        <v>12.22</v>
      </c>
      <c r="P689" t="s">
        <v>43</v>
      </c>
      <c r="Q689" t="s">
        <v>48</v>
      </c>
      <c r="R689" t="s">
        <v>25</v>
      </c>
      <c r="S689" t="s">
        <v>129</v>
      </c>
      <c r="T689" t="s">
        <v>27</v>
      </c>
      <c r="U689">
        <v>11</v>
      </c>
      <c r="V689">
        <v>1.5</v>
      </c>
      <c r="W689" t="s">
        <v>47</v>
      </c>
      <c r="X689" t="s">
        <v>29</v>
      </c>
    </row>
    <row r="690" spans="1:24" x14ac:dyDescent="0.3">
      <c r="A690" t="s">
        <v>1967</v>
      </c>
      <c r="B690" t="s">
        <v>71</v>
      </c>
      <c r="C690" t="s">
        <v>72</v>
      </c>
      <c r="D690" t="str">
        <f t="shared" si="30"/>
        <v>Afternoon</v>
      </c>
      <c r="E690">
        <f>HOUR(EV_Data[[#This Row],[Charging Start Time]])</f>
        <v>16</v>
      </c>
      <c r="F690" s="1">
        <v>44955.666666666664</v>
      </c>
      <c r="G690" s="1">
        <v>44955.676388888889</v>
      </c>
      <c r="H690">
        <v>14</v>
      </c>
      <c r="I690">
        <v>8.5399999999999991</v>
      </c>
      <c r="J690" t="str">
        <f t="shared" si="31"/>
        <v>Low</v>
      </c>
      <c r="K690" t="s">
        <v>55</v>
      </c>
      <c r="L690">
        <v>66</v>
      </c>
      <c r="M690">
        <v>83</v>
      </c>
      <c r="N690" t="str">
        <f t="shared" si="32"/>
        <v>Low Cost</v>
      </c>
      <c r="O690">
        <v>2.0099999999999998</v>
      </c>
      <c r="P690" t="s">
        <v>43</v>
      </c>
      <c r="Q690" t="s">
        <v>58</v>
      </c>
      <c r="R690" t="s">
        <v>25</v>
      </c>
      <c r="S690" t="s">
        <v>562</v>
      </c>
      <c r="T690" t="s">
        <v>27</v>
      </c>
      <c r="U690">
        <v>73</v>
      </c>
      <c r="V690">
        <v>3.4</v>
      </c>
      <c r="W690" t="s">
        <v>47</v>
      </c>
      <c r="X690" t="s">
        <v>29</v>
      </c>
    </row>
    <row r="691" spans="1:24" x14ac:dyDescent="0.3">
      <c r="A691" t="s">
        <v>1968</v>
      </c>
      <c r="B691" t="s">
        <v>126</v>
      </c>
      <c r="C691" t="s">
        <v>31</v>
      </c>
      <c r="D691" t="str">
        <f t="shared" si="30"/>
        <v>Evening</v>
      </c>
      <c r="E691">
        <f>HOUR(EV_Data[[#This Row],[Charging Start Time]])</f>
        <v>17</v>
      </c>
      <c r="F691" s="1">
        <v>44955.708333333336</v>
      </c>
      <c r="G691" s="1">
        <v>44955.751388888893</v>
      </c>
      <c r="H691">
        <v>62</v>
      </c>
      <c r="I691">
        <v>19.14</v>
      </c>
      <c r="J691" t="str">
        <f t="shared" si="31"/>
        <v>Low</v>
      </c>
      <c r="K691" t="s">
        <v>50</v>
      </c>
      <c r="L691">
        <v>5</v>
      </c>
      <c r="M691">
        <v>43</v>
      </c>
      <c r="N691" t="str">
        <f t="shared" si="32"/>
        <v>Medium Cost</v>
      </c>
      <c r="O691">
        <v>9.26</v>
      </c>
      <c r="P691" t="s">
        <v>51</v>
      </c>
      <c r="Q691" t="s">
        <v>48</v>
      </c>
      <c r="R691" t="s">
        <v>44</v>
      </c>
      <c r="S691" t="s">
        <v>641</v>
      </c>
      <c r="T691" t="s">
        <v>27</v>
      </c>
      <c r="U691">
        <v>17</v>
      </c>
      <c r="V691">
        <v>4.4000000000000004</v>
      </c>
      <c r="W691" t="s">
        <v>38</v>
      </c>
      <c r="X691" t="s">
        <v>85</v>
      </c>
    </row>
    <row r="692" spans="1:24" x14ac:dyDescent="0.3">
      <c r="A692" t="s">
        <v>1969</v>
      </c>
      <c r="B692" t="s">
        <v>77</v>
      </c>
      <c r="C692" t="s">
        <v>78</v>
      </c>
      <c r="D692" t="str">
        <f t="shared" si="30"/>
        <v>Evening</v>
      </c>
      <c r="E692">
        <f>HOUR(EV_Data[[#This Row],[Charging Start Time]])</f>
        <v>18</v>
      </c>
      <c r="F692" s="1">
        <v>44955.75</v>
      </c>
      <c r="G692" s="1">
        <v>44955.765972222223</v>
      </c>
      <c r="H692">
        <v>23</v>
      </c>
      <c r="I692">
        <v>47.84</v>
      </c>
      <c r="J692" t="str">
        <f t="shared" si="31"/>
        <v>Medium</v>
      </c>
      <c r="K692" t="s">
        <v>50</v>
      </c>
      <c r="L692">
        <v>24</v>
      </c>
      <c r="M692">
        <v>44</v>
      </c>
      <c r="N692" t="str">
        <f t="shared" si="32"/>
        <v>Medium Cost</v>
      </c>
      <c r="O692">
        <v>13.71</v>
      </c>
      <c r="P692" t="s">
        <v>64</v>
      </c>
      <c r="Q692" t="s">
        <v>48</v>
      </c>
      <c r="R692" t="s">
        <v>35</v>
      </c>
      <c r="S692" t="s">
        <v>424</v>
      </c>
      <c r="T692" t="s">
        <v>60</v>
      </c>
      <c r="U692">
        <v>57</v>
      </c>
      <c r="V692">
        <v>3.8</v>
      </c>
      <c r="W692" t="s">
        <v>38</v>
      </c>
      <c r="X692" t="s">
        <v>62</v>
      </c>
    </row>
    <row r="693" spans="1:24" x14ac:dyDescent="0.3">
      <c r="A693" t="s">
        <v>1970</v>
      </c>
      <c r="B693" t="s">
        <v>20</v>
      </c>
      <c r="C693" t="s">
        <v>21</v>
      </c>
      <c r="D693" t="str">
        <f t="shared" si="30"/>
        <v>Evening</v>
      </c>
      <c r="E693">
        <f>HOUR(EV_Data[[#This Row],[Charging Start Time]])</f>
        <v>19</v>
      </c>
      <c r="F693" s="1">
        <v>44955.791666666664</v>
      </c>
      <c r="G693" s="1">
        <v>44955.792361111111</v>
      </c>
      <c r="H693">
        <v>1</v>
      </c>
      <c r="I693">
        <v>31.92</v>
      </c>
      <c r="J693" t="str">
        <f t="shared" si="31"/>
        <v>Medium</v>
      </c>
      <c r="K693" t="s">
        <v>69</v>
      </c>
      <c r="L693">
        <v>60</v>
      </c>
      <c r="M693">
        <v>86</v>
      </c>
      <c r="N693" t="str">
        <f t="shared" si="32"/>
        <v>Medium Cost</v>
      </c>
      <c r="O693">
        <v>13.4</v>
      </c>
      <c r="P693" t="s">
        <v>43</v>
      </c>
      <c r="Q693" t="s">
        <v>58</v>
      </c>
      <c r="R693" t="s">
        <v>44</v>
      </c>
      <c r="S693" t="s">
        <v>91</v>
      </c>
      <c r="T693" t="s">
        <v>60</v>
      </c>
      <c r="U693">
        <v>10</v>
      </c>
      <c r="V693">
        <v>3.5</v>
      </c>
      <c r="W693" t="s">
        <v>47</v>
      </c>
      <c r="X693" t="s">
        <v>29</v>
      </c>
    </row>
    <row r="694" spans="1:24" x14ac:dyDescent="0.3">
      <c r="A694" t="s">
        <v>1971</v>
      </c>
      <c r="B694" t="s">
        <v>126</v>
      </c>
      <c r="C694" t="s">
        <v>31</v>
      </c>
      <c r="D694" t="str">
        <f t="shared" si="30"/>
        <v>Evening</v>
      </c>
      <c r="E694">
        <f>HOUR(EV_Data[[#This Row],[Charging Start Time]])</f>
        <v>20</v>
      </c>
      <c r="F694" s="1">
        <v>44955.833333333336</v>
      </c>
      <c r="G694" s="1">
        <v>44955.861805555563</v>
      </c>
      <c r="H694">
        <v>41</v>
      </c>
      <c r="I694">
        <v>13.76</v>
      </c>
      <c r="J694" t="str">
        <f t="shared" si="31"/>
        <v>Low</v>
      </c>
      <c r="K694" t="s">
        <v>22</v>
      </c>
      <c r="L694">
        <v>16</v>
      </c>
      <c r="M694">
        <v>47</v>
      </c>
      <c r="N694" t="str">
        <f t="shared" si="32"/>
        <v>Low Cost</v>
      </c>
      <c r="O694">
        <v>3.21</v>
      </c>
      <c r="P694" t="s">
        <v>23</v>
      </c>
      <c r="Q694" t="s">
        <v>48</v>
      </c>
      <c r="R694" t="s">
        <v>44</v>
      </c>
      <c r="S694" t="s">
        <v>525</v>
      </c>
      <c r="T694" t="s">
        <v>60</v>
      </c>
      <c r="U694">
        <v>73</v>
      </c>
      <c r="V694">
        <v>4.5999999999999996</v>
      </c>
      <c r="W694" t="s">
        <v>38</v>
      </c>
    </row>
    <row r="695" spans="1:24" x14ac:dyDescent="0.3">
      <c r="A695" t="s">
        <v>1972</v>
      </c>
      <c r="B695" t="s">
        <v>126</v>
      </c>
      <c r="C695" t="s">
        <v>31</v>
      </c>
      <c r="D695" t="str">
        <f t="shared" si="30"/>
        <v>Evening</v>
      </c>
      <c r="E695">
        <f>HOUR(EV_Data[[#This Row],[Charging Start Time]])</f>
        <v>21</v>
      </c>
      <c r="F695" s="1">
        <v>44955.875</v>
      </c>
      <c r="G695" s="1">
        <v>44955.875694444447</v>
      </c>
      <c r="H695">
        <v>1</v>
      </c>
      <c r="I695">
        <v>22.86</v>
      </c>
      <c r="J695" t="str">
        <f t="shared" si="31"/>
        <v>Medium</v>
      </c>
      <c r="K695" t="s">
        <v>55</v>
      </c>
      <c r="L695">
        <v>30</v>
      </c>
      <c r="M695">
        <v>68</v>
      </c>
      <c r="N695" t="str">
        <f t="shared" si="32"/>
        <v>Medium Cost</v>
      </c>
      <c r="O695">
        <v>9.77</v>
      </c>
      <c r="P695" t="s">
        <v>23</v>
      </c>
      <c r="Q695" t="s">
        <v>34</v>
      </c>
      <c r="R695" t="s">
        <v>25</v>
      </c>
      <c r="S695" t="s">
        <v>642</v>
      </c>
      <c r="T695" t="s">
        <v>60</v>
      </c>
      <c r="U695">
        <v>90</v>
      </c>
      <c r="V695">
        <v>1.3</v>
      </c>
      <c r="W695" t="s">
        <v>38</v>
      </c>
      <c r="X695" t="s">
        <v>83</v>
      </c>
    </row>
    <row r="696" spans="1:24" x14ac:dyDescent="0.3">
      <c r="A696" t="s">
        <v>1973</v>
      </c>
      <c r="B696" t="s">
        <v>92</v>
      </c>
      <c r="C696" t="s">
        <v>93</v>
      </c>
      <c r="D696" t="str">
        <f t="shared" si="30"/>
        <v>Evening</v>
      </c>
      <c r="E696">
        <f>HOUR(EV_Data[[#This Row],[Charging Start Time]])</f>
        <v>22</v>
      </c>
      <c r="F696" s="1">
        <v>44955.916666666664</v>
      </c>
      <c r="G696" s="1">
        <v>44955.936805555553</v>
      </c>
      <c r="H696">
        <v>29</v>
      </c>
      <c r="I696">
        <v>31.33</v>
      </c>
      <c r="J696" t="str">
        <f t="shared" si="31"/>
        <v>Medium</v>
      </c>
      <c r="K696" t="s">
        <v>50</v>
      </c>
      <c r="L696">
        <v>47</v>
      </c>
      <c r="M696">
        <v>74</v>
      </c>
      <c r="N696" t="str">
        <f t="shared" si="32"/>
        <v>Medium Cost</v>
      </c>
      <c r="O696">
        <v>14.53</v>
      </c>
      <c r="P696" t="s">
        <v>64</v>
      </c>
      <c r="Q696" t="s">
        <v>58</v>
      </c>
      <c r="R696" t="s">
        <v>35</v>
      </c>
      <c r="S696" t="s">
        <v>476</v>
      </c>
      <c r="T696" t="s">
        <v>60</v>
      </c>
      <c r="U696">
        <v>4</v>
      </c>
      <c r="V696">
        <v>1.6</v>
      </c>
      <c r="W696" t="s">
        <v>47</v>
      </c>
      <c r="X696" t="s">
        <v>29</v>
      </c>
    </row>
    <row r="697" spans="1:24" x14ac:dyDescent="0.3">
      <c r="A697" t="s">
        <v>1974</v>
      </c>
      <c r="B697" t="s">
        <v>126</v>
      </c>
      <c r="C697" t="s">
        <v>31</v>
      </c>
      <c r="D697" t="str">
        <f t="shared" si="30"/>
        <v>Evening</v>
      </c>
      <c r="E697">
        <f>HOUR(EV_Data[[#This Row],[Charging Start Time]])</f>
        <v>23</v>
      </c>
      <c r="F697" s="1">
        <v>44955.958333333336</v>
      </c>
      <c r="G697" s="1">
        <v>44955.979166666657</v>
      </c>
      <c r="H697">
        <v>30</v>
      </c>
      <c r="I697">
        <v>21.11</v>
      </c>
      <c r="J697" t="str">
        <f t="shared" si="31"/>
        <v>Medium</v>
      </c>
      <c r="K697" t="s">
        <v>69</v>
      </c>
      <c r="L697">
        <v>51</v>
      </c>
      <c r="M697">
        <v>83</v>
      </c>
      <c r="N697" t="str">
        <f t="shared" si="32"/>
        <v>Medium Cost</v>
      </c>
      <c r="O697">
        <v>8.6300000000000008</v>
      </c>
      <c r="P697" t="s">
        <v>43</v>
      </c>
      <c r="Q697" t="s">
        <v>24</v>
      </c>
      <c r="R697" t="s">
        <v>56</v>
      </c>
      <c r="S697" t="s">
        <v>643</v>
      </c>
      <c r="T697" t="s">
        <v>37</v>
      </c>
      <c r="U697">
        <v>71</v>
      </c>
      <c r="V697">
        <v>4.5999999999999996</v>
      </c>
      <c r="W697" t="s">
        <v>47</v>
      </c>
      <c r="X697" t="s">
        <v>29</v>
      </c>
    </row>
    <row r="698" spans="1:24" x14ac:dyDescent="0.3">
      <c r="A698" t="s">
        <v>1975</v>
      </c>
      <c r="B698" t="s">
        <v>92</v>
      </c>
      <c r="C698" t="s">
        <v>93</v>
      </c>
      <c r="D698" t="str">
        <f t="shared" si="30"/>
        <v>Morning</v>
      </c>
      <c r="E698">
        <f>HOUR(EV_Data[[#This Row],[Charging Start Time]])</f>
        <v>0</v>
      </c>
      <c r="F698" s="1">
        <v>44956</v>
      </c>
      <c r="G698" s="1">
        <v>44956.039583333331</v>
      </c>
      <c r="H698">
        <v>57</v>
      </c>
      <c r="I698">
        <v>29.66</v>
      </c>
      <c r="J698" t="str">
        <f t="shared" si="31"/>
        <v>Medium</v>
      </c>
      <c r="K698" t="s">
        <v>50</v>
      </c>
      <c r="L698">
        <v>18</v>
      </c>
      <c r="M698">
        <v>35</v>
      </c>
      <c r="N698" t="str">
        <f t="shared" si="32"/>
        <v>Medium Cost</v>
      </c>
      <c r="O698">
        <v>8.5399999999999991</v>
      </c>
      <c r="P698" t="s">
        <v>64</v>
      </c>
      <c r="Q698" t="s">
        <v>48</v>
      </c>
      <c r="R698" t="s">
        <v>44</v>
      </c>
      <c r="S698" t="s">
        <v>644</v>
      </c>
      <c r="T698" t="s">
        <v>46</v>
      </c>
      <c r="U698">
        <v>17</v>
      </c>
      <c r="V698">
        <v>1.8</v>
      </c>
      <c r="W698" t="s">
        <v>47</v>
      </c>
      <c r="X698" t="s">
        <v>29</v>
      </c>
    </row>
    <row r="699" spans="1:24" x14ac:dyDescent="0.3">
      <c r="A699" t="s">
        <v>1976</v>
      </c>
      <c r="B699" t="s">
        <v>40</v>
      </c>
      <c r="C699" t="s">
        <v>41</v>
      </c>
      <c r="D699" t="str">
        <f t="shared" si="30"/>
        <v>Morning</v>
      </c>
      <c r="E699">
        <f>HOUR(EV_Data[[#This Row],[Charging Start Time]])</f>
        <v>1</v>
      </c>
      <c r="F699" s="1">
        <v>44956.041666666664</v>
      </c>
      <c r="G699" s="1">
        <v>44956.073611111111</v>
      </c>
      <c r="H699">
        <v>46</v>
      </c>
      <c r="I699">
        <v>45.26</v>
      </c>
      <c r="J699" t="str">
        <f t="shared" si="31"/>
        <v>Medium</v>
      </c>
      <c r="K699" t="s">
        <v>42</v>
      </c>
      <c r="L699">
        <v>58</v>
      </c>
      <c r="M699">
        <v>77</v>
      </c>
      <c r="N699" t="str">
        <f t="shared" si="32"/>
        <v>Medium Cost</v>
      </c>
      <c r="O699">
        <v>14.7</v>
      </c>
      <c r="P699" t="s">
        <v>23</v>
      </c>
      <c r="Q699" t="s">
        <v>58</v>
      </c>
      <c r="R699" t="s">
        <v>35</v>
      </c>
      <c r="S699" t="s">
        <v>645</v>
      </c>
      <c r="T699" t="s">
        <v>37</v>
      </c>
      <c r="U699">
        <v>71</v>
      </c>
      <c r="V699">
        <v>1.5</v>
      </c>
      <c r="W699" t="s">
        <v>47</v>
      </c>
      <c r="X699" t="s">
        <v>29</v>
      </c>
    </row>
    <row r="700" spans="1:24" x14ac:dyDescent="0.3">
      <c r="A700" t="s">
        <v>1977</v>
      </c>
      <c r="B700" t="s">
        <v>126</v>
      </c>
      <c r="C700" t="s">
        <v>31</v>
      </c>
      <c r="D700" t="str">
        <f t="shared" si="30"/>
        <v>Morning</v>
      </c>
      <c r="E700">
        <f>HOUR(EV_Data[[#This Row],[Charging Start Time]])</f>
        <v>2</v>
      </c>
      <c r="F700" s="1">
        <v>44956.083333333336</v>
      </c>
      <c r="G700" s="1">
        <v>44956.117361111108</v>
      </c>
      <c r="H700">
        <v>49</v>
      </c>
      <c r="I700">
        <v>49.09</v>
      </c>
      <c r="J700" t="str">
        <f t="shared" si="31"/>
        <v>Medium</v>
      </c>
      <c r="K700" t="s">
        <v>69</v>
      </c>
      <c r="L700">
        <v>50</v>
      </c>
      <c r="M700">
        <v>62</v>
      </c>
      <c r="N700" t="str">
        <f t="shared" si="32"/>
        <v>Medium Cost</v>
      </c>
      <c r="O700">
        <v>10.64</v>
      </c>
      <c r="P700" t="s">
        <v>64</v>
      </c>
      <c r="Q700" t="s">
        <v>58</v>
      </c>
      <c r="R700" t="s">
        <v>56</v>
      </c>
      <c r="S700" t="s">
        <v>646</v>
      </c>
      <c r="T700" t="s">
        <v>27</v>
      </c>
      <c r="U700">
        <v>21</v>
      </c>
      <c r="V700">
        <v>1.1000000000000001</v>
      </c>
      <c r="W700" t="s">
        <v>47</v>
      </c>
      <c r="X700" t="s">
        <v>29</v>
      </c>
    </row>
    <row r="701" spans="1:24" x14ac:dyDescent="0.3">
      <c r="A701" t="s">
        <v>1978</v>
      </c>
      <c r="B701" t="s">
        <v>126</v>
      </c>
      <c r="C701" t="s">
        <v>31</v>
      </c>
      <c r="D701" t="str">
        <f t="shared" si="30"/>
        <v>Morning</v>
      </c>
      <c r="E701">
        <f>HOUR(EV_Data[[#This Row],[Charging Start Time]])</f>
        <v>3</v>
      </c>
      <c r="F701" s="1">
        <v>44956.125</v>
      </c>
      <c r="G701" s="1">
        <v>44956.175694444442</v>
      </c>
      <c r="H701">
        <v>73</v>
      </c>
      <c r="I701">
        <v>44.13</v>
      </c>
      <c r="J701" t="str">
        <f t="shared" si="31"/>
        <v>Medium</v>
      </c>
      <c r="K701" t="s">
        <v>50</v>
      </c>
      <c r="L701">
        <v>40</v>
      </c>
      <c r="M701">
        <v>70</v>
      </c>
      <c r="N701" t="str">
        <f t="shared" si="32"/>
        <v>High Cost</v>
      </c>
      <c r="O701">
        <v>18.190000000000001</v>
      </c>
      <c r="P701" t="s">
        <v>23</v>
      </c>
      <c r="Q701" t="s">
        <v>24</v>
      </c>
      <c r="R701" t="s">
        <v>35</v>
      </c>
      <c r="S701" t="s">
        <v>647</v>
      </c>
      <c r="T701" t="s">
        <v>60</v>
      </c>
      <c r="U701">
        <v>60</v>
      </c>
      <c r="V701">
        <v>4.7</v>
      </c>
      <c r="W701" t="s">
        <v>38</v>
      </c>
      <c r="X701" t="s">
        <v>85</v>
      </c>
    </row>
    <row r="702" spans="1:24" x14ac:dyDescent="0.3">
      <c r="A702" t="s">
        <v>1979</v>
      </c>
      <c r="B702" t="s">
        <v>20</v>
      </c>
      <c r="C702" t="s">
        <v>21</v>
      </c>
      <c r="D702" t="str">
        <f t="shared" si="30"/>
        <v>Morning</v>
      </c>
      <c r="E702">
        <f>HOUR(EV_Data[[#This Row],[Charging Start Time]])</f>
        <v>4</v>
      </c>
      <c r="F702" s="1">
        <v>44956.166666666664</v>
      </c>
      <c r="G702" s="1">
        <v>44956.211111111108</v>
      </c>
      <c r="H702">
        <v>64</v>
      </c>
      <c r="I702">
        <v>23.83</v>
      </c>
      <c r="J702" t="str">
        <f t="shared" si="31"/>
        <v>Medium</v>
      </c>
      <c r="K702" t="s">
        <v>69</v>
      </c>
      <c r="L702">
        <v>10</v>
      </c>
      <c r="M702">
        <v>34</v>
      </c>
      <c r="N702" t="str">
        <f t="shared" si="32"/>
        <v>Low Cost</v>
      </c>
      <c r="O702">
        <v>7.1</v>
      </c>
      <c r="P702" t="s">
        <v>64</v>
      </c>
      <c r="Q702" t="s">
        <v>34</v>
      </c>
      <c r="R702" t="s">
        <v>25</v>
      </c>
      <c r="S702" t="s">
        <v>365</v>
      </c>
      <c r="T702" t="s">
        <v>60</v>
      </c>
      <c r="U702">
        <v>85</v>
      </c>
      <c r="V702">
        <v>3.2</v>
      </c>
      <c r="W702" t="s">
        <v>28</v>
      </c>
      <c r="X702" t="s">
        <v>68</v>
      </c>
    </row>
    <row r="703" spans="1:24" x14ac:dyDescent="0.3">
      <c r="A703" t="s">
        <v>1980</v>
      </c>
      <c r="B703" t="s">
        <v>20</v>
      </c>
      <c r="C703" t="s">
        <v>21</v>
      </c>
      <c r="D703" t="str">
        <f t="shared" si="30"/>
        <v>Morning</v>
      </c>
      <c r="E703">
        <f>HOUR(EV_Data[[#This Row],[Charging Start Time]])</f>
        <v>5</v>
      </c>
      <c r="F703" s="1">
        <v>44956.208333333336</v>
      </c>
      <c r="G703" s="1">
        <v>44956.259027777778</v>
      </c>
      <c r="H703">
        <v>73</v>
      </c>
      <c r="I703">
        <v>27.38</v>
      </c>
      <c r="J703" t="str">
        <f t="shared" si="31"/>
        <v>Medium</v>
      </c>
      <c r="K703" t="s">
        <v>50</v>
      </c>
      <c r="L703">
        <v>78</v>
      </c>
      <c r="M703">
        <v>97</v>
      </c>
      <c r="N703" t="str">
        <f t="shared" si="32"/>
        <v>Medium Cost</v>
      </c>
      <c r="O703">
        <v>12.38</v>
      </c>
      <c r="P703" t="s">
        <v>64</v>
      </c>
      <c r="Q703" t="s">
        <v>58</v>
      </c>
      <c r="R703" t="s">
        <v>35</v>
      </c>
      <c r="S703" t="s">
        <v>75</v>
      </c>
      <c r="T703" t="s">
        <v>60</v>
      </c>
      <c r="U703">
        <v>64</v>
      </c>
      <c r="V703">
        <v>1.8</v>
      </c>
      <c r="W703" t="s">
        <v>47</v>
      </c>
      <c r="X703" t="s">
        <v>29</v>
      </c>
    </row>
    <row r="704" spans="1:24" x14ac:dyDescent="0.3">
      <c r="A704" t="s">
        <v>1981</v>
      </c>
      <c r="B704" t="s">
        <v>126</v>
      </c>
      <c r="C704" t="s">
        <v>31</v>
      </c>
      <c r="D704" t="str">
        <f t="shared" si="30"/>
        <v>Morning</v>
      </c>
      <c r="E704">
        <f>HOUR(EV_Data[[#This Row],[Charging Start Time]])</f>
        <v>6</v>
      </c>
      <c r="F704" s="1">
        <v>44956.25</v>
      </c>
      <c r="G704" s="1">
        <v>44956.286111111112</v>
      </c>
      <c r="H704">
        <v>52</v>
      </c>
      <c r="I704">
        <v>38.32</v>
      </c>
      <c r="J704" t="str">
        <f t="shared" si="31"/>
        <v>Medium</v>
      </c>
      <c r="K704" t="s">
        <v>55</v>
      </c>
      <c r="L704">
        <v>11</v>
      </c>
      <c r="M704">
        <v>51</v>
      </c>
      <c r="N704" t="str">
        <f t="shared" si="32"/>
        <v>Medium Cost</v>
      </c>
      <c r="O704">
        <v>8.82</v>
      </c>
      <c r="P704" t="s">
        <v>64</v>
      </c>
      <c r="Q704" t="s">
        <v>24</v>
      </c>
      <c r="R704" t="s">
        <v>25</v>
      </c>
      <c r="S704" t="s">
        <v>201</v>
      </c>
      <c r="T704" t="s">
        <v>27</v>
      </c>
      <c r="U704">
        <v>60</v>
      </c>
      <c r="V704">
        <v>1.2</v>
      </c>
      <c r="W704" t="s">
        <v>28</v>
      </c>
      <c r="X704" t="s">
        <v>68</v>
      </c>
    </row>
    <row r="705" spans="1:24" x14ac:dyDescent="0.3">
      <c r="A705" t="s">
        <v>1982</v>
      </c>
      <c r="B705" t="s">
        <v>92</v>
      </c>
      <c r="C705" t="s">
        <v>93</v>
      </c>
      <c r="D705" t="str">
        <f t="shared" si="30"/>
        <v>Morning</v>
      </c>
      <c r="E705">
        <f>HOUR(EV_Data[[#This Row],[Charging Start Time]])</f>
        <v>7</v>
      </c>
      <c r="F705" s="1">
        <v>44956.291666666664</v>
      </c>
      <c r="G705" s="1">
        <v>44956.343055555553</v>
      </c>
      <c r="H705">
        <v>74</v>
      </c>
      <c r="I705">
        <v>32.520000000000003</v>
      </c>
      <c r="J705" t="str">
        <f t="shared" si="31"/>
        <v>Medium</v>
      </c>
      <c r="K705" t="s">
        <v>22</v>
      </c>
      <c r="L705">
        <v>30</v>
      </c>
      <c r="M705">
        <v>48</v>
      </c>
      <c r="N705" t="str">
        <f t="shared" si="32"/>
        <v>Low Cost</v>
      </c>
      <c r="O705">
        <v>6.93</v>
      </c>
      <c r="P705" t="s">
        <v>23</v>
      </c>
      <c r="Q705" t="s">
        <v>24</v>
      </c>
      <c r="R705" t="s">
        <v>56</v>
      </c>
      <c r="S705" t="s">
        <v>648</v>
      </c>
      <c r="T705" t="s">
        <v>46</v>
      </c>
      <c r="U705">
        <v>97</v>
      </c>
      <c r="V705">
        <v>3</v>
      </c>
      <c r="W705" t="s">
        <v>47</v>
      </c>
      <c r="X705" t="s">
        <v>29</v>
      </c>
    </row>
    <row r="706" spans="1:24" x14ac:dyDescent="0.3">
      <c r="A706" t="s">
        <v>1983</v>
      </c>
      <c r="B706" t="s">
        <v>71</v>
      </c>
      <c r="C706" t="s">
        <v>72</v>
      </c>
      <c r="D706" t="str">
        <f t="shared" ref="D706:D769" si="33">IF(E706&lt;12,"Morning",IF(E706&lt;17,"Afternoon","Evening"))</f>
        <v>Morning</v>
      </c>
      <c r="E706">
        <f>HOUR(EV_Data[[#This Row],[Charging Start Time]])</f>
        <v>8</v>
      </c>
      <c r="F706" s="1">
        <v>44956.333333333336</v>
      </c>
      <c r="G706" s="1">
        <v>44956.368750000001</v>
      </c>
      <c r="H706">
        <v>51</v>
      </c>
      <c r="I706">
        <v>42.52</v>
      </c>
      <c r="J706" t="str">
        <f t="shared" ref="J706:J769" si="34">IF(I706&lt;20,"Low",IF(I706&lt;50,"Medium","High"))</f>
        <v>Medium</v>
      </c>
      <c r="K706" t="s">
        <v>69</v>
      </c>
      <c r="L706">
        <v>69</v>
      </c>
      <c r="M706">
        <v>100</v>
      </c>
      <c r="N706" t="str">
        <f t="shared" ref="N706:N769" si="35">IF(O706&lt;8,"Low Cost",IF(O706&lt;17,"Medium Cost","High Cost"))</f>
        <v>Medium Cost</v>
      </c>
      <c r="O706">
        <v>10.46</v>
      </c>
      <c r="P706" t="s">
        <v>64</v>
      </c>
      <c r="Q706" t="s">
        <v>58</v>
      </c>
      <c r="R706" t="s">
        <v>35</v>
      </c>
      <c r="S706" t="s">
        <v>546</v>
      </c>
      <c r="T706" t="s">
        <v>46</v>
      </c>
      <c r="U706">
        <v>5</v>
      </c>
      <c r="V706">
        <v>2.2000000000000002</v>
      </c>
      <c r="W706" t="s">
        <v>28</v>
      </c>
      <c r="X706" t="s">
        <v>68</v>
      </c>
    </row>
    <row r="707" spans="1:24" x14ac:dyDescent="0.3">
      <c r="A707" t="s">
        <v>1984</v>
      </c>
      <c r="B707" t="s">
        <v>77</v>
      </c>
      <c r="C707" t="s">
        <v>78</v>
      </c>
      <c r="D707" t="str">
        <f t="shared" si="33"/>
        <v>Morning</v>
      </c>
      <c r="E707">
        <f>HOUR(EV_Data[[#This Row],[Charging Start Time]])</f>
        <v>9</v>
      </c>
      <c r="F707" s="1">
        <v>44956.375</v>
      </c>
      <c r="G707" s="1">
        <v>44956.413194444453</v>
      </c>
      <c r="H707">
        <v>55</v>
      </c>
      <c r="I707">
        <v>47.42</v>
      </c>
      <c r="J707" t="str">
        <f t="shared" si="34"/>
        <v>Medium</v>
      </c>
      <c r="K707" t="s">
        <v>32</v>
      </c>
      <c r="L707">
        <v>23</v>
      </c>
      <c r="M707">
        <v>41</v>
      </c>
      <c r="N707" t="str">
        <f t="shared" si="35"/>
        <v>High Cost</v>
      </c>
      <c r="O707">
        <v>19.989999999999998</v>
      </c>
      <c r="P707" t="s">
        <v>43</v>
      </c>
      <c r="Q707" t="s">
        <v>34</v>
      </c>
      <c r="R707" t="s">
        <v>56</v>
      </c>
      <c r="S707" t="s">
        <v>649</v>
      </c>
      <c r="T707" t="s">
        <v>60</v>
      </c>
      <c r="U707">
        <v>93</v>
      </c>
      <c r="V707">
        <v>4.4000000000000004</v>
      </c>
      <c r="W707" t="s">
        <v>47</v>
      </c>
      <c r="X707" t="s">
        <v>29</v>
      </c>
    </row>
    <row r="708" spans="1:24" x14ac:dyDescent="0.3">
      <c r="A708" t="s">
        <v>1985</v>
      </c>
      <c r="B708" t="s">
        <v>92</v>
      </c>
      <c r="C708" t="s">
        <v>93</v>
      </c>
      <c r="D708" t="str">
        <f t="shared" si="33"/>
        <v>Morning</v>
      </c>
      <c r="E708">
        <f>HOUR(EV_Data[[#This Row],[Charging Start Time]])</f>
        <v>10</v>
      </c>
      <c r="F708" s="1">
        <v>44956.416666666664</v>
      </c>
      <c r="G708" s="1">
        <v>44956.442361111112</v>
      </c>
      <c r="H708">
        <v>37</v>
      </c>
      <c r="I708">
        <v>42.33</v>
      </c>
      <c r="J708" t="str">
        <f t="shared" si="34"/>
        <v>Medium</v>
      </c>
      <c r="K708" t="s">
        <v>22</v>
      </c>
      <c r="L708">
        <v>6</v>
      </c>
      <c r="M708">
        <v>46</v>
      </c>
      <c r="N708" t="str">
        <f t="shared" si="35"/>
        <v>High Cost</v>
      </c>
      <c r="O708">
        <v>17.61</v>
      </c>
      <c r="P708" t="s">
        <v>33</v>
      </c>
      <c r="Q708" t="s">
        <v>34</v>
      </c>
      <c r="R708" t="s">
        <v>35</v>
      </c>
      <c r="S708" t="s">
        <v>650</v>
      </c>
      <c r="T708" t="s">
        <v>46</v>
      </c>
      <c r="U708">
        <v>38</v>
      </c>
      <c r="V708">
        <v>2.5</v>
      </c>
      <c r="W708" t="s">
        <v>28</v>
      </c>
      <c r="X708" t="s">
        <v>68</v>
      </c>
    </row>
    <row r="709" spans="1:24" x14ac:dyDescent="0.3">
      <c r="A709" t="s">
        <v>1986</v>
      </c>
      <c r="B709" t="s">
        <v>20</v>
      </c>
      <c r="C709" t="s">
        <v>21</v>
      </c>
      <c r="D709" t="str">
        <f t="shared" si="33"/>
        <v>Morning</v>
      </c>
      <c r="E709">
        <f>HOUR(EV_Data[[#This Row],[Charging Start Time]])</f>
        <v>11</v>
      </c>
      <c r="F709" s="1">
        <v>44956.458333333336</v>
      </c>
      <c r="G709" s="1">
        <v>44956.490972222222</v>
      </c>
      <c r="H709">
        <v>47</v>
      </c>
      <c r="I709">
        <v>39.43</v>
      </c>
      <c r="J709" t="str">
        <f t="shared" si="34"/>
        <v>Medium</v>
      </c>
      <c r="K709" t="s">
        <v>32</v>
      </c>
      <c r="L709">
        <v>20</v>
      </c>
      <c r="M709">
        <v>44</v>
      </c>
      <c r="N709" t="str">
        <f t="shared" si="35"/>
        <v>Medium Cost</v>
      </c>
      <c r="O709">
        <v>15.06</v>
      </c>
      <c r="P709" t="s">
        <v>23</v>
      </c>
      <c r="Q709" t="s">
        <v>34</v>
      </c>
      <c r="R709" t="s">
        <v>56</v>
      </c>
      <c r="S709" t="s">
        <v>651</v>
      </c>
      <c r="T709" t="s">
        <v>46</v>
      </c>
      <c r="U709">
        <v>72</v>
      </c>
      <c r="V709">
        <v>1.9</v>
      </c>
      <c r="W709" t="s">
        <v>28</v>
      </c>
      <c r="X709" t="s">
        <v>68</v>
      </c>
    </row>
    <row r="710" spans="1:24" x14ac:dyDescent="0.3">
      <c r="A710" t="s">
        <v>1987</v>
      </c>
      <c r="B710" t="s">
        <v>20</v>
      </c>
      <c r="C710" t="s">
        <v>21</v>
      </c>
      <c r="D710" t="str">
        <f t="shared" si="33"/>
        <v>Afternoon</v>
      </c>
      <c r="E710">
        <f>HOUR(EV_Data[[#This Row],[Charging Start Time]])</f>
        <v>12</v>
      </c>
      <c r="F710" s="1">
        <v>44956.5</v>
      </c>
      <c r="G710" s="1">
        <v>44956.511805555558</v>
      </c>
      <c r="H710">
        <v>17</v>
      </c>
      <c r="I710">
        <v>21.46</v>
      </c>
      <c r="J710" t="str">
        <f t="shared" si="34"/>
        <v>Medium</v>
      </c>
      <c r="K710" t="s">
        <v>42</v>
      </c>
      <c r="L710">
        <v>8</v>
      </c>
      <c r="M710">
        <v>45</v>
      </c>
      <c r="N710" t="str">
        <f t="shared" si="35"/>
        <v>Low Cost</v>
      </c>
      <c r="O710">
        <v>5.52</v>
      </c>
      <c r="P710" t="s">
        <v>43</v>
      </c>
      <c r="Q710" t="s">
        <v>24</v>
      </c>
      <c r="R710" t="s">
        <v>25</v>
      </c>
      <c r="S710" t="s">
        <v>652</v>
      </c>
      <c r="T710" t="s">
        <v>27</v>
      </c>
      <c r="U710">
        <v>80</v>
      </c>
      <c r="V710">
        <v>2.2000000000000002</v>
      </c>
      <c r="W710" t="s">
        <v>38</v>
      </c>
    </row>
    <row r="711" spans="1:24" x14ac:dyDescent="0.3">
      <c r="A711" t="s">
        <v>1988</v>
      </c>
      <c r="B711" t="s">
        <v>71</v>
      </c>
      <c r="C711" t="s">
        <v>72</v>
      </c>
      <c r="D711" t="str">
        <f t="shared" si="33"/>
        <v>Afternoon</v>
      </c>
      <c r="E711">
        <f>HOUR(EV_Data[[#This Row],[Charging Start Time]])</f>
        <v>13</v>
      </c>
      <c r="F711" s="1">
        <v>44956.541666666664</v>
      </c>
      <c r="G711" s="1">
        <v>44956.57708333333</v>
      </c>
      <c r="H711">
        <v>51</v>
      </c>
      <c r="I711">
        <v>18.420000000000002</v>
      </c>
      <c r="J711" t="str">
        <f t="shared" si="34"/>
        <v>Low</v>
      </c>
      <c r="K711" t="s">
        <v>22</v>
      </c>
      <c r="L711">
        <v>67</v>
      </c>
      <c r="M711">
        <v>100</v>
      </c>
      <c r="N711" t="str">
        <f t="shared" si="35"/>
        <v>Low Cost</v>
      </c>
      <c r="O711">
        <v>4.45</v>
      </c>
      <c r="P711" t="s">
        <v>23</v>
      </c>
      <c r="Q711" t="s">
        <v>24</v>
      </c>
      <c r="R711" t="s">
        <v>35</v>
      </c>
      <c r="S711" t="s">
        <v>653</v>
      </c>
      <c r="T711" t="s">
        <v>46</v>
      </c>
      <c r="U711">
        <v>96</v>
      </c>
      <c r="V711">
        <v>2</v>
      </c>
      <c r="W711" t="s">
        <v>28</v>
      </c>
      <c r="X711" t="s">
        <v>68</v>
      </c>
    </row>
    <row r="712" spans="1:24" x14ac:dyDescent="0.3">
      <c r="A712" t="s">
        <v>1989</v>
      </c>
      <c r="B712" t="s">
        <v>126</v>
      </c>
      <c r="C712" t="s">
        <v>31</v>
      </c>
      <c r="D712" t="str">
        <f t="shared" si="33"/>
        <v>Afternoon</v>
      </c>
      <c r="E712">
        <f>HOUR(EV_Data[[#This Row],[Charging Start Time]])</f>
        <v>14</v>
      </c>
      <c r="F712" s="1">
        <v>44956.583333333336</v>
      </c>
      <c r="G712" s="1">
        <v>44956.636111111111</v>
      </c>
      <c r="H712">
        <v>76</v>
      </c>
      <c r="I712">
        <v>22.29</v>
      </c>
      <c r="J712" t="str">
        <f t="shared" si="34"/>
        <v>Medium</v>
      </c>
      <c r="K712" t="s">
        <v>55</v>
      </c>
      <c r="L712">
        <v>18</v>
      </c>
      <c r="M712">
        <v>41</v>
      </c>
      <c r="N712" t="str">
        <f t="shared" si="35"/>
        <v>Low Cost</v>
      </c>
      <c r="O712">
        <v>7.53</v>
      </c>
      <c r="P712" t="s">
        <v>33</v>
      </c>
      <c r="Q712" t="s">
        <v>34</v>
      </c>
      <c r="R712" t="s">
        <v>56</v>
      </c>
      <c r="S712" t="s">
        <v>654</v>
      </c>
      <c r="T712" t="s">
        <v>46</v>
      </c>
      <c r="U712">
        <v>94</v>
      </c>
      <c r="V712">
        <v>3.9</v>
      </c>
      <c r="W712" t="s">
        <v>38</v>
      </c>
      <c r="X712" t="s">
        <v>85</v>
      </c>
    </row>
    <row r="713" spans="1:24" x14ac:dyDescent="0.3">
      <c r="A713" t="s">
        <v>1990</v>
      </c>
      <c r="B713" t="s">
        <v>92</v>
      </c>
      <c r="C713" t="s">
        <v>93</v>
      </c>
      <c r="D713" t="str">
        <f t="shared" si="33"/>
        <v>Afternoon</v>
      </c>
      <c r="E713">
        <f>HOUR(EV_Data[[#This Row],[Charging Start Time]])</f>
        <v>15</v>
      </c>
      <c r="F713" s="1">
        <v>44956.625</v>
      </c>
      <c r="G713" s="1">
        <v>44956.676388888889</v>
      </c>
      <c r="H713">
        <v>74</v>
      </c>
      <c r="I713">
        <v>31.95</v>
      </c>
      <c r="J713" t="str">
        <f t="shared" si="34"/>
        <v>Medium</v>
      </c>
      <c r="K713" t="s">
        <v>22</v>
      </c>
      <c r="L713">
        <v>20</v>
      </c>
      <c r="M713">
        <v>56</v>
      </c>
      <c r="N713" t="str">
        <f t="shared" si="35"/>
        <v>Medium Cost</v>
      </c>
      <c r="O713">
        <v>13.18</v>
      </c>
      <c r="P713" t="s">
        <v>33</v>
      </c>
      <c r="Q713" t="s">
        <v>58</v>
      </c>
      <c r="R713" t="s">
        <v>44</v>
      </c>
      <c r="S713" t="s">
        <v>267</v>
      </c>
      <c r="T713" t="s">
        <v>60</v>
      </c>
      <c r="U713">
        <v>66</v>
      </c>
      <c r="V713">
        <v>1.8</v>
      </c>
      <c r="W713" t="s">
        <v>28</v>
      </c>
      <c r="X713" t="s">
        <v>68</v>
      </c>
    </row>
    <row r="714" spans="1:24" x14ac:dyDescent="0.3">
      <c r="A714" t="s">
        <v>1991</v>
      </c>
      <c r="B714" t="s">
        <v>20</v>
      </c>
      <c r="C714" t="s">
        <v>21</v>
      </c>
      <c r="D714" t="str">
        <f t="shared" si="33"/>
        <v>Afternoon</v>
      </c>
      <c r="E714">
        <f>HOUR(EV_Data[[#This Row],[Charging Start Time]])</f>
        <v>16</v>
      </c>
      <c r="F714" s="1">
        <v>44956.666666666664</v>
      </c>
      <c r="G714" s="1">
        <v>44956.667361111111</v>
      </c>
      <c r="H714">
        <v>1</v>
      </c>
      <c r="I714">
        <v>13.23</v>
      </c>
      <c r="J714" t="str">
        <f t="shared" si="34"/>
        <v>Low</v>
      </c>
      <c r="K714" t="s">
        <v>22</v>
      </c>
      <c r="L714">
        <v>54</v>
      </c>
      <c r="M714">
        <v>70</v>
      </c>
      <c r="N714" t="str">
        <f t="shared" si="35"/>
        <v>Low Cost</v>
      </c>
      <c r="O714">
        <v>4.1100000000000003</v>
      </c>
      <c r="P714" t="s">
        <v>23</v>
      </c>
      <c r="Q714" t="s">
        <v>34</v>
      </c>
      <c r="R714" t="s">
        <v>44</v>
      </c>
      <c r="S714" t="s">
        <v>655</v>
      </c>
      <c r="T714" t="s">
        <v>37</v>
      </c>
      <c r="U714">
        <v>35</v>
      </c>
      <c r="V714">
        <v>4.9000000000000004</v>
      </c>
      <c r="W714" t="s">
        <v>28</v>
      </c>
      <c r="X714" t="s">
        <v>68</v>
      </c>
    </row>
    <row r="715" spans="1:24" x14ac:dyDescent="0.3">
      <c r="A715" t="s">
        <v>1992</v>
      </c>
      <c r="B715" t="s">
        <v>40</v>
      </c>
      <c r="C715" t="s">
        <v>41</v>
      </c>
      <c r="D715" t="str">
        <f t="shared" si="33"/>
        <v>Evening</v>
      </c>
      <c r="E715">
        <f>HOUR(EV_Data[[#This Row],[Charging Start Time]])</f>
        <v>17</v>
      </c>
      <c r="F715" s="1">
        <v>44956.708333333336</v>
      </c>
      <c r="G715" s="1">
        <v>44956.713888888888</v>
      </c>
      <c r="H715">
        <v>8</v>
      </c>
      <c r="I715">
        <v>22.7</v>
      </c>
      <c r="J715" t="str">
        <f t="shared" si="34"/>
        <v>Medium</v>
      </c>
      <c r="K715" t="s">
        <v>50</v>
      </c>
      <c r="L715">
        <v>49</v>
      </c>
      <c r="M715">
        <v>72</v>
      </c>
      <c r="N715" t="str">
        <f t="shared" si="35"/>
        <v>Medium Cost</v>
      </c>
      <c r="O715">
        <v>10.86</v>
      </c>
      <c r="P715" t="s">
        <v>33</v>
      </c>
      <c r="Q715" t="s">
        <v>58</v>
      </c>
      <c r="R715" t="s">
        <v>35</v>
      </c>
      <c r="S715" t="s">
        <v>656</v>
      </c>
      <c r="T715" t="s">
        <v>37</v>
      </c>
      <c r="U715">
        <v>55</v>
      </c>
      <c r="V715">
        <v>1.9</v>
      </c>
      <c r="W715" t="s">
        <v>28</v>
      </c>
      <c r="X715" t="s">
        <v>68</v>
      </c>
    </row>
    <row r="716" spans="1:24" x14ac:dyDescent="0.3">
      <c r="A716" t="s">
        <v>1993</v>
      </c>
      <c r="B716" t="s">
        <v>30</v>
      </c>
      <c r="C716" t="s">
        <v>102</v>
      </c>
      <c r="D716" t="str">
        <f t="shared" si="33"/>
        <v>Evening</v>
      </c>
      <c r="E716">
        <f>HOUR(EV_Data[[#This Row],[Charging Start Time]])</f>
        <v>18</v>
      </c>
      <c r="F716" s="1">
        <v>44956.75</v>
      </c>
      <c r="G716" s="1">
        <v>44956.777083333327</v>
      </c>
      <c r="H716">
        <v>39</v>
      </c>
      <c r="I716">
        <v>18.010000000000002</v>
      </c>
      <c r="J716" t="str">
        <f t="shared" si="34"/>
        <v>Low</v>
      </c>
      <c r="K716" t="s">
        <v>55</v>
      </c>
      <c r="L716">
        <v>53</v>
      </c>
      <c r="M716">
        <v>84</v>
      </c>
      <c r="N716" t="str">
        <f t="shared" si="35"/>
        <v>Low Cost</v>
      </c>
      <c r="O716">
        <v>7.61</v>
      </c>
      <c r="P716" t="s">
        <v>23</v>
      </c>
      <c r="Q716" t="s">
        <v>58</v>
      </c>
      <c r="R716" t="s">
        <v>35</v>
      </c>
      <c r="S716" t="s">
        <v>510</v>
      </c>
      <c r="T716" t="s">
        <v>60</v>
      </c>
      <c r="U716">
        <v>49</v>
      </c>
      <c r="V716">
        <v>3.1</v>
      </c>
      <c r="W716" t="s">
        <v>38</v>
      </c>
    </row>
    <row r="717" spans="1:24" x14ac:dyDescent="0.3">
      <c r="A717" t="s">
        <v>1994</v>
      </c>
      <c r="B717" t="s">
        <v>20</v>
      </c>
      <c r="C717" t="s">
        <v>21</v>
      </c>
      <c r="D717" t="str">
        <f t="shared" si="33"/>
        <v>Evening</v>
      </c>
      <c r="E717">
        <f>HOUR(EV_Data[[#This Row],[Charging Start Time]])</f>
        <v>19</v>
      </c>
      <c r="F717" s="1">
        <v>44956.791666666664</v>
      </c>
      <c r="G717" s="1">
        <v>44956.839583333327</v>
      </c>
      <c r="H717">
        <v>69</v>
      </c>
      <c r="I717">
        <v>9.83</v>
      </c>
      <c r="J717" t="str">
        <f t="shared" si="34"/>
        <v>Low</v>
      </c>
      <c r="K717" t="s">
        <v>22</v>
      </c>
      <c r="L717">
        <v>46</v>
      </c>
      <c r="M717">
        <v>79</v>
      </c>
      <c r="N717" t="str">
        <f t="shared" si="35"/>
        <v>Low Cost</v>
      </c>
      <c r="O717">
        <v>3.97</v>
      </c>
      <c r="P717" t="s">
        <v>33</v>
      </c>
      <c r="Q717" t="s">
        <v>48</v>
      </c>
      <c r="R717" t="s">
        <v>35</v>
      </c>
      <c r="S717" t="s">
        <v>657</v>
      </c>
      <c r="T717" t="s">
        <v>60</v>
      </c>
      <c r="U717">
        <v>50</v>
      </c>
      <c r="V717">
        <v>2.8</v>
      </c>
      <c r="W717" t="s">
        <v>38</v>
      </c>
    </row>
    <row r="718" spans="1:24" x14ac:dyDescent="0.3">
      <c r="A718" t="s">
        <v>1995</v>
      </c>
      <c r="B718" t="s">
        <v>53</v>
      </c>
      <c r="C718" t="s">
        <v>54</v>
      </c>
      <c r="D718" t="str">
        <f t="shared" si="33"/>
        <v>Evening</v>
      </c>
      <c r="E718">
        <f>HOUR(EV_Data[[#This Row],[Charging Start Time]])</f>
        <v>20</v>
      </c>
      <c r="F718" s="1">
        <v>44956.833333333336</v>
      </c>
      <c r="G718" s="1">
        <v>44956.850694444453</v>
      </c>
      <c r="H718">
        <v>25</v>
      </c>
      <c r="I718">
        <v>45.26</v>
      </c>
      <c r="J718" t="str">
        <f t="shared" si="34"/>
        <v>Medium</v>
      </c>
      <c r="K718" t="s">
        <v>22</v>
      </c>
      <c r="L718">
        <v>77</v>
      </c>
      <c r="M718">
        <v>100</v>
      </c>
      <c r="N718" t="str">
        <f t="shared" si="35"/>
        <v>Medium Cost</v>
      </c>
      <c r="O718">
        <v>13.55</v>
      </c>
      <c r="P718" t="s">
        <v>64</v>
      </c>
      <c r="Q718" t="s">
        <v>34</v>
      </c>
      <c r="R718" t="s">
        <v>44</v>
      </c>
      <c r="S718" t="s">
        <v>658</v>
      </c>
      <c r="T718" t="s">
        <v>27</v>
      </c>
      <c r="U718">
        <v>21</v>
      </c>
      <c r="V718">
        <v>2</v>
      </c>
      <c r="W718" t="s">
        <v>38</v>
      </c>
      <c r="X718" t="s">
        <v>83</v>
      </c>
    </row>
    <row r="719" spans="1:24" x14ac:dyDescent="0.3">
      <c r="A719" t="s">
        <v>1996</v>
      </c>
      <c r="B719" t="s">
        <v>92</v>
      </c>
      <c r="C719" t="s">
        <v>93</v>
      </c>
      <c r="D719" t="str">
        <f t="shared" si="33"/>
        <v>Evening</v>
      </c>
      <c r="E719">
        <f>HOUR(EV_Data[[#This Row],[Charging Start Time]])</f>
        <v>21</v>
      </c>
      <c r="F719" s="1">
        <v>44956.875</v>
      </c>
      <c r="G719" s="1">
        <v>44956.922222222223</v>
      </c>
      <c r="H719">
        <v>68</v>
      </c>
      <c r="I719">
        <v>9.49</v>
      </c>
      <c r="J719" t="str">
        <f t="shared" si="34"/>
        <v>Low</v>
      </c>
      <c r="K719" t="s">
        <v>32</v>
      </c>
      <c r="L719">
        <v>5</v>
      </c>
      <c r="M719">
        <v>37</v>
      </c>
      <c r="N719" t="str">
        <f t="shared" si="35"/>
        <v>Low Cost</v>
      </c>
      <c r="O719">
        <v>4.62</v>
      </c>
      <c r="P719" t="s">
        <v>33</v>
      </c>
      <c r="Q719" t="s">
        <v>24</v>
      </c>
      <c r="R719" t="s">
        <v>44</v>
      </c>
      <c r="S719" t="s">
        <v>659</v>
      </c>
      <c r="T719" t="s">
        <v>46</v>
      </c>
      <c r="U719">
        <v>42</v>
      </c>
      <c r="V719">
        <v>2.2999999999999998</v>
      </c>
      <c r="W719" t="s">
        <v>47</v>
      </c>
      <c r="X719" t="s">
        <v>29</v>
      </c>
    </row>
    <row r="720" spans="1:24" x14ac:dyDescent="0.3">
      <c r="A720" t="s">
        <v>1997</v>
      </c>
      <c r="B720" t="s">
        <v>71</v>
      </c>
      <c r="C720" t="s">
        <v>72</v>
      </c>
      <c r="D720" t="str">
        <f t="shared" si="33"/>
        <v>Evening</v>
      </c>
      <c r="E720">
        <f>HOUR(EV_Data[[#This Row],[Charging Start Time]])</f>
        <v>22</v>
      </c>
      <c r="F720" s="1">
        <v>44956.916666666664</v>
      </c>
      <c r="G720" s="1">
        <v>44956.988194444442</v>
      </c>
      <c r="H720">
        <v>103</v>
      </c>
      <c r="I720">
        <v>43.31</v>
      </c>
      <c r="J720" t="str">
        <f t="shared" si="34"/>
        <v>Medium</v>
      </c>
      <c r="K720" t="s">
        <v>69</v>
      </c>
      <c r="L720">
        <v>17</v>
      </c>
      <c r="M720">
        <v>37</v>
      </c>
      <c r="N720" t="str">
        <f t="shared" si="35"/>
        <v>High Cost</v>
      </c>
      <c r="O720">
        <v>18.45</v>
      </c>
      <c r="P720" t="s">
        <v>43</v>
      </c>
      <c r="Q720" t="s">
        <v>24</v>
      </c>
      <c r="R720" t="s">
        <v>35</v>
      </c>
      <c r="S720" t="s">
        <v>238</v>
      </c>
      <c r="T720" t="s">
        <v>46</v>
      </c>
      <c r="U720">
        <v>30</v>
      </c>
      <c r="V720">
        <v>4.9000000000000004</v>
      </c>
      <c r="W720" t="s">
        <v>38</v>
      </c>
      <c r="X720" t="s">
        <v>39</v>
      </c>
    </row>
    <row r="721" spans="1:24" x14ac:dyDescent="0.3">
      <c r="A721" t="s">
        <v>1998</v>
      </c>
      <c r="B721" t="s">
        <v>53</v>
      </c>
      <c r="C721" t="s">
        <v>54</v>
      </c>
      <c r="D721" t="str">
        <f t="shared" si="33"/>
        <v>Evening</v>
      </c>
      <c r="E721">
        <f>HOUR(EV_Data[[#This Row],[Charging Start Time]])</f>
        <v>23</v>
      </c>
      <c r="F721" s="1">
        <v>44956.958333333336</v>
      </c>
      <c r="G721" s="1">
        <v>44956.972222222219</v>
      </c>
      <c r="H721">
        <v>20</v>
      </c>
      <c r="I721">
        <v>30</v>
      </c>
      <c r="J721" t="str">
        <f t="shared" si="34"/>
        <v>Medium</v>
      </c>
      <c r="K721" t="s">
        <v>50</v>
      </c>
      <c r="L721">
        <v>17</v>
      </c>
      <c r="M721">
        <v>33</v>
      </c>
      <c r="N721" t="str">
        <f t="shared" si="35"/>
        <v>Medium Cost</v>
      </c>
      <c r="O721">
        <v>10.09</v>
      </c>
      <c r="P721" t="s">
        <v>43</v>
      </c>
      <c r="Q721" t="s">
        <v>48</v>
      </c>
      <c r="R721" t="s">
        <v>56</v>
      </c>
      <c r="S721" t="s">
        <v>660</v>
      </c>
      <c r="T721" t="s">
        <v>46</v>
      </c>
      <c r="U721">
        <v>69</v>
      </c>
      <c r="V721">
        <v>1.2</v>
      </c>
      <c r="W721" t="s">
        <v>38</v>
      </c>
      <c r="X721" t="s">
        <v>39</v>
      </c>
    </row>
    <row r="722" spans="1:24" x14ac:dyDescent="0.3">
      <c r="A722" t="s">
        <v>1999</v>
      </c>
      <c r="B722" t="s">
        <v>126</v>
      </c>
      <c r="C722" t="s">
        <v>31</v>
      </c>
      <c r="D722" t="str">
        <f t="shared" si="33"/>
        <v>Morning</v>
      </c>
      <c r="E722">
        <f>HOUR(EV_Data[[#This Row],[Charging Start Time]])</f>
        <v>0</v>
      </c>
      <c r="F722" s="1">
        <v>44957</v>
      </c>
      <c r="G722" s="1">
        <v>44957.000694444447</v>
      </c>
      <c r="H722">
        <v>1</v>
      </c>
      <c r="I722">
        <v>34.75</v>
      </c>
      <c r="J722" t="str">
        <f t="shared" si="34"/>
        <v>Medium</v>
      </c>
      <c r="K722" t="s">
        <v>55</v>
      </c>
      <c r="L722">
        <v>24</v>
      </c>
      <c r="M722">
        <v>63</v>
      </c>
      <c r="N722" t="str">
        <f t="shared" si="35"/>
        <v>Medium Cost</v>
      </c>
      <c r="O722">
        <v>11.48</v>
      </c>
      <c r="P722" t="s">
        <v>64</v>
      </c>
      <c r="Q722" t="s">
        <v>58</v>
      </c>
      <c r="R722" t="s">
        <v>56</v>
      </c>
      <c r="S722" t="s">
        <v>388</v>
      </c>
      <c r="T722" t="s">
        <v>27</v>
      </c>
      <c r="U722">
        <v>91</v>
      </c>
      <c r="V722">
        <v>2.2000000000000002</v>
      </c>
      <c r="W722" t="s">
        <v>47</v>
      </c>
      <c r="X722" t="s">
        <v>29</v>
      </c>
    </row>
    <row r="723" spans="1:24" x14ac:dyDescent="0.3">
      <c r="A723" t="s">
        <v>2000</v>
      </c>
      <c r="B723" t="s">
        <v>77</v>
      </c>
      <c r="C723" t="s">
        <v>78</v>
      </c>
      <c r="D723" t="str">
        <f t="shared" si="33"/>
        <v>Morning</v>
      </c>
      <c r="E723">
        <f>HOUR(EV_Data[[#This Row],[Charging Start Time]])</f>
        <v>1</v>
      </c>
      <c r="F723" s="1">
        <v>44957.041666666664</v>
      </c>
      <c r="G723" s="1">
        <v>44957.07916666667</v>
      </c>
      <c r="H723">
        <v>54</v>
      </c>
      <c r="I723">
        <v>41.4</v>
      </c>
      <c r="J723" t="str">
        <f t="shared" si="34"/>
        <v>Medium</v>
      </c>
      <c r="K723" t="s">
        <v>55</v>
      </c>
      <c r="L723">
        <v>79</v>
      </c>
      <c r="M723">
        <v>100</v>
      </c>
      <c r="N723" t="str">
        <f t="shared" si="35"/>
        <v>Medium Cost</v>
      </c>
      <c r="O723">
        <v>15.55</v>
      </c>
      <c r="P723" t="s">
        <v>23</v>
      </c>
      <c r="Q723" t="s">
        <v>34</v>
      </c>
      <c r="R723" t="s">
        <v>25</v>
      </c>
      <c r="S723" t="s">
        <v>566</v>
      </c>
      <c r="T723" t="s">
        <v>27</v>
      </c>
      <c r="U723">
        <v>47</v>
      </c>
      <c r="V723">
        <v>2.7</v>
      </c>
      <c r="W723" t="s">
        <v>28</v>
      </c>
      <c r="X723" t="s">
        <v>68</v>
      </c>
    </row>
    <row r="724" spans="1:24" x14ac:dyDescent="0.3">
      <c r="A724" t="s">
        <v>2001</v>
      </c>
      <c r="B724" t="s">
        <v>77</v>
      </c>
      <c r="C724" t="s">
        <v>78</v>
      </c>
      <c r="D724" t="str">
        <f t="shared" si="33"/>
        <v>Morning</v>
      </c>
      <c r="E724">
        <f>HOUR(EV_Data[[#This Row],[Charging Start Time]])</f>
        <v>2</v>
      </c>
      <c r="F724" s="1">
        <v>44957.083333333336</v>
      </c>
      <c r="G724" s="1">
        <v>44957.118750000001</v>
      </c>
      <c r="H724">
        <v>51</v>
      </c>
      <c r="I724">
        <v>9.36</v>
      </c>
      <c r="J724" t="str">
        <f t="shared" si="34"/>
        <v>Low</v>
      </c>
      <c r="K724" t="s">
        <v>69</v>
      </c>
      <c r="L724">
        <v>39</v>
      </c>
      <c r="M724">
        <v>72</v>
      </c>
      <c r="N724" t="str">
        <f t="shared" si="35"/>
        <v>Low Cost</v>
      </c>
      <c r="O724">
        <v>2.89</v>
      </c>
      <c r="P724" t="s">
        <v>23</v>
      </c>
      <c r="Q724" t="s">
        <v>34</v>
      </c>
      <c r="R724" t="s">
        <v>35</v>
      </c>
      <c r="S724" t="s">
        <v>571</v>
      </c>
      <c r="T724" t="s">
        <v>60</v>
      </c>
      <c r="U724">
        <v>27</v>
      </c>
      <c r="V724">
        <v>4.0999999999999996</v>
      </c>
      <c r="W724" t="s">
        <v>47</v>
      </c>
      <c r="X724" t="s">
        <v>29</v>
      </c>
    </row>
    <row r="725" spans="1:24" x14ac:dyDescent="0.3">
      <c r="A725" t="s">
        <v>2002</v>
      </c>
      <c r="B725" t="s">
        <v>30</v>
      </c>
      <c r="C725" t="s">
        <v>102</v>
      </c>
      <c r="D725" t="str">
        <f t="shared" si="33"/>
        <v>Morning</v>
      </c>
      <c r="E725">
        <f>HOUR(EV_Data[[#This Row],[Charging Start Time]])</f>
        <v>3</v>
      </c>
      <c r="F725" s="1">
        <v>44957.125</v>
      </c>
      <c r="G725" s="1">
        <v>44957.138194444437</v>
      </c>
      <c r="H725">
        <v>19</v>
      </c>
      <c r="I725">
        <v>43.53</v>
      </c>
      <c r="J725" t="str">
        <f t="shared" si="34"/>
        <v>Medium</v>
      </c>
      <c r="K725" t="s">
        <v>69</v>
      </c>
      <c r="L725">
        <v>41</v>
      </c>
      <c r="M725">
        <v>81</v>
      </c>
      <c r="N725" t="str">
        <f t="shared" si="35"/>
        <v>High Cost</v>
      </c>
      <c r="O725">
        <v>19.23</v>
      </c>
      <c r="P725" t="s">
        <v>33</v>
      </c>
      <c r="Q725" t="s">
        <v>24</v>
      </c>
      <c r="R725" t="s">
        <v>56</v>
      </c>
      <c r="S725" t="s">
        <v>661</v>
      </c>
      <c r="T725" t="s">
        <v>46</v>
      </c>
      <c r="U725">
        <v>81</v>
      </c>
      <c r="V725">
        <v>3.7</v>
      </c>
      <c r="W725" t="s">
        <v>47</v>
      </c>
      <c r="X725" t="s">
        <v>29</v>
      </c>
    </row>
    <row r="726" spans="1:24" x14ac:dyDescent="0.3">
      <c r="A726" t="s">
        <v>2003</v>
      </c>
      <c r="B726" t="s">
        <v>53</v>
      </c>
      <c r="C726" t="s">
        <v>54</v>
      </c>
      <c r="D726" t="str">
        <f t="shared" si="33"/>
        <v>Morning</v>
      </c>
      <c r="E726">
        <f>HOUR(EV_Data[[#This Row],[Charging Start Time]])</f>
        <v>4</v>
      </c>
      <c r="F726" s="1">
        <v>44957.166666666664</v>
      </c>
      <c r="G726" s="1">
        <v>44957.22152777778</v>
      </c>
      <c r="H726">
        <v>79</v>
      </c>
      <c r="I726">
        <v>13.91</v>
      </c>
      <c r="J726" t="str">
        <f t="shared" si="34"/>
        <v>Low</v>
      </c>
      <c r="K726" t="s">
        <v>55</v>
      </c>
      <c r="L726">
        <v>5</v>
      </c>
      <c r="M726">
        <v>28</v>
      </c>
      <c r="N726" t="str">
        <f t="shared" si="35"/>
        <v>Low Cost</v>
      </c>
      <c r="O726">
        <v>4.26</v>
      </c>
      <c r="P726" t="s">
        <v>64</v>
      </c>
      <c r="Q726" t="s">
        <v>24</v>
      </c>
      <c r="R726" t="s">
        <v>44</v>
      </c>
      <c r="S726" t="s">
        <v>662</v>
      </c>
      <c r="T726" t="s">
        <v>60</v>
      </c>
      <c r="U726">
        <v>44</v>
      </c>
      <c r="V726">
        <v>4.3</v>
      </c>
      <c r="W726" t="s">
        <v>47</v>
      </c>
      <c r="X726" t="s">
        <v>29</v>
      </c>
    </row>
    <row r="727" spans="1:24" x14ac:dyDescent="0.3">
      <c r="A727" t="s">
        <v>2004</v>
      </c>
      <c r="B727" t="s">
        <v>20</v>
      </c>
      <c r="C727" t="s">
        <v>21</v>
      </c>
      <c r="D727" t="str">
        <f t="shared" si="33"/>
        <v>Morning</v>
      </c>
      <c r="E727">
        <f>HOUR(EV_Data[[#This Row],[Charging Start Time]])</f>
        <v>5</v>
      </c>
      <c r="F727" s="1">
        <v>44957.208333333336</v>
      </c>
      <c r="G727" s="1">
        <v>44957.25277777778</v>
      </c>
      <c r="H727">
        <v>64</v>
      </c>
      <c r="I727">
        <v>41.74</v>
      </c>
      <c r="J727" t="str">
        <f t="shared" si="34"/>
        <v>Medium</v>
      </c>
      <c r="K727" t="s">
        <v>55</v>
      </c>
      <c r="L727">
        <v>31</v>
      </c>
      <c r="M727">
        <v>69</v>
      </c>
      <c r="N727" t="str">
        <f t="shared" si="35"/>
        <v>Medium Cost</v>
      </c>
      <c r="O727">
        <v>13.83</v>
      </c>
      <c r="P727" t="s">
        <v>43</v>
      </c>
      <c r="Q727" t="s">
        <v>48</v>
      </c>
      <c r="R727" t="s">
        <v>56</v>
      </c>
      <c r="S727" t="s">
        <v>663</v>
      </c>
      <c r="T727" t="s">
        <v>37</v>
      </c>
      <c r="U727">
        <v>96</v>
      </c>
      <c r="V727">
        <v>2.2999999999999998</v>
      </c>
      <c r="W727" t="s">
        <v>28</v>
      </c>
      <c r="X727" t="s">
        <v>68</v>
      </c>
    </row>
    <row r="728" spans="1:24" x14ac:dyDescent="0.3">
      <c r="A728" t="s">
        <v>2005</v>
      </c>
      <c r="B728" t="s">
        <v>77</v>
      </c>
      <c r="C728" t="s">
        <v>78</v>
      </c>
      <c r="D728" t="str">
        <f t="shared" si="33"/>
        <v>Morning</v>
      </c>
      <c r="E728">
        <f>HOUR(EV_Data[[#This Row],[Charging Start Time]])</f>
        <v>6</v>
      </c>
      <c r="F728" s="1">
        <v>44957.25</v>
      </c>
      <c r="G728" s="1">
        <v>44957.319444444453</v>
      </c>
      <c r="H728">
        <v>100</v>
      </c>
      <c r="I728">
        <v>24.22</v>
      </c>
      <c r="J728" t="str">
        <f t="shared" si="34"/>
        <v>Medium</v>
      </c>
      <c r="K728" t="s">
        <v>50</v>
      </c>
      <c r="L728">
        <v>10</v>
      </c>
      <c r="M728">
        <v>45</v>
      </c>
      <c r="N728" t="str">
        <f t="shared" si="35"/>
        <v>Medium Cost</v>
      </c>
      <c r="O728">
        <v>9.15</v>
      </c>
      <c r="P728" t="s">
        <v>64</v>
      </c>
      <c r="Q728" t="s">
        <v>58</v>
      </c>
      <c r="R728" t="s">
        <v>35</v>
      </c>
      <c r="S728" t="s">
        <v>664</v>
      </c>
      <c r="T728" t="s">
        <v>37</v>
      </c>
      <c r="U728">
        <v>4</v>
      </c>
      <c r="V728">
        <v>1.7</v>
      </c>
      <c r="W728" t="s">
        <v>47</v>
      </c>
      <c r="X728" t="s">
        <v>29</v>
      </c>
    </row>
    <row r="729" spans="1:24" x14ac:dyDescent="0.3">
      <c r="A729" t="s">
        <v>2006</v>
      </c>
      <c r="B729" t="s">
        <v>53</v>
      </c>
      <c r="C729" t="s">
        <v>54</v>
      </c>
      <c r="D729" t="str">
        <f t="shared" si="33"/>
        <v>Morning</v>
      </c>
      <c r="E729">
        <f>HOUR(EV_Data[[#This Row],[Charging Start Time]])</f>
        <v>7</v>
      </c>
      <c r="F729" s="1">
        <v>44957.291666666664</v>
      </c>
      <c r="G729" s="1">
        <v>44957.317361111112</v>
      </c>
      <c r="H729">
        <v>37</v>
      </c>
      <c r="I729">
        <v>13.93</v>
      </c>
      <c r="J729" t="str">
        <f t="shared" si="34"/>
        <v>Low</v>
      </c>
      <c r="K729" t="s">
        <v>55</v>
      </c>
      <c r="L729">
        <v>13</v>
      </c>
      <c r="M729">
        <v>38</v>
      </c>
      <c r="N729" t="str">
        <f t="shared" si="35"/>
        <v>Low Cost</v>
      </c>
      <c r="O729">
        <v>6.06</v>
      </c>
      <c r="P729" t="s">
        <v>64</v>
      </c>
      <c r="Q729" t="s">
        <v>34</v>
      </c>
      <c r="R729" t="s">
        <v>25</v>
      </c>
      <c r="S729" t="s">
        <v>388</v>
      </c>
      <c r="T729" t="s">
        <v>27</v>
      </c>
      <c r="U729">
        <v>91</v>
      </c>
      <c r="V729">
        <v>3.7</v>
      </c>
      <c r="W729" t="s">
        <v>47</v>
      </c>
      <c r="X729" t="s">
        <v>29</v>
      </c>
    </row>
    <row r="730" spans="1:24" x14ac:dyDescent="0.3">
      <c r="A730" t="s">
        <v>2007</v>
      </c>
      <c r="B730" t="s">
        <v>30</v>
      </c>
      <c r="C730" t="s">
        <v>102</v>
      </c>
      <c r="D730" t="str">
        <f t="shared" si="33"/>
        <v>Morning</v>
      </c>
      <c r="E730">
        <f>HOUR(EV_Data[[#This Row],[Charging Start Time]])</f>
        <v>8</v>
      </c>
      <c r="F730" s="1">
        <v>44957.333333333336</v>
      </c>
      <c r="G730" s="1">
        <v>44957.351388888892</v>
      </c>
      <c r="H730">
        <v>26</v>
      </c>
      <c r="I730">
        <v>27.6</v>
      </c>
      <c r="J730" t="str">
        <f t="shared" si="34"/>
        <v>Medium</v>
      </c>
      <c r="K730" t="s">
        <v>55</v>
      </c>
      <c r="L730">
        <v>40</v>
      </c>
      <c r="M730">
        <v>78</v>
      </c>
      <c r="N730" t="str">
        <f t="shared" si="35"/>
        <v>Medium Cost</v>
      </c>
      <c r="O730">
        <v>10.79</v>
      </c>
      <c r="P730" t="s">
        <v>51</v>
      </c>
      <c r="Q730" t="s">
        <v>58</v>
      </c>
      <c r="R730" t="s">
        <v>56</v>
      </c>
      <c r="S730" t="s">
        <v>665</v>
      </c>
      <c r="T730" t="s">
        <v>46</v>
      </c>
      <c r="U730">
        <v>81</v>
      </c>
      <c r="V730">
        <v>2.5</v>
      </c>
      <c r="W730" t="s">
        <v>38</v>
      </c>
    </row>
    <row r="731" spans="1:24" x14ac:dyDescent="0.3">
      <c r="A731" t="s">
        <v>2008</v>
      </c>
      <c r="B731" t="s">
        <v>20</v>
      </c>
      <c r="C731" t="s">
        <v>21</v>
      </c>
      <c r="D731" t="str">
        <f t="shared" si="33"/>
        <v>Morning</v>
      </c>
      <c r="E731">
        <f>HOUR(EV_Data[[#This Row],[Charging Start Time]])</f>
        <v>9</v>
      </c>
      <c r="F731" s="1">
        <v>44957.375</v>
      </c>
      <c r="G731" s="1">
        <v>44957.42083333333</v>
      </c>
      <c r="H731">
        <v>66</v>
      </c>
      <c r="I731">
        <v>13.81</v>
      </c>
      <c r="J731" t="str">
        <f t="shared" si="34"/>
        <v>Low</v>
      </c>
      <c r="K731" t="s">
        <v>69</v>
      </c>
      <c r="L731">
        <v>31</v>
      </c>
      <c r="M731">
        <v>46</v>
      </c>
      <c r="N731" t="str">
        <f t="shared" si="35"/>
        <v>Low Cost</v>
      </c>
      <c r="O731">
        <v>4.6100000000000003</v>
      </c>
      <c r="P731" t="s">
        <v>33</v>
      </c>
      <c r="Q731" t="s">
        <v>58</v>
      </c>
      <c r="R731" t="s">
        <v>44</v>
      </c>
      <c r="S731" t="s">
        <v>666</v>
      </c>
      <c r="T731" t="s">
        <v>46</v>
      </c>
      <c r="U731">
        <v>20</v>
      </c>
      <c r="V731">
        <v>2.5</v>
      </c>
      <c r="W731" t="s">
        <v>28</v>
      </c>
      <c r="X731" t="s">
        <v>68</v>
      </c>
    </row>
    <row r="732" spans="1:24" x14ac:dyDescent="0.3">
      <c r="A732" t="s">
        <v>2009</v>
      </c>
      <c r="B732" t="s">
        <v>77</v>
      </c>
      <c r="C732" t="s">
        <v>78</v>
      </c>
      <c r="D732" t="str">
        <f t="shared" si="33"/>
        <v>Morning</v>
      </c>
      <c r="E732">
        <f>HOUR(EV_Data[[#This Row],[Charging Start Time]])</f>
        <v>10</v>
      </c>
      <c r="F732" s="1">
        <v>44957.416666666664</v>
      </c>
      <c r="G732" s="1">
        <v>44957.462500000001</v>
      </c>
      <c r="H732">
        <v>66</v>
      </c>
      <c r="I732">
        <v>29.75</v>
      </c>
      <c r="J732" t="str">
        <f t="shared" si="34"/>
        <v>Medium</v>
      </c>
      <c r="K732" t="s">
        <v>32</v>
      </c>
      <c r="L732">
        <v>40</v>
      </c>
      <c r="M732">
        <v>68</v>
      </c>
      <c r="N732" t="str">
        <f t="shared" si="35"/>
        <v>Medium Cost</v>
      </c>
      <c r="O732">
        <v>9.64</v>
      </c>
      <c r="P732" t="s">
        <v>43</v>
      </c>
      <c r="Q732" t="s">
        <v>24</v>
      </c>
      <c r="R732" t="s">
        <v>56</v>
      </c>
      <c r="S732" t="s">
        <v>355</v>
      </c>
      <c r="T732" t="s">
        <v>60</v>
      </c>
      <c r="U732">
        <v>59</v>
      </c>
      <c r="V732">
        <v>2.1</v>
      </c>
      <c r="W732" t="s">
        <v>38</v>
      </c>
      <c r="X732" t="s">
        <v>85</v>
      </c>
    </row>
    <row r="733" spans="1:24" x14ac:dyDescent="0.3">
      <c r="A733" t="s">
        <v>2010</v>
      </c>
      <c r="B733" t="s">
        <v>77</v>
      </c>
      <c r="C733" t="s">
        <v>78</v>
      </c>
      <c r="D733" t="str">
        <f t="shared" si="33"/>
        <v>Morning</v>
      </c>
      <c r="E733">
        <f>HOUR(EV_Data[[#This Row],[Charging Start Time]])</f>
        <v>11</v>
      </c>
      <c r="F733" s="1">
        <v>44957.458333333336</v>
      </c>
      <c r="G733" s="1">
        <v>44957.529861111107</v>
      </c>
      <c r="H733">
        <v>103</v>
      </c>
      <c r="I733">
        <v>26.88</v>
      </c>
      <c r="J733" t="str">
        <f t="shared" si="34"/>
        <v>Medium</v>
      </c>
      <c r="K733" t="s">
        <v>42</v>
      </c>
      <c r="L733">
        <v>48</v>
      </c>
      <c r="M733">
        <v>72</v>
      </c>
      <c r="N733" t="str">
        <f t="shared" si="35"/>
        <v>Medium Cost</v>
      </c>
      <c r="O733">
        <v>9.43</v>
      </c>
      <c r="P733" t="s">
        <v>33</v>
      </c>
      <c r="Q733" t="s">
        <v>34</v>
      </c>
      <c r="R733" t="s">
        <v>56</v>
      </c>
      <c r="S733" t="s">
        <v>667</v>
      </c>
      <c r="T733" t="s">
        <v>46</v>
      </c>
      <c r="U733">
        <v>23</v>
      </c>
      <c r="V733">
        <v>1.1000000000000001</v>
      </c>
      <c r="W733" t="s">
        <v>28</v>
      </c>
      <c r="X733" t="s">
        <v>68</v>
      </c>
    </row>
    <row r="734" spans="1:24" x14ac:dyDescent="0.3">
      <c r="A734" t="s">
        <v>2011</v>
      </c>
      <c r="B734" t="s">
        <v>126</v>
      </c>
      <c r="C734" t="s">
        <v>31</v>
      </c>
      <c r="D734" t="str">
        <f t="shared" si="33"/>
        <v>Afternoon</v>
      </c>
      <c r="E734">
        <f>HOUR(EV_Data[[#This Row],[Charging Start Time]])</f>
        <v>12</v>
      </c>
      <c r="F734" s="1">
        <v>44957.5</v>
      </c>
      <c r="G734" s="1">
        <v>44957.543055555558</v>
      </c>
      <c r="H734">
        <v>62</v>
      </c>
      <c r="I734">
        <v>10.35</v>
      </c>
      <c r="J734" t="str">
        <f t="shared" si="34"/>
        <v>Low</v>
      </c>
      <c r="K734" t="s">
        <v>55</v>
      </c>
      <c r="L734">
        <v>19</v>
      </c>
      <c r="M734">
        <v>53</v>
      </c>
      <c r="N734" t="str">
        <f t="shared" si="35"/>
        <v>Low Cost</v>
      </c>
      <c r="O734">
        <v>2.81</v>
      </c>
      <c r="P734" t="s">
        <v>51</v>
      </c>
      <c r="Q734" t="s">
        <v>48</v>
      </c>
      <c r="R734" t="s">
        <v>44</v>
      </c>
      <c r="S734" t="s">
        <v>668</v>
      </c>
      <c r="T734" t="s">
        <v>60</v>
      </c>
      <c r="U734">
        <v>54</v>
      </c>
      <c r="V734">
        <v>3.1</v>
      </c>
      <c r="W734" t="s">
        <v>28</v>
      </c>
      <c r="X734" t="s">
        <v>68</v>
      </c>
    </row>
    <row r="735" spans="1:24" x14ac:dyDescent="0.3">
      <c r="A735" t="s">
        <v>2012</v>
      </c>
      <c r="B735" t="s">
        <v>126</v>
      </c>
      <c r="C735" t="s">
        <v>31</v>
      </c>
      <c r="D735" t="str">
        <f t="shared" si="33"/>
        <v>Afternoon</v>
      </c>
      <c r="E735">
        <f>HOUR(EV_Data[[#This Row],[Charging Start Time]])</f>
        <v>13</v>
      </c>
      <c r="F735" s="1">
        <v>44957.541666666664</v>
      </c>
      <c r="G735" s="1">
        <v>44957.574305555558</v>
      </c>
      <c r="H735">
        <v>47</v>
      </c>
      <c r="I735">
        <v>32.32</v>
      </c>
      <c r="J735" t="str">
        <f t="shared" si="34"/>
        <v>Medium</v>
      </c>
      <c r="K735" t="s">
        <v>69</v>
      </c>
      <c r="L735">
        <v>24</v>
      </c>
      <c r="M735">
        <v>39</v>
      </c>
      <c r="N735" t="str">
        <f t="shared" si="35"/>
        <v>Medium Cost</v>
      </c>
      <c r="O735">
        <v>16.03</v>
      </c>
      <c r="P735" t="s">
        <v>64</v>
      </c>
      <c r="Q735" t="s">
        <v>48</v>
      </c>
      <c r="R735" t="s">
        <v>44</v>
      </c>
      <c r="S735" t="s">
        <v>232</v>
      </c>
      <c r="T735" t="s">
        <v>46</v>
      </c>
      <c r="U735">
        <v>35</v>
      </c>
      <c r="V735">
        <v>4.3</v>
      </c>
      <c r="W735" t="s">
        <v>47</v>
      </c>
      <c r="X735" t="s">
        <v>29</v>
      </c>
    </row>
    <row r="736" spans="1:24" x14ac:dyDescent="0.3">
      <c r="A736" t="s">
        <v>2013</v>
      </c>
      <c r="B736" t="s">
        <v>126</v>
      </c>
      <c r="C736" t="s">
        <v>31</v>
      </c>
      <c r="D736" t="str">
        <f t="shared" si="33"/>
        <v>Afternoon</v>
      </c>
      <c r="E736">
        <f>HOUR(EV_Data[[#This Row],[Charging Start Time]])</f>
        <v>14</v>
      </c>
      <c r="F736" s="1">
        <v>44957.583333333336</v>
      </c>
      <c r="G736" s="1">
        <v>44957.643750000003</v>
      </c>
      <c r="H736">
        <v>87</v>
      </c>
      <c r="I736">
        <v>25.51</v>
      </c>
      <c r="J736" t="str">
        <f t="shared" si="34"/>
        <v>Medium</v>
      </c>
      <c r="K736" t="s">
        <v>32</v>
      </c>
      <c r="L736">
        <v>36</v>
      </c>
      <c r="M736">
        <v>47</v>
      </c>
      <c r="N736" t="str">
        <f t="shared" si="35"/>
        <v>Medium Cost</v>
      </c>
      <c r="O736">
        <v>11.12</v>
      </c>
      <c r="P736" t="s">
        <v>43</v>
      </c>
      <c r="Q736" t="s">
        <v>48</v>
      </c>
      <c r="R736" t="s">
        <v>25</v>
      </c>
      <c r="S736" t="s">
        <v>669</v>
      </c>
      <c r="T736" t="s">
        <v>37</v>
      </c>
      <c r="U736">
        <v>0</v>
      </c>
      <c r="V736">
        <v>2.4</v>
      </c>
      <c r="W736" t="s">
        <v>38</v>
      </c>
      <c r="X736" t="s">
        <v>62</v>
      </c>
    </row>
    <row r="737" spans="1:24" x14ac:dyDescent="0.3">
      <c r="A737" t="s">
        <v>2014</v>
      </c>
      <c r="B737" t="s">
        <v>92</v>
      </c>
      <c r="C737" t="s">
        <v>93</v>
      </c>
      <c r="D737" t="str">
        <f t="shared" si="33"/>
        <v>Afternoon</v>
      </c>
      <c r="E737">
        <f>HOUR(EV_Data[[#This Row],[Charging Start Time]])</f>
        <v>15</v>
      </c>
      <c r="F737" s="1">
        <v>44957.625</v>
      </c>
      <c r="G737" s="1">
        <v>44957.690972222219</v>
      </c>
      <c r="H737">
        <v>95</v>
      </c>
      <c r="I737">
        <v>19.11</v>
      </c>
      <c r="J737" t="str">
        <f t="shared" si="34"/>
        <v>Low</v>
      </c>
      <c r="K737" t="s">
        <v>69</v>
      </c>
      <c r="L737">
        <v>32</v>
      </c>
      <c r="M737">
        <v>47</v>
      </c>
      <c r="N737" t="str">
        <f t="shared" si="35"/>
        <v>Low Cost</v>
      </c>
      <c r="O737">
        <v>5.72</v>
      </c>
      <c r="P737" t="s">
        <v>43</v>
      </c>
      <c r="Q737" t="s">
        <v>58</v>
      </c>
      <c r="R737" t="s">
        <v>25</v>
      </c>
      <c r="S737" t="s">
        <v>670</v>
      </c>
      <c r="T737" t="s">
        <v>27</v>
      </c>
      <c r="U737">
        <v>11</v>
      </c>
      <c r="V737">
        <v>2.7</v>
      </c>
      <c r="W737" t="s">
        <v>38</v>
      </c>
      <c r="X737" t="s">
        <v>85</v>
      </c>
    </row>
    <row r="738" spans="1:24" x14ac:dyDescent="0.3">
      <c r="A738" t="s">
        <v>2015</v>
      </c>
      <c r="B738" t="s">
        <v>92</v>
      </c>
      <c r="C738" t="s">
        <v>93</v>
      </c>
      <c r="D738" t="str">
        <f t="shared" si="33"/>
        <v>Afternoon</v>
      </c>
      <c r="E738">
        <f>HOUR(EV_Data[[#This Row],[Charging Start Time]])</f>
        <v>16</v>
      </c>
      <c r="F738" s="1">
        <v>44957.666666666664</v>
      </c>
      <c r="G738" s="1">
        <v>44957.748611111107</v>
      </c>
      <c r="H738">
        <v>118</v>
      </c>
      <c r="I738">
        <v>9.26</v>
      </c>
      <c r="J738" t="str">
        <f t="shared" si="34"/>
        <v>Low</v>
      </c>
      <c r="K738" t="s">
        <v>32</v>
      </c>
      <c r="L738">
        <v>29</v>
      </c>
      <c r="M738">
        <v>45</v>
      </c>
      <c r="N738" t="str">
        <f t="shared" si="35"/>
        <v>Low Cost</v>
      </c>
      <c r="O738">
        <v>3.44</v>
      </c>
      <c r="P738" t="s">
        <v>33</v>
      </c>
      <c r="Q738" t="s">
        <v>34</v>
      </c>
      <c r="R738" t="s">
        <v>35</v>
      </c>
      <c r="S738" t="s">
        <v>270</v>
      </c>
      <c r="T738" t="s">
        <v>37</v>
      </c>
      <c r="U738">
        <v>12</v>
      </c>
      <c r="V738">
        <v>3.6</v>
      </c>
      <c r="W738" t="s">
        <v>38</v>
      </c>
    </row>
    <row r="739" spans="1:24" x14ac:dyDescent="0.3">
      <c r="A739" t="s">
        <v>2016</v>
      </c>
      <c r="B739" t="s">
        <v>53</v>
      </c>
      <c r="C739" t="s">
        <v>54</v>
      </c>
      <c r="D739" t="str">
        <f t="shared" si="33"/>
        <v>Evening</v>
      </c>
      <c r="E739">
        <f>HOUR(EV_Data[[#This Row],[Charging Start Time]])</f>
        <v>17</v>
      </c>
      <c r="F739" s="1">
        <v>44957.708333333336</v>
      </c>
      <c r="G739" s="1">
        <v>44957.788194444453</v>
      </c>
      <c r="H739">
        <v>115</v>
      </c>
      <c r="I739">
        <v>29.52</v>
      </c>
      <c r="J739" t="str">
        <f t="shared" si="34"/>
        <v>Medium</v>
      </c>
      <c r="K739" t="s">
        <v>55</v>
      </c>
      <c r="L739">
        <v>43</v>
      </c>
      <c r="M739">
        <v>60</v>
      </c>
      <c r="N739" t="str">
        <f t="shared" si="35"/>
        <v>Medium Cost</v>
      </c>
      <c r="O739">
        <v>11.45</v>
      </c>
      <c r="P739" t="s">
        <v>43</v>
      </c>
      <c r="Q739" t="s">
        <v>58</v>
      </c>
      <c r="R739" t="s">
        <v>25</v>
      </c>
      <c r="S739" t="s">
        <v>454</v>
      </c>
      <c r="T739" t="s">
        <v>46</v>
      </c>
      <c r="U739">
        <v>49</v>
      </c>
      <c r="V739">
        <v>4.0999999999999996</v>
      </c>
      <c r="W739" t="s">
        <v>28</v>
      </c>
      <c r="X739" t="s">
        <v>68</v>
      </c>
    </row>
    <row r="740" spans="1:24" x14ac:dyDescent="0.3">
      <c r="A740" t="s">
        <v>2017</v>
      </c>
      <c r="B740" t="s">
        <v>40</v>
      </c>
      <c r="C740" t="s">
        <v>41</v>
      </c>
      <c r="D740" t="str">
        <f t="shared" si="33"/>
        <v>Evening</v>
      </c>
      <c r="E740">
        <f>HOUR(EV_Data[[#This Row],[Charging Start Time]])</f>
        <v>18</v>
      </c>
      <c r="F740" s="1">
        <v>44957.75</v>
      </c>
      <c r="G740" s="1">
        <v>44957.772222222222</v>
      </c>
      <c r="H740">
        <v>32</v>
      </c>
      <c r="I740">
        <v>33.049999999999997</v>
      </c>
      <c r="J740" t="str">
        <f t="shared" si="34"/>
        <v>Medium</v>
      </c>
      <c r="K740" t="s">
        <v>55</v>
      </c>
      <c r="L740">
        <v>42</v>
      </c>
      <c r="M740">
        <v>73</v>
      </c>
      <c r="N740" t="str">
        <f t="shared" si="35"/>
        <v>Medium Cost</v>
      </c>
      <c r="O740">
        <v>13.85</v>
      </c>
      <c r="P740" t="s">
        <v>51</v>
      </c>
      <c r="Q740" t="s">
        <v>48</v>
      </c>
      <c r="R740" t="s">
        <v>25</v>
      </c>
      <c r="S740" t="s">
        <v>671</v>
      </c>
      <c r="T740" t="s">
        <v>46</v>
      </c>
      <c r="U740">
        <v>63</v>
      </c>
      <c r="V740">
        <v>2.6</v>
      </c>
      <c r="W740" t="s">
        <v>28</v>
      </c>
      <c r="X740" t="s">
        <v>68</v>
      </c>
    </row>
    <row r="741" spans="1:24" x14ac:dyDescent="0.3">
      <c r="A741" t="s">
        <v>2018</v>
      </c>
      <c r="B741" t="s">
        <v>92</v>
      </c>
      <c r="C741" t="s">
        <v>93</v>
      </c>
      <c r="D741" t="str">
        <f t="shared" si="33"/>
        <v>Evening</v>
      </c>
      <c r="E741">
        <f>HOUR(EV_Data[[#This Row],[Charging Start Time]])</f>
        <v>19</v>
      </c>
      <c r="F741" s="1">
        <v>44957.791666666664</v>
      </c>
      <c r="G741" s="1">
        <v>44957.833333333343</v>
      </c>
      <c r="H741">
        <v>60</v>
      </c>
      <c r="I741">
        <v>45.34</v>
      </c>
      <c r="J741" t="str">
        <f t="shared" si="34"/>
        <v>Medium</v>
      </c>
      <c r="K741" t="s">
        <v>42</v>
      </c>
      <c r="L741">
        <v>62</v>
      </c>
      <c r="M741">
        <v>84</v>
      </c>
      <c r="N741" t="str">
        <f t="shared" si="35"/>
        <v>Medium Cost</v>
      </c>
      <c r="O741">
        <v>15.8</v>
      </c>
      <c r="P741" t="s">
        <v>43</v>
      </c>
      <c r="Q741" t="s">
        <v>34</v>
      </c>
      <c r="R741" t="s">
        <v>44</v>
      </c>
      <c r="S741" t="s">
        <v>438</v>
      </c>
      <c r="T741" t="s">
        <v>37</v>
      </c>
      <c r="U741">
        <v>47</v>
      </c>
      <c r="V741">
        <v>1.1000000000000001</v>
      </c>
      <c r="W741" t="s">
        <v>28</v>
      </c>
      <c r="X741" t="s">
        <v>68</v>
      </c>
    </row>
    <row r="742" spans="1:24" x14ac:dyDescent="0.3">
      <c r="A742" t="s">
        <v>2019</v>
      </c>
      <c r="B742" t="s">
        <v>53</v>
      </c>
      <c r="C742" t="s">
        <v>54</v>
      </c>
      <c r="D742" t="str">
        <f t="shared" si="33"/>
        <v>Evening</v>
      </c>
      <c r="E742">
        <f>HOUR(EV_Data[[#This Row],[Charging Start Time]])</f>
        <v>20</v>
      </c>
      <c r="F742" s="1">
        <v>44957.833333333336</v>
      </c>
      <c r="G742" s="1">
        <v>44957.851388888892</v>
      </c>
      <c r="H742">
        <v>26</v>
      </c>
      <c r="I742">
        <v>24.35</v>
      </c>
      <c r="J742" t="str">
        <f t="shared" si="34"/>
        <v>Medium</v>
      </c>
      <c r="K742" t="s">
        <v>42</v>
      </c>
      <c r="L742">
        <v>30</v>
      </c>
      <c r="M742">
        <v>47</v>
      </c>
      <c r="N742" t="str">
        <f t="shared" si="35"/>
        <v>Low Cost</v>
      </c>
      <c r="O742">
        <v>7.08</v>
      </c>
      <c r="P742" t="s">
        <v>33</v>
      </c>
      <c r="Q742" t="s">
        <v>58</v>
      </c>
      <c r="R742" t="s">
        <v>56</v>
      </c>
      <c r="S742" t="s">
        <v>672</v>
      </c>
      <c r="T742" t="s">
        <v>27</v>
      </c>
      <c r="U742">
        <v>19</v>
      </c>
      <c r="V742">
        <v>1.8</v>
      </c>
      <c r="W742" t="s">
        <v>28</v>
      </c>
      <c r="X742" t="s">
        <v>68</v>
      </c>
    </row>
    <row r="743" spans="1:24" x14ac:dyDescent="0.3">
      <c r="A743" t="s">
        <v>2020</v>
      </c>
      <c r="B743" t="s">
        <v>71</v>
      </c>
      <c r="C743" t="s">
        <v>72</v>
      </c>
      <c r="D743" t="str">
        <f t="shared" si="33"/>
        <v>Evening</v>
      </c>
      <c r="E743">
        <f>HOUR(EV_Data[[#This Row],[Charging Start Time]])</f>
        <v>21</v>
      </c>
      <c r="F743" s="1">
        <v>44957.875</v>
      </c>
      <c r="G743" s="1">
        <v>44957.962500000001</v>
      </c>
      <c r="H743">
        <v>126</v>
      </c>
      <c r="I743">
        <v>28.28</v>
      </c>
      <c r="J743" t="str">
        <f t="shared" si="34"/>
        <v>Medium</v>
      </c>
      <c r="K743" t="s">
        <v>50</v>
      </c>
      <c r="L743">
        <v>32</v>
      </c>
      <c r="M743">
        <v>46</v>
      </c>
      <c r="N743" t="str">
        <f t="shared" si="35"/>
        <v>Low Cost</v>
      </c>
      <c r="O743">
        <v>7.79</v>
      </c>
      <c r="P743" t="s">
        <v>43</v>
      </c>
      <c r="Q743" t="s">
        <v>48</v>
      </c>
      <c r="R743" t="s">
        <v>44</v>
      </c>
      <c r="S743" t="s">
        <v>638</v>
      </c>
      <c r="T743" t="s">
        <v>37</v>
      </c>
      <c r="U743">
        <v>92</v>
      </c>
      <c r="V743">
        <v>1.8</v>
      </c>
      <c r="W743" t="s">
        <v>38</v>
      </c>
      <c r="X743" t="s">
        <v>62</v>
      </c>
    </row>
    <row r="744" spans="1:24" x14ac:dyDescent="0.3">
      <c r="A744" t="s">
        <v>2021</v>
      </c>
      <c r="B744" t="s">
        <v>30</v>
      </c>
      <c r="C744" t="s">
        <v>102</v>
      </c>
      <c r="D744" t="str">
        <f t="shared" si="33"/>
        <v>Evening</v>
      </c>
      <c r="E744">
        <f>HOUR(EV_Data[[#This Row],[Charging Start Time]])</f>
        <v>22</v>
      </c>
      <c r="F744" s="1">
        <v>44957.916666666664</v>
      </c>
      <c r="G744" s="1">
        <v>44957.936805555553</v>
      </c>
      <c r="H744">
        <v>29</v>
      </c>
      <c r="I744">
        <v>30.92</v>
      </c>
      <c r="J744" t="str">
        <f t="shared" si="34"/>
        <v>Medium</v>
      </c>
      <c r="K744" t="s">
        <v>42</v>
      </c>
      <c r="L744">
        <v>30</v>
      </c>
      <c r="M744">
        <v>49</v>
      </c>
      <c r="N744" t="str">
        <f t="shared" si="35"/>
        <v>Medium Cost</v>
      </c>
      <c r="O744">
        <v>11.98</v>
      </c>
      <c r="P744" t="s">
        <v>23</v>
      </c>
      <c r="Q744" t="s">
        <v>48</v>
      </c>
      <c r="R744" t="s">
        <v>44</v>
      </c>
      <c r="S744" t="s">
        <v>673</v>
      </c>
      <c r="T744" t="s">
        <v>60</v>
      </c>
      <c r="U744">
        <v>81</v>
      </c>
      <c r="V744">
        <v>2.2000000000000002</v>
      </c>
      <c r="W744" t="s">
        <v>38</v>
      </c>
      <c r="X744" t="s">
        <v>85</v>
      </c>
    </row>
    <row r="745" spans="1:24" x14ac:dyDescent="0.3">
      <c r="A745" t="s">
        <v>2022</v>
      </c>
      <c r="B745" t="s">
        <v>40</v>
      </c>
      <c r="C745" t="s">
        <v>41</v>
      </c>
      <c r="D745" t="str">
        <f t="shared" si="33"/>
        <v>Evening</v>
      </c>
      <c r="E745">
        <f>HOUR(EV_Data[[#This Row],[Charging Start Time]])</f>
        <v>23</v>
      </c>
      <c r="F745" s="1">
        <v>44957.958333333336</v>
      </c>
      <c r="G745" s="1">
        <v>44958.006944444453</v>
      </c>
      <c r="H745">
        <v>70</v>
      </c>
      <c r="I745">
        <v>35.5</v>
      </c>
      <c r="J745" t="str">
        <f t="shared" si="34"/>
        <v>Medium</v>
      </c>
      <c r="K745" t="s">
        <v>32</v>
      </c>
      <c r="L745">
        <v>10</v>
      </c>
      <c r="M745">
        <v>43</v>
      </c>
      <c r="N745" t="str">
        <f t="shared" si="35"/>
        <v>Medium Cost</v>
      </c>
      <c r="O745">
        <v>8.9499999999999993</v>
      </c>
      <c r="P745" t="s">
        <v>64</v>
      </c>
      <c r="Q745" t="s">
        <v>34</v>
      </c>
      <c r="R745" t="s">
        <v>56</v>
      </c>
      <c r="S745" t="s">
        <v>674</v>
      </c>
      <c r="T745" t="s">
        <v>60</v>
      </c>
      <c r="U745">
        <v>10</v>
      </c>
      <c r="V745">
        <v>3.1</v>
      </c>
      <c r="W745" t="s">
        <v>28</v>
      </c>
      <c r="X745" t="s">
        <v>68</v>
      </c>
    </row>
    <row r="746" spans="1:24" x14ac:dyDescent="0.3">
      <c r="A746" t="s">
        <v>2023</v>
      </c>
      <c r="B746" t="s">
        <v>71</v>
      </c>
      <c r="C746" t="s">
        <v>72</v>
      </c>
      <c r="D746" t="str">
        <f t="shared" si="33"/>
        <v>Morning</v>
      </c>
      <c r="E746">
        <f>HOUR(EV_Data[[#This Row],[Charging Start Time]])</f>
        <v>0</v>
      </c>
      <c r="F746" s="1">
        <v>44958</v>
      </c>
      <c r="G746" s="1">
        <v>44958.013888888891</v>
      </c>
      <c r="H746">
        <v>20</v>
      </c>
      <c r="I746">
        <v>7.84</v>
      </c>
      <c r="J746" t="str">
        <f t="shared" si="34"/>
        <v>Low</v>
      </c>
      <c r="K746" t="s">
        <v>50</v>
      </c>
      <c r="L746">
        <v>60</v>
      </c>
      <c r="M746">
        <v>95</v>
      </c>
      <c r="N746" t="str">
        <f t="shared" si="35"/>
        <v>Low Cost</v>
      </c>
      <c r="O746">
        <v>2</v>
      </c>
      <c r="P746" t="s">
        <v>43</v>
      </c>
      <c r="Q746" t="s">
        <v>48</v>
      </c>
      <c r="R746" t="s">
        <v>35</v>
      </c>
      <c r="S746" t="s">
        <v>197</v>
      </c>
      <c r="T746" t="s">
        <v>37</v>
      </c>
      <c r="U746">
        <v>28</v>
      </c>
      <c r="V746">
        <v>1.5</v>
      </c>
      <c r="W746" t="s">
        <v>47</v>
      </c>
      <c r="X746" t="s">
        <v>29</v>
      </c>
    </row>
    <row r="747" spans="1:24" x14ac:dyDescent="0.3">
      <c r="A747" t="s">
        <v>2024</v>
      </c>
      <c r="B747" t="s">
        <v>40</v>
      </c>
      <c r="C747" t="s">
        <v>41</v>
      </c>
      <c r="D747" t="str">
        <f t="shared" si="33"/>
        <v>Morning</v>
      </c>
      <c r="E747">
        <f>HOUR(EV_Data[[#This Row],[Charging Start Time]])</f>
        <v>1</v>
      </c>
      <c r="F747" s="1">
        <v>44958.041666666664</v>
      </c>
      <c r="G747" s="1">
        <v>44958.074305555558</v>
      </c>
      <c r="H747">
        <v>47</v>
      </c>
      <c r="I747">
        <v>6.76</v>
      </c>
      <c r="J747" t="str">
        <f t="shared" si="34"/>
        <v>Low</v>
      </c>
      <c r="K747" t="s">
        <v>50</v>
      </c>
      <c r="L747">
        <v>26</v>
      </c>
      <c r="M747">
        <v>47</v>
      </c>
      <c r="N747" t="str">
        <f t="shared" si="35"/>
        <v>Low Cost</v>
      </c>
      <c r="O747">
        <v>1.71</v>
      </c>
      <c r="P747" t="s">
        <v>51</v>
      </c>
      <c r="Q747" t="s">
        <v>24</v>
      </c>
      <c r="R747" t="s">
        <v>56</v>
      </c>
      <c r="S747" t="s">
        <v>675</v>
      </c>
      <c r="T747" t="s">
        <v>37</v>
      </c>
      <c r="U747">
        <v>29</v>
      </c>
      <c r="V747">
        <v>4.7</v>
      </c>
      <c r="W747" t="s">
        <v>47</v>
      </c>
      <c r="X747" t="s">
        <v>29</v>
      </c>
    </row>
    <row r="748" spans="1:24" x14ac:dyDescent="0.3">
      <c r="A748" t="s">
        <v>2025</v>
      </c>
      <c r="B748" t="s">
        <v>126</v>
      </c>
      <c r="C748" t="s">
        <v>31</v>
      </c>
      <c r="D748" t="str">
        <f t="shared" si="33"/>
        <v>Morning</v>
      </c>
      <c r="E748">
        <f>HOUR(EV_Data[[#This Row],[Charging Start Time]])</f>
        <v>2</v>
      </c>
      <c r="F748" s="1">
        <v>44958.083333333336</v>
      </c>
      <c r="G748" s="1">
        <v>44958.113194444442</v>
      </c>
      <c r="H748">
        <v>43</v>
      </c>
      <c r="I748">
        <v>41.6</v>
      </c>
      <c r="J748" t="str">
        <f t="shared" si="34"/>
        <v>Medium</v>
      </c>
      <c r="K748" t="s">
        <v>32</v>
      </c>
      <c r="L748">
        <v>35</v>
      </c>
      <c r="M748">
        <v>49</v>
      </c>
      <c r="N748" t="str">
        <f t="shared" si="35"/>
        <v>Medium Cost</v>
      </c>
      <c r="O748">
        <v>8.82</v>
      </c>
      <c r="P748" t="s">
        <v>51</v>
      </c>
      <c r="Q748" t="s">
        <v>48</v>
      </c>
      <c r="R748" t="s">
        <v>25</v>
      </c>
      <c r="S748" t="s">
        <v>676</v>
      </c>
      <c r="T748" t="s">
        <v>60</v>
      </c>
      <c r="U748">
        <v>2</v>
      </c>
      <c r="V748">
        <v>1.8</v>
      </c>
      <c r="W748" t="s">
        <v>38</v>
      </c>
    </row>
    <row r="749" spans="1:24" x14ac:dyDescent="0.3">
      <c r="A749" t="s">
        <v>2026</v>
      </c>
      <c r="B749" t="s">
        <v>20</v>
      </c>
      <c r="C749" t="s">
        <v>21</v>
      </c>
      <c r="D749" t="str">
        <f t="shared" si="33"/>
        <v>Morning</v>
      </c>
      <c r="E749">
        <f>HOUR(EV_Data[[#This Row],[Charging Start Time]])</f>
        <v>3</v>
      </c>
      <c r="F749" s="1">
        <v>44958.125</v>
      </c>
      <c r="G749" s="1">
        <v>44958.163194444453</v>
      </c>
      <c r="H749">
        <v>55</v>
      </c>
      <c r="I749">
        <v>22.73</v>
      </c>
      <c r="J749" t="str">
        <f t="shared" si="34"/>
        <v>Medium</v>
      </c>
      <c r="K749" t="s">
        <v>22</v>
      </c>
      <c r="L749">
        <v>63</v>
      </c>
      <c r="M749">
        <v>98</v>
      </c>
      <c r="N749" t="str">
        <f t="shared" si="35"/>
        <v>Low Cost</v>
      </c>
      <c r="O749">
        <v>7.32</v>
      </c>
      <c r="P749" t="s">
        <v>33</v>
      </c>
      <c r="Q749" t="s">
        <v>34</v>
      </c>
      <c r="R749" t="s">
        <v>25</v>
      </c>
      <c r="S749" t="s">
        <v>677</v>
      </c>
      <c r="T749" t="s">
        <v>46</v>
      </c>
      <c r="U749">
        <v>19</v>
      </c>
      <c r="V749">
        <v>4.8</v>
      </c>
      <c r="W749" t="s">
        <v>47</v>
      </c>
      <c r="X749" t="s">
        <v>29</v>
      </c>
    </row>
    <row r="750" spans="1:24" x14ac:dyDescent="0.3">
      <c r="A750" t="s">
        <v>2027</v>
      </c>
      <c r="B750" t="s">
        <v>92</v>
      </c>
      <c r="C750" t="s">
        <v>93</v>
      </c>
      <c r="D750" t="str">
        <f t="shared" si="33"/>
        <v>Morning</v>
      </c>
      <c r="E750">
        <f>HOUR(EV_Data[[#This Row],[Charging Start Time]])</f>
        <v>4</v>
      </c>
      <c r="F750" s="1">
        <v>44958.166666666664</v>
      </c>
      <c r="G750" s="1">
        <v>44958.195138888892</v>
      </c>
      <c r="H750">
        <v>41</v>
      </c>
      <c r="I750">
        <v>12.79</v>
      </c>
      <c r="J750" t="str">
        <f t="shared" si="34"/>
        <v>Low</v>
      </c>
      <c r="K750" t="s">
        <v>50</v>
      </c>
      <c r="L750">
        <v>17</v>
      </c>
      <c r="M750">
        <v>35</v>
      </c>
      <c r="N750" t="str">
        <f t="shared" si="35"/>
        <v>Low Cost</v>
      </c>
      <c r="O750">
        <v>3.81</v>
      </c>
      <c r="P750" t="s">
        <v>43</v>
      </c>
      <c r="Q750" t="s">
        <v>48</v>
      </c>
      <c r="R750" t="s">
        <v>25</v>
      </c>
      <c r="S750" t="s">
        <v>678</v>
      </c>
      <c r="T750" t="s">
        <v>60</v>
      </c>
      <c r="U750">
        <v>90</v>
      </c>
      <c r="V750">
        <v>3.1</v>
      </c>
      <c r="W750" t="s">
        <v>28</v>
      </c>
      <c r="X750" t="s">
        <v>68</v>
      </c>
    </row>
    <row r="751" spans="1:24" x14ac:dyDescent="0.3">
      <c r="A751" t="s">
        <v>2028</v>
      </c>
      <c r="B751" t="s">
        <v>92</v>
      </c>
      <c r="C751" t="s">
        <v>93</v>
      </c>
      <c r="D751" t="str">
        <f t="shared" si="33"/>
        <v>Morning</v>
      </c>
      <c r="E751">
        <f>HOUR(EV_Data[[#This Row],[Charging Start Time]])</f>
        <v>5</v>
      </c>
      <c r="F751" s="1">
        <v>44958.208333333336</v>
      </c>
      <c r="G751" s="1">
        <v>44958.253472222219</v>
      </c>
      <c r="H751">
        <v>65</v>
      </c>
      <c r="I751">
        <v>48.74</v>
      </c>
      <c r="J751" t="str">
        <f t="shared" si="34"/>
        <v>Medium</v>
      </c>
      <c r="K751" t="s">
        <v>32</v>
      </c>
      <c r="L751">
        <v>80</v>
      </c>
      <c r="M751">
        <v>93</v>
      </c>
      <c r="N751" t="str">
        <f t="shared" si="35"/>
        <v>High Cost</v>
      </c>
      <c r="O751">
        <v>22.51</v>
      </c>
      <c r="P751" t="s">
        <v>51</v>
      </c>
      <c r="Q751" t="s">
        <v>24</v>
      </c>
      <c r="R751" t="s">
        <v>25</v>
      </c>
      <c r="S751" t="s">
        <v>679</v>
      </c>
      <c r="T751" t="s">
        <v>46</v>
      </c>
      <c r="U751">
        <v>25</v>
      </c>
      <c r="V751">
        <v>3.6</v>
      </c>
      <c r="W751" t="s">
        <v>28</v>
      </c>
      <c r="X751" t="s">
        <v>68</v>
      </c>
    </row>
    <row r="752" spans="1:24" x14ac:dyDescent="0.3">
      <c r="A752" t="s">
        <v>2029</v>
      </c>
      <c r="B752" t="s">
        <v>53</v>
      </c>
      <c r="C752" t="s">
        <v>54</v>
      </c>
      <c r="D752" t="str">
        <f t="shared" si="33"/>
        <v>Morning</v>
      </c>
      <c r="E752">
        <f>HOUR(EV_Data[[#This Row],[Charging Start Time]])</f>
        <v>6</v>
      </c>
      <c r="F752" s="1">
        <v>44958.25</v>
      </c>
      <c r="G752" s="1">
        <v>44958.330555555563</v>
      </c>
      <c r="H752">
        <v>116</v>
      </c>
      <c r="I752">
        <v>16</v>
      </c>
      <c r="J752" t="str">
        <f t="shared" si="34"/>
        <v>Low</v>
      </c>
      <c r="K752" t="s">
        <v>22</v>
      </c>
      <c r="L752">
        <v>79</v>
      </c>
      <c r="M752">
        <v>98</v>
      </c>
      <c r="N752" t="str">
        <f t="shared" si="35"/>
        <v>Low Cost</v>
      </c>
      <c r="O752">
        <v>7.66</v>
      </c>
      <c r="P752" t="s">
        <v>33</v>
      </c>
      <c r="Q752" t="s">
        <v>34</v>
      </c>
      <c r="R752" t="s">
        <v>56</v>
      </c>
      <c r="S752" t="s">
        <v>680</v>
      </c>
      <c r="T752" t="s">
        <v>60</v>
      </c>
      <c r="U752">
        <v>83</v>
      </c>
      <c r="V752">
        <v>1.8</v>
      </c>
      <c r="W752" t="s">
        <v>47</v>
      </c>
      <c r="X752" t="s">
        <v>29</v>
      </c>
    </row>
    <row r="753" spans="1:24" x14ac:dyDescent="0.3">
      <c r="A753" t="s">
        <v>2030</v>
      </c>
      <c r="B753" t="s">
        <v>71</v>
      </c>
      <c r="C753" t="s">
        <v>72</v>
      </c>
      <c r="D753" t="str">
        <f t="shared" si="33"/>
        <v>Morning</v>
      </c>
      <c r="E753">
        <f>HOUR(EV_Data[[#This Row],[Charging Start Time]])</f>
        <v>7</v>
      </c>
      <c r="F753" s="1">
        <v>44958.291666666664</v>
      </c>
      <c r="G753" s="1">
        <v>44958.334027777782</v>
      </c>
      <c r="H753">
        <v>61</v>
      </c>
      <c r="I753">
        <v>6.17</v>
      </c>
      <c r="J753" t="str">
        <f t="shared" si="34"/>
        <v>Low</v>
      </c>
      <c r="K753" t="s">
        <v>42</v>
      </c>
      <c r="L753">
        <v>80</v>
      </c>
      <c r="M753">
        <v>100</v>
      </c>
      <c r="N753" t="str">
        <f t="shared" si="35"/>
        <v>Low Cost</v>
      </c>
      <c r="O753">
        <v>2.4</v>
      </c>
      <c r="P753" t="s">
        <v>51</v>
      </c>
      <c r="Q753" t="s">
        <v>24</v>
      </c>
      <c r="R753" t="s">
        <v>35</v>
      </c>
      <c r="S753" t="s">
        <v>681</v>
      </c>
      <c r="T753" t="s">
        <v>46</v>
      </c>
      <c r="U753">
        <v>56</v>
      </c>
      <c r="V753">
        <v>2</v>
      </c>
      <c r="W753" t="s">
        <v>38</v>
      </c>
      <c r="X753" t="s">
        <v>62</v>
      </c>
    </row>
    <row r="754" spans="1:24" x14ac:dyDescent="0.3">
      <c r="A754" t="s">
        <v>2031</v>
      </c>
      <c r="B754" t="s">
        <v>20</v>
      </c>
      <c r="C754" t="s">
        <v>21</v>
      </c>
      <c r="D754" t="str">
        <f t="shared" si="33"/>
        <v>Morning</v>
      </c>
      <c r="E754">
        <f>HOUR(EV_Data[[#This Row],[Charging Start Time]])</f>
        <v>8</v>
      </c>
      <c r="F754" s="1">
        <v>44958.333333333336</v>
      </c>
      <c r="G754" s="1">
        <v>44958.409722222219</v>
      </c>
      <c r="H754">
        <v>110</v>
      </c>
      <c r="I754">
        <v>15.58</v>
      </c>
      <c r="J754" t="str">
        <f t="shared" si="34"/>
        <v>Low</v>
      </c>
      <c r="K754" t="s">
        <v>22</v>
      </c>
      <c r="L754">
        <v>66</v>
      </c>
      <c r="M754">
        <v>77</v>
      </c>
      <c r="N754" t="str">
        <f t="shared" si="35"/>
        <v>Low Cost</v>
      </c>
      <c r="O754">
        <v>5.86</v>
      </c>
      <c r="P754" t="s">
        <v>51</v>
      </c>
      <c r="Q754" t="s">
        <v>24</v>
      </c>
      <c r="R754" t="s">
        <v>56</v>
      </c>
      <c r="S754" t="s">
        <v>682</v>
      </c>
      <c r="T754" t="s">
        <v>60</v>
      </c>
      <c r="U754">
        <v>34</v>
      </c>
      <c r="V754">
        <v>1.5</v>
      </c>
      <c r="W754" t="s">
        <v>47</v>
      </c>
      <c r="X754" t="s">
        <v>29</v>
      </c>
    </row>
    <row r="755" spans="1:24" x14ac:dyDescent="0.3">
      <c r="A755" t="s">
        <v>2032</v>
      </c>
      <c r="B755" t="s">
        <v>71</v>
      </c>
      <c r="C755" t="s">
        <v>72</v>
      </c>
      <c r="D755" t="str">
        <f t="shared" si="33"/>
        <v>Morning</v>
      </c>
      <c r="E755">
        <f>HOUR(EV_Data[[#This Row],[Charging Start Time]])</f>
        <v>9</v>
      </c>
      <c r="F755" s="1">
        <v>44958.375</v>
      </c>
      <c r="G755" s="1">
        <v>44958.386805555558</v>
      </c>
      <c r="H755">
        <v>17</v>
      </c>
      <c r="I755">
        <v>46.31</v>
      </c>
      <c r="J755" t="str">
        <f t="shared" si="34"/>
        <v>Medium</v>
      </c>
      <c r="K755" t="s">
        <v>32</v>
      </c>
      <c r="L755">
        <v>17</v>
      </c>
      <c r="M755">
        <v>40</v>
      </c>
      <c r="N755" t="str">
        <f t="shared" si="35"/>
        <v>High Cost</v>
      </c>
      <c r="O755">
        <v>20.9</v>
      </c>
      <c r="P755" t="s">
        <v>64</v>
      </c>
      <c r="Q755" t="s">
        <v>48</v>
      </c>
      <c r="R755" t="s">
        <v>56</v>
      </c>
      <c r="S755" t="s">
        <v>683</v>
      </c>
      <c r="T755" t="s">
        <v>46</v>
      </c>
      <c r="U755">
        <v>59</v>
      </c>
      <c r="V755">
        <v>1.2</v>
      </c>
      <c r="W755" t="s">
        <v>28</v>
      </c>
      <c r="X755" t="s">
        <v>68</v>
      </c>
    </row>
    <row r="756" spans="1:24" x14ac:dyDescent="0.3">
      <c r="A756" t="s">
        <v>2033</v>
      </c>
      <c r="B756" t="s">
        <v>30</v>
      </c>
      <c r="C756" t="s">
        <v>102</v>
      </c>
      <c r="D756" t="str">
        <f t="shared" si="33"/>
        <v>Morning</v>
      </c>
      <c r="E756">
        <f>HOUR(EV_Data[[#This Row],[Charging Start Time]])</f>
        <v>10</v>
      </c>
      <c r="F756" s="1">
        <v>44958.416666666664</v>
      </c>
      <c r="G756" s="1">
        <v>44958.463194444441</v>
      </c>
      <c r="H756">
        <v>67</v>
      </c>
      <c r="I756">
        <v>24.14</v>
      </c>
      <c r="J756" t="str">
        <f t="shared" si="34"/>
        <v>Medium</v>
      </c>
      <c r="K756" t="s">
        <v>50</v>
      </c>
      <c r="L756">
        <v>62</v>
      </c>
      <c r="M756">
        <v>92</v>
      </c>
      <c r="N756" t="str">
        <f t="shared" si="35"/>
        <v>Medium Cost</v>
      </c>
      <c r="O756">
        <v>8.0500000000000007</v>
      </c>
      <c r="P756" t="s">
        <v>43</v>
      </c>
      <c r="Q756" t="s">
        <v>34</v>
      </c>
      <c r="R756" t="s">
        <v>56</v>
      </c>
      <c r="S756" t="s">
        <v>684</v>
      </c>
      <c r="T756" t="s">
        <v>46</v>
      </c>
      <c r="U756">
        <v>70</v>
      </c>
      <c r="V756">
        <v>4.5999999999999996</v>
      </c>
      <c r="W756" t="s">
        <v>38</v>
      </c>
    </row>
    <row r="757" spans="1:24" x14ac:dyDescent="0.3">
      <c r="A757" t="s">
        <v>2034</v>
      </c>
      <c r="B757" t="s">
        <v>126</v>
      </c>
      <c r="C757" t="s">
        <v>31</v>
      </c>
      <c r="D757" t="str">
        <f t="shared" si="33"/>
        <v>Morning</v>
      </c>
      <c r="E757">
        <f>HOUR(EV_Data[[#This Row],[Charging Start Time]])</f>
        <v>11</v>
      </c>
      <c r="F757" s="1">
        <v>44958.458333333336</v>
      </c>
      <c r="G757" s="1">
        <v>44958.521527777782</v>
      </c>
      <c r="H757">
        <v>91</v>
      </c>
      <c r="I757">
        <v>30.73</v>
      </c>
      <c r="J757" t="str">
        <f t="shared" si="34"/>
        <v>Medium</v>
      </c>
      <c r="K757" t="s">
        <v>69</v>
      </c>
      <c r="L757">
        <v>69</v>
      </c>
      <c r="M757">
        <v>96</v>
      </c>
      <c r="N757" t="str">
        <f t="shared" si="35"/>
        <v>Medium Cost</v>
      </c>
      <c r="O757">
        <v>9.7200000000000006</v>
      </c>
      <c r="P757" t="s">
        <v>23</v>
      </c>
      <c r="Q757" t="s">
        <v>48</v>
      </c>
      <c r="R757" t="s">
        <v>56</v>
      </c>
      <c r="S757" t="s">
        <v>685</v>
      </c>
      <c r="T757" t="s">
        <v>37</v>
      </c>
      <c r="U757">
        <v>15</v>
      </c>
      <c r="V757">
        <v>1.4</v>
      </c>
      <c r="W757" t="s">
        <v>47</v>
      </c>
      <c r="X757" t="s">
        <v>29</v>
      </c>
    </row>
    <row r="758" spans="1:24" x14ac:dyDescent="0.3">
      <c r="A758" t="s">
        <v>2035</v>
      </c>
      <c r="B758" t="s">
        <v>92</v>
      </c>
      <c r="C758" t="s">
        <v>93</v>
      </c>
      <c r="D758" t="str">
        <f t="shared" si="33"/>
        <v>Afternoon</v>
      </c>
      <c r="E758">
        <f>HOUR(EV_Data[[#This Row],[Charging Start Time]])</f>
        <v>12</v>
      </c>
      <c r="F758" s="1">
        <v>44958.5</v>
      </c>
      <c r="G758" s="1">
        <v>44958.55</v>
      </c>
      <c r="H758">
        <v>72</v>
      </c>
      <c r="I758">
        <v>47.65</v>
      </c>
      <c r="J758" t="str">
        <f t="shared" si="34"/>
        <v>Medium</v>
      </c>
      <c r="K758" t="s">
        <v>32</v>
      </c>
      <c r="L758">
        <v>68</v>
      </c>
      <c r="M758">
        <v>89</v>
      </c>
      <c r="N758" t="str">
        <f t="shared" si="35"/>
        <v>Medium Cost</v>
      </c>
      <c r="O758">
        <v>12.04</v>
      </c>
      <c r="P758" t="s">
        <v>43</v>
      </c>
      <c r="Q758" t="s">
        <v>48</v>
      </c>
      <c r="R758" t="s">
        <v>56</v>
      </c>
      <c r="S758" t="s">
        <v>686</v>
      </c>
      <c r="T758" t="s">
        <v>27</v>
      </c>
      <c r="U758">
        <v>32</v>
      </c>
      <c r="V758">
        <v>1.4</v>
      </c>
      <c r="W758" t="s">
        <v>28</v>
      </c>
      <c r="X758" t="s">
        <v>68</v>
      </c>
    </row>
    <row r="759" spans="1:24" x14ac:dyDescent="0.3">
      <c r="A759" t="s">
        <v>2036</v>
      </c>
      <c r="B759" t="s">
        <v>126</v>
      </c>
      <c r="C759" t="s">
        <v>31</v>
      </c>
      <c r="D759" t="str">
        <f t="shared" si="33"/>
        <v>Afternoon</v>
      </c>
      <c r="E759">
        <f>HOUR(EV_Data[[#This Row],[Charging Start Time]])</f>
        <v>13</v>
      </c>
      <c r="F759" s="1">
        <v>44958.541666666664</v>
      </c>
      <c r="G759" s="1">
        <v>44958.568749999999</v>
      </c>
      <c r="H759">
        <v>39</v>
      </c>
      <c r="I759">
        <v>9</v>
      </c>
      <c r="J759" t="str">
        <f t="shared" si="34"/>
        <v>Low</v>
      </c>
      <c r="K759" t="s">
        <v>32</v>
      </c>
      <c r="L759">
        <v>46</v>
      </c>
      <c r="M759">
        <v>61</v>
      </c>
      <c r="N759" t="str">
        <f t="shared" si="35"/>
        <v>Low Cost</v>
      </c>
      <c r="O759">
        <v>3.99</v>
      </c>
      <c r="P759" t="s">
        <v>64</v>
      </c>
      <c r="Q759" t="s">
        <v>24</v>
      </c>
      <c r="R759" t="s">
        <v>44</v>
      </c>
      <c r="S759" t="s">
        <v>687</v>
      </c>
      <c r="T759" t="s">
        <v>46</v>
      </c>
      <c r="U759">
        <v>84</v>
      </c>
      <c r="V759">
        <v>3</v>
      </c>
      <c r="W759" t="s">
        <v>38</v>
      </c>
      <c r="X759" t="s">
        <v>83</v>
      </c>
    </row>
    <row r="760" spans="1:24" x14ac:dyDescent="0.3">
      <c r="A760" t="s">
        <v>2037</v>
      </c>
      <c r="B760" t="s">
        <v>77</v>
      </c>
      <c r="C760" t="s">
        <v>78</v>
      </c>
      <c r="D760" t="str">
        <f t="shared" si="33"/>
        <v>Afternoon</v>
      </c>
      <c r="E760">
        <f>HOUR(EV_Data[[#This Row],[Charging Start Time]])</f>
        <v>14</v>
      </c>
      <c r="F760" s="1">
        <v>44958.583333333336</v>
      </c>
      <c r="G760" s="1">
        <v>44958.623611111107</v>
      </c>
      <c r="H760">
        <v>58</v>
      </c>
      <c r="I760">
        <v>42.65</v>
      </c>
      <c r="J760" t="str">
        <f t="shared" si="34"/>
        <v>Medium</v>
      </c>
      <c r="K760" t="s">
        <v>50</v>
      </c>
      <c r="L760">
        <v>8</v>
      </c>
      <c r="M760">
        <v>30</v>
      </c>
      <c r="N760" t="str">
        <f t="shared" si="35"/>
        <v>High Cost</v>
      </c>
      <c r="O760">
        <v>20.92</v>
      </c>
      <c r="P760" t="s">
        <v>43</v>
      </c>
      <c r="Q760" t="s">
        <v>48</v>
      </c>
      <c r="R760" t="s">
        <v>25</v>
      </c>
      <c r="S760" t="s">
        <v>688</v>
      </c>
      <c r="T760" t="s">
        <v>46</v>
      </c>
      <c r="U760">
        <v>74</v>
      </c>
      <c r="V760">
        <v>4</v>
      </c>
      <c r="W760" t="s">
        <v>28</v>
      </c>
      <c r="X760" t="s">
        <v>68</v>
      </c>
    </row>
    <row r="761" spans="1:24" x14ac:dyDescent="0.3">
      <c r="A761" t="s">
        <v>2038</v>
      </c>
      <c r="B761" t="s">
        <v>71</v>
      </c>
      <c r="C761" t="s">
        <v>72</v>
      </c>
      <c r="D761" t="str">
        <f t="shared" si="33"/>
        <v>Afternoon</v>
      </c>
      <c r="E761">
        <f>HOUR(EV_Data[[#This Row],[Charging Start Time]])</f>
        <v>15</v>
      </c>
      <c r="F761" s="1">
        <v>44958.625</v>
      </c>
      <c r="G761" s="1">
        <v>44958.708333333343</v>
      </c>
      <c r="H761">
        <v>120</v>
      </c>
      <c r="I761">
        <v>25.53</v>
      </c>
      <c r="J761" t="str">
        <f t="shared" si="34"/>
        <v>Medium</v>
      </c>
      <c r="K761" t="s">
        <v>32</v>
      </c>
      <c r="L761">
        <v>59</v>
      </c>
      <c r="M761">
        <v>92</v>
      </c>
      <c r="N761" t="str">
        <f t="shared" si="35"/>
        <v>Low Cost</v>
      </c>
      <c r="O761">
        <v>5.95</v>
      </c>
      <c r="P761" t="s">
        <v>33</v>
      </c>
      <c r="Q761" t="s">
        <v>58</v>
      </c>
      <c r="R761" t="s">
        <v>35</v>
      </c>
      <c r="S761" t="s">
        <v>689</v>
      </c>
      <c r="T761" t="s">
        <v>37</v>
      </c>
      <c r="U761">
        <v>96</v>
      </c>
      <c r="V761">
        <v>1.3</v>
      </c>
      <c r="W761" t="s">
        <v>47</v>
      </c>
      <c r="X761" t="s">
        <v>29</v>
      </c>
    </row>
    <row r="762" spans="1:24" x14ac:dyDescent="0.3">
      <c r="A762" t="s">
        <v>2039</v>
      </c>
      <c r="B762" t="s">
        <v>126</v>
      </c>
      <c r="C762" t="s">
        <v>31</v>
      </c>
      <c r="D762" t="str">
        <f t="shared" si="33"/>
        <v>Afternoon</v>
      </c>
      <c r="E762">
        <f>HOUR(EV_Data[[#This Row],[Charging Start Time]])</f>
        <v>16</v>
      </c>
      <c r="F762" s="1">
        <v>44958.666666666664</v>
      </c>
      <c r="G762" s="1">
        <v>44958.736111111109</v>
      </c>
      <c r="H762">
        <v>100</v>
      </c>
      <c r="I762">
        <v>7.72</v>
      </c>
      <c r="J762" t="str">
        <f t="shared" si="34"/>
        <v>Low</v>
      </c>
      <c r="K762" t="s">
        <v>69</v>
      </c>
      <c r="L762">
        <v>44</v>
      </c>
      <c r="M762">
        <v>68</v>
      </c>
      <c r="N762" t="str">
        <f t="shared" si="35"/>
        <v>Low Cost</v>
      </c>
      <c r="O762">
        <v>3.03</v>
      </c>
      <c r="P762" t="s">
        <v>23</v>
      </c>
      <c r="Q762" t="s">
        <v>24</v>
      </c>
      <c r="R762" t="s">
        <v>56</v>
      </c>
      <c r="S762" t="s">
        <v>211</v>
      </c>
      <c r="T762" t="s">
        <v>27</v>
      </c>
      <c r="U762">
        <v>14</v>
      </c>
      <c r="V762">
        <v>4.5</v>
      </c>
      <c r="W762" t="s">
        <v>38</v>
      </c>
      <c r="X762" t="s">
        <v>39</v>
      </c>
    </row>
    <row r="763" spans="1:24" x14ac:dyDescent="0.3">
      <c r="A763" t="s">
        <v>2040</v>
      </c>
      <c r="B763" t="s">
        <v>77</v>
      </c>
      <c r="C763" t="s">
        <v>78</v>
      </c>
      <c r="D763" t="str">
        <f t="shared" si="33"/>
        <v>Evening</v>
      </c>
      <c r="E763">
        <f>HOUR(EV_Data[[#This Row],[Charging Start Time]])</f>
        <v>17</v>
      </c>
      <c r="F763" s="1">
        <v>44958.708333333336</v>
      </c>
      <c r="G763" s="1">
        <v>44958.711805555547</v>
      </c>
      <c r="H763">
        <v>5</v>
      </c>
      <c r="I763">
        <v>35.03</v>
      </c>
      <c r="J763" t="str">
        <f t="shared" si="34"/>
        <v>Medium</v>
      </c>
      <c r="K763" t="s">
        <v>42</v>
      </c>
      <c r="L763">
        <v>14</v>
      </c>
      <c r="M763">
        <v>28</v>
      </c>
      <c r="N763" t="str">
        <f t="shared" si="35"/>
        <v>Medium Cost</v>
      </c>
      <c r="O763">
        <v>12.63</v>
      </c>
      <c r="P763" t="s">
        <v>43</v>
      </c>
      <c r="Q763" t="s">
        <v>34</v>
      </c>
      <c r="R763" t="s">
        <v>56</v>
      </c>
      <c r="S763" t="s">
        <v>49</v>
      </c>
      <c r="T763" t="s">
        <v>46</v>
      </c>
      <c r="U763">
        <v>83</v>
      </c>
      <c r="V763">
        <v>3</v>
      </c>
      <c r="W763" t="s">
        <v>28</v>
      </c>
      <c r="X763" t="s">
        <v>68</v>
      </c>
    </row>
    <row r="764" spans="1:24" x14ac:dyDescent="0.3">
      <c r="A764" t="s">
        <v>2041</v>
      </c>
      <c r="B764" t="s">
        <v>77</v>
      </c>
      <c r="C764" t="s">
        <v>78</v>
      </c>
      <c r="D764" t="str">
        <f t="shared" si="33"/>
        <v>Evening</v>
      </c>
      <c r="E764">
        <f>HOUR(EV_Data[[#This Row],[Charging Start Time]])</f>
        <v>18</v>
      </c>
      <c r="F764" s="1">
        <v>44958.75</v>
      </c>
      <c r="G764" s="1">
        <v>44958.806944444441</v>
      </c>
      <c r="H764">
        <v>82</v>
      </c>
      <c r="I764">
        <v>26.22</v>
      </c>
      <c r="J764" t="str">
        <f t="shared" si="34"/>
        <v>Medium</v>
      </c>
      <c r="K764" t="s">
        <v>50</v>
      </c>
      <c r="L764">
        <v>72</v>
      </c>
      <c r="M764">
        <v>89</v>
      </c>
      <c r="N764" t="str">
        <f t="shared" si="35"/>
        <v>Medium Cost</v>
      </c>
      <c r="O764">
        <v>8.2200000000000006</v>
      </c>
      <c r="P764" t="s">
        <v>43</v>
      </c>
      <c r="Q764" t="s">
        <v>48</v>
      </c>
      <c r="R764" t="s">
        <v>35</v>
      </c>
      <c r="S764" t="s">
        <v>690</v>
      </c>
      <c r="T764" t="s">
        <v>46</v>
      </c>
      <c r="U764">
        <v>61</v>
      </c>
      <c r="V764">
        <v>3.7</v>
      </c>
      <c r="W764" t="s">
        <v>38</v>
      </c>
      <c r="X764" t="s">
        <v>62</v>
      </c>
    </row>
    <row r="765" spans="1:24" x14ac:dyDescent="0.3">
      <c r="A765" t="s">
        <v>2042</v>
      </c>
      <c r="B765" t="s">
        <v>126</v>
      </c>
      <c r="C765" t="s">
        <v>31</v>
      </c>
      <c r="D765" t="str">
        <f t="shared" si="33"/>
        <v>Evening</v>
      </c>
      <c r="E765">
        <f>HOUR(EV_Data[[#This Row],[Charging Start Time]])</f>
        <v>19</v>
      </c>
      <c r="F765" s="1">
        <v>44958.791666666664</v>
      </c>
      <c r="G765" s="1">
        <v>44958.84652777778</v>
      </c>
      <c r="H765">
        <v>79</v>
      </c>
      <c r="I765">
        <v>9.68</v>
      </c>
      <c r="J765" t="str">
        <f t="shared" si="34"/>
        <v>Low</v>
      </c>
      <c r="K765" t="s">
        <v>50</v>
      </c>
      <c r="L765">
        <v>42</v>
      </c>
      <c r="M765">
        <v>56</v>
      </c>
      <c r="N765" t="str">
        <f t="shared" si="35"/>
        <v>Low Cost</v>
      </c>
      <c r="O765">
        <v>4.1399999999999997</v>
      </c>
      <c r="P765" t="s">
        <v>64</v>
      </c>
      <c r="Q765" t="s">
        <v>24</v>
      </c>
      <c r="R765" t="s">
        <v>44</v>
      </c>
      <c r="S765" t="s">
        <v>269</v>
      </c>
      <c r="T765" t="s">
        <v>37</v>
      </c>
      <c r="U765">
        <v>57</v>
      </c>
      <c r="V765">
        <v>4.5999999999999996</v>
      </c>
      <c r="W765" t="s">
        <v>38</v>
      </c>
      <c r="X765" t="s">
        <v>83</v>
      </c>
    </row>
    <row r="766" spans="1:24" x14ac:dyDescent="0.3">
      <c r="A766" t="s">
        <v>2043</v>
      </c>
      <c r="B766" t="s">
        <v>71</v>
      </c>
      <c r="C766" t="s">
        <v>72</v>
      </c>
      <c r="D766" t="str">
        <f t="shared" si="33"/>
        <v>Evening</v>
      </c>
      <c r="E766">
        <f>HOUR(EV_Data[[#This Row],[Charging Start Time]])</f>
        <v>20</v>
      </c>
      <c r="F766" s="1">
        <v>44958.833333333336</v>
      </c>
      <c r="G766" s="1">
        <v>44958.856944444437</v>
      </c>
      <c r="H766">
        <v>34</v>
      </c>
      <c r="I766">
        <v>18.16</v>
      </c>
      <c r="J766" t="str">
        <f t="shared" si="34"/>
        <v>Low</v>
      </c>
      <c r="K766" t="s">
        <v>42</v>
      </c>
      <c r="L766">
        <v>54</v>
      </c>
      <c r="M766">
        <v>90</v>
      </c>
      <c r="N766" t="str">
        <f t="shared" si="35"/>
        <v>Low Cost</v>
      </c>
      <c r="O766">
        <v>6.67</v>
      </c>
      <c r="P766" t="s">
        <v>33</v>
      </c>
      <c r="Q766" t="s">
        <v>34</v>
      </c>
      <c r="R766" t="s">
        <v>35</v>
      </c>
      <c r="S766" t="s">
        <v>691</v>
      </c>
      <c r="T766" t="s">
        <v>46</v>
      </c>
      <c r="U766">
        <v>2</v>
      </c>
      <c r="V766">
        <v>3.4</v>
      </c>
      <c r="W766" t="s">
        <v>28</v>
      </c>
      <c r="X766" t="s">
        <v>68</v>
      </c>
    </row>
    <row r="767" spans="1:24" x14ac:dyDescent="0.3">
      <c r="A767" t="s">
        <v>2044</v>
      </c>
      <c r="B767" t="s">
        <v>40</v>
      </c>
      <c r="C767" t="s">
        <v>41</v>
      </c>
      <c r="D767" t="str">
        <f t="shared" si="33"/>
        <v>Evening</v>
      </c>
      <c r="E767">
        <f>HOUR(EV_Data[[#This Row],[Charging Start Time]])</f>
        <v>21</v>
      </c>
      <c r="F767" s="1">
        <v>44958.875</v>
      </c>
      <c r="G767" s="1">
        <v>44958.88958333333</v>
      </c>
      <c r="H767">
        <v>21</v>
      </c>
      <c r="I767">
        <v>26.42</v>
      </c>
      <c r="J767" t="str">
        <f t="shared" si="34"/>
        <v>Medium</v>
      </c>
      <c r="K767" t="s">
        <v>69</v>
      </c>
      <c r="L767">
        <v>70</v>
      </c>
      <c r="M767">
        <v>100</v>
      </c>
      <c r="N767" t="str">
        <f t="shared" si="35"/>
        <v>Low Cost</v>
      </c>
      <c r="O767">
        <v>5.42</v>
      </c>
      <c r="P767" t="s">
        <v>33</v>
      </c>
      <c r="Q767" t="s">
        <v>34</v>
      </c>
      <c r="R767" t="s">
        <v>25</v>
      </c>
      <c r="S767" t="s">
        <v>692</v>
      </c>
      <c r="T767" t="s">
        <v>46</v>
      </c>
      <c r="U767">
        <v>82</v>
      </c>
      <c r="V767">
        <v>2.2999999999999998</v>
      </c>
      <c r="W767" t="s">
        <v>38</v>
      </c>
      <c r="X767" t="s">
        <v>83</v>
      </c>
    </row>
    <row r="768" spans="1:24" x14ac:dyDescent="0.3">
      <c r="A768" t="s">
        <v>2045</v>
      </c>
      <c r="B768" t="s">
        <v>92</v>
      </c>
      <c r="C768" t="s">
        <v>93</v>
      </c>
      <c r="D768" t="str">
        <f t="shared" si="33"/>
        <v>Evening</v>
      </c>
      <c r="E768">
        <f>HOUR(EV_Data[[#This Row],[Charging Start Time]])</f>
        <v>22</v>
      </c>
      <c r="F768" s="1">
        <v>44958.916666666664</v>
      </c>
      <c r="G768" s="1">
        <v>44958.945833333331</v>
      </c>
      <c r="H768">
        <v>42</v>
      </c>
      <c r="I768">
        <v>29.05</v>
      </c>
      <c r="J768" t="str">
        <f t="shared" si="34"/>
        <v>Medium</v>
      </c>
      <c r="K768" t="s">
        <v>55</v>
      </c>
      <c r="L768">
        <v>26</v>
      </c>
      <c r="M768">
        <v>45</v>
      </c>
      <c r="N768" t="str">
        <f t="shared" si="35"/>
        <v>Medium Cost</v>
      </c>
      <c r="O768">
        <v>13.35</v>
      </c>
      <c r="P768" t="s">
        <v>64</v>
      </c>
      <c r="Q768" t="s">
        <v>24</v>
      </c>
      <c r="R768" t="s">
        <v>35</v>
      </c>
      <c r="S768" t="s">
        <v>693</v>
      </c>
      <c r="T768" t="s">
        <v>27</v>
      </c>
      <c r="U768">
        <v>34</v>
      </c>
      <c r="V768">
        <v>3.3</v>
      </c>
      <c r="W768" t="s">
        <v>47</v>
      </c>
      <c r="X768" t="s">
        <v>29</v>
      </c>
    </row>
    <row r="769" spans="1:24" x14ac:dyDescent="0.3">
      <c r="A769" t="s">
        <v>2046</v>
      </c>
      <c r="B769" t="s">
        <v>126</v>
      </c>
      <c r="C769" t="s">
        <v>31</v>
      </c>
      <c r="D769" t="str">
        <f t="shared" si="33"/>
        <v>Evening</v>
      </c>
      <c r="E769">
        <f>HOUR(EV_Data[[#This Row],[Charging Start Time]])</f>
        <v>23</v>
      </c>
      <c r="F769" s="1">
        <v>44958.958333333336</v>
      </c>
      <c r="G769" s="1">
        <v>44958.995138888888</v>
      </c>
      <c r="H769">
        <v>53</v>
      </c>
      <c r="I769">
        <v>22.49</v>
      </c>
      <c r="J769" t="str">
        <f t="shared" si="34"/>
        <v>Medium</v>
      </c>
      <c r="K769" t="s">
        <v>50</v>
      </c>
      <c r="L769">
        <v>71</v>
      </c>
      <c r="M769">
        <v>90</v>
      </c>
      <c r="N769" t="str">
        <f t="shared" si="35"/>
        <v>Low Cost</v>
      </c>
      <c r="O769">
        <v>7.65</v>
      </c>
      <c r="P769" t="s">
        <v>43</v>
      </c>
      <c r="Q769" t="s">
        <v>48</v>
      </c>
      <c r="R769" t="s">
        <v>56</v>
      </c>
      <c r="S769" t="s">
        <v>694</v>
      </c>
      <c r="T769" t="s">
        <v>60</v>
      </c>
      <c r="U769">
        <v>55</v>
      </c>
      <c r="V769">
        <v>4.4000000000000004</v>
      </c>
      <c r="W769" t="s">
        <v>38</v>
      </c>
    </row>
    <row r="770" spans="1:24" x14ac:dyDescent="0.3">
      <c r="A770" t="s">
        <v>2047</v>
      </c>
      <c r="B770" t="s">
        <v>20</v>
      </c>
      <c r="C770" t="s">
        <v>21</v>
      </c>
      <c r="D770" t="str">
        <f t="shared" ref="D770:D833" si="36">IF(E770&lt;12,"Morning",IF(E770&lt;17,"Afternoon","Evening"))</f>
        <v>Morning</v>
      </c>
      <c r="E770">
        <f>HOUR(EV_Data[[#This Row],[Charging Start Time]])</f>
        <v>0</v>
      </c>
      <c r="F770" s="1">
        <v>44959</v>
      </c>
      <c r="G770" s="1">
        <v>44959.020833333343</v>
      </c>
      <c r="H770">
        <v>30</v>
      </c>
      <c r="I770">
        <v>6.96</v>
      </c>
      <c r="J770" t="str">
        <f t="shared" ref="J770:J833" si="37">IF(I770&lt;20,"Low",IF(I770&lt;50,"Medium","High"))</f>
        <v>Low</v>
      </c>
      <c r="K770" t="s">
        <v>22</v>
      </c>
      <c r="L770">
        <v>55</v>
      </c>
      <c r="M770">
        <v>92</v>
      </c>
      <c r="N770" t="str">
        <f t="shared" ref="N770:N833" si="38">IF(O770&lt;8,"Low Cost",IF(O770&lt;17,"Medium Cost","High Cost"))</f>
        <v>Low Cost</v>
      </c>
      <c r="O770">
        <v>3.1</v>
      </c>
      <c r="P770" t="s">
        <v>33</v>
      </c>
      <c r="Q770" t="s">
        <v>34</v>
      </c>
      <c r="R770" t="s">
        <v>44</v>
      </c>
      <c r="S770" t="s">
        <v>695</v>
      </c>
      <c r="T770" t="s">
        <v>27</v>
      </c>
      <c r="U770">
        <v>80</v>
      </c>
      <c r="V770">
        <v>4.0999999999999996</v>
      </c>
      <c r="W770" t="s">
        <v>47</v>
      </c>
      <c r="X770" t="s">
        <v>29</v>
      </c>
    </row>
    <row r="771" spans="1:24" x14ac:dyDescent="0.3">
      <c r="A771" t="s">
        <v>2048</v>
      </c>
      <c r="B771" t="s">
        <v>92</v>
      </c>
      <c r="C771" t="s">
        <v>93</v>
      </c>
      <c r="D771" t="str">
        <f t="shared" si="36"/>
        <v>Morning</v>
      </c>
      <c r="E771">
        <f>HOUR(EV_Data[[#This Row],[Charging Start Time]])</f>
        <v>1</v>
      </c>
      <c r="F771" s="1">
        <v>44959.041666666664</v>
      </c>
      <c r="G771" s="1">
        <v>44959.113194444442</v>
      </c>
      <c r="H771">
        <v>103</v>
      </c>
      <c r="I771">
        <v>48.43</v>
      </c>
      <c r="J771" t="str">
        <f t="shared" si="37"/>
        <v>Medium</v>
      </c>
      <c r="K771" t="s">
        <v>55</v>
      </c>
      <c r="L771">
        <v>52</v>
      </c>
      <c r="M771">
        <v>69</v>
      </c>
      <c r="N771" t="str">
        <f t="shared" si="38"/>
        <v>Medium Cost</v>
      </c>
      <c r="O771">
        <v>16.079999999999998</v>
      </c>
      <c r="P771" t="s">
        <v>64</v>
      </c>
      <c r="Q771" t="s">
        <v>58</v>
      </c>
      <c r="R771" t="s">
        <v>35</v>
      </c>
      <c r="S771" t="s">
        <v>696</v>
      </c>
      <c r="T771" t="s">
        <v>60</v>
      </c>
      <c r="U771">
        <v>9</v>
      </c>
      <c r="V771">
        <v>1.6</v>
      </c>
      <c r="W771" t="s">
        <v>28</v>
      </c>
      <c r="X771" t="s">
        <v>68</v>
      </c>
    </row>
    <row r="772" spans="1:24" x14ac:dyDescent="0.3">
      <c r="A772" t="s">
        <v>2049</v>
      </c>
      <c r="B772" t="s">
        <v>40</v>
      </c>
      <c r="C772" t="s">
        <v>41</v>
      </c>
      <c r="D772" t="str">
        <f t="shared" si="36"/>
        <v>Morning</v>
      </c>
      <c r="E772">
        <f>HOUR(EV_Data[[#This Row],[Charging Start Time]])</f>
        <v>2</v>
      </c>
      <c r="F772" s="1">
        <v>44959.083333333336</v>
      </c>
      <c r="G772" s="1">
        <v>44959.119444444441</v>
      </c>
      <c r="H772">
        <v>52</v>
      </c>
      <c r="I772">
        <v>18.329999999999998</v>
      </c>
      <c r="J772" t="str">
        <f t="shared" si="37"/>
        <v>Low</v>
      </c>
      <c r="K772" t="s">
        <v>55</v>
      </c>
      <c r="L772">
        <v>12</v>
      </c>
      <c r="M772">
        <v>52</v>
      </c>
      <c r="N772" t="str">
        <f t="shared" si="38"/>
        <v>Low Cost</v>
      </c>
      <c r="O772">
        <v>6.26</v>
      </c>
      <c r="P772" t="s">
        <v>51</v>
      </c>
      <c r="Q772" t="s">
        <v>48</v>
      </c>
      <c r="R772" t="s">
        <v>35</v>
      </c>
      <c r="S772" t="s">
        <v>156</v>
      </c>
      <c r="T772" t="s">
        <v>37</v>
      </c>
      <c r="U772">
        <v>93</v>
      </c>
      <c r="V772">
        <v>1.2</v>
      </c>
      <c r="W772" t="s">
        <v>28</v>
      </c>
      <c r="X772" t="s">
        <v>68</v>
      </c>
    </row>
    <row r="773" spans="1:24" x14ac:dyDescent="0.3">
      <c r="A773" t="s">
        <v>2050</v>
      </c>
      <c r="B773" t="s">
        <v>30</v>
      </c>
      <c r="C773" t="s">
        <v>102</v>
      </c>
      <c r="D773" t="str">
        <f t="shared" si="36"/>
        <v>Morning</v>
      </c>
      <c r="E773">
        <f>HOUR(EV_Data[[#This Row],[Charging Start Time]])</f>
        <v>3</v>
      </c>
      <c r="F773" s="1">
        <v>44959.125</v>
      </c>
      <c r="G773" s="1">
        <v>44959.168055555558</v>
      </c>
      <c r="H773">
        <v>62</v>
      </c>
      <c r="I773">
        <v>31.06</v>
      </c>
      <c r="J773" t="str">
        <f t="shared" si="37"/>
        <v>Medium</v>
      </c>
      <c r="K773" t="s">
        <v>42</v>
      </c>
      <c r="L773">
        <v>62</v>
      </c>
      <c r="M773">
        <v>99</v>
      </c>
      <c r="N773" t="str">
        <f t="shared" si="38"/>
        <v>Medium Cost</v>
      </c>
      <c r="O773">
        <v>12.19</v>
      </c>
      <c r="P773" t="s">
        <v>64</v>
      </c>
      <c r="Q773" t="s">
        <v>58</v>
      </c>
      <c r="R773" t="s">
        <v>35</v>
      </c>
      <c r="S773" t="s">
        <v>156</v>
      </c>
      <c r="T773" t="s">
        <v>27</v>
      </c>
      <c r="U773">
        <v>2</v>
      </c>
      <c r="V773">
        <v>1.7</v>
      </c>
      <c r="W773" t="s">
        <v>28</v>
      </c>
      <c r="X773" t="s">
        <v>68</v>
      </c>
    </row>
    <row r="774" spans="1:24" x14ac:dyDescent="0.3">
      <c r="A774" t="s">
        <v>2051</v>
      </c>
      <c r="B774" t="s">
        <v>92</v>
      </c>
      <c r="C774" t="s">
        <v>93</v>
      </c>
      <c r="D774" t="str">
        <f t="shared" si="36"/>
        <v>Morning</v>
      </c>
      <c r="E774">
        <f>HOUR(EV_Data[[#This Row],[Charging Start Time]])</f>
        <v>4</v>
      </c>
      <c r="F774" s="1">
        <v>44959.166666666664</v>
      </c>
      <c r="G774" s="1">
        <v>44959.211111111108</v>
      </c>
      <c r="H774">
        <v>64</v>
      </c>
      <c r="I774">
        <v>49.42</v>
      </c>
      <c r="J774" t="str">
        <f t="shared" si="37"/>
        <v>Medium</v>
      </c>
      <c r="K774" t="s">
        <v>42</v>
      </c>
      <c r="L774">
        <v>79</v>
      </c>
      <c r="M774">
        <v>90</v>
      </c>
      <c r="N774" t="str">
        <f t="shared" si="38"/>
        <v>High Cost</v>
      </c>
      <c r="O774">
        <v>17.100000000000001</v>
      </c>
      <c r="P774" t="s">
        <v>51</v>
      </c>
      <c r="Q774" t="s">
        <v>48</v>
      </c>
      <c r="R774" t="s">
        <v>56</v>
      </c>
      <c r="S774" t="s">
        <v>121</v>
      </c>
      <c r="T774" t="s">
        <v>37</v>
      </c>
      <c r="U774">
        <v>53</v>
      </c>
      <c r="V774">
        <v>2.2000000000000002</v>
      </c>
      <c r="W774" t="s">
        <v>28</v>
      </c>
      <c r="X774" t="s">
        <v>68</v>
      </c>
    </row>
    <row r="775" spans="1:24" x14ac:dyDescent="0.3">
      <c r="A775" t="s">
        <v>2052</v>
      </c>
      <c r="B775" t="s">
        <v>77</v>
      </c>
      <c r="C775" t="s">
        <v>78</v>
      </c>
      <c r="D775" t="str">
        <f t="shared" si="36"/>
        <v>Morning</v>
      </c>
      <c r="E775">
        <f>HOUR(EV_Data[[#This Row],[Charging Start Time]])</f>
        <v>5</v>
      </c>
      <c r="F775" s="1">
        <v>44959.208333333336</v>
      </c>
      <c r="G775" s="1">
        <v>44959.237500000003</v>
      </c>
      <c r="H775">
        <v>42</v>
      </c>
      <c r="I775">
        <v>21.05</v>
      </c>
      <c r="J775" t="str">
        <f t="shared" si="37"/>
        <v>Medium</v>
      </c>
      <c r="K775" t="s">
        <v>50</v>
      </c>
      <c r="L775">
        <v>46</v>
      </c>
      <c r="M775">
        <v>63</v>
      </c>
      <c r="N775" t="str">
        <f t="shared" si="38"/>
        <v>Low Cost</v>
      </c>
      <c r="O775">
        <v>7.6</v>
      </c>
      <c r="P775" t="s">
        <v>43</v>
      </c>
      <c r="Q775" t="s">
        <v>48</v>
      </c>
      <c r="R775" t="s">
        <v>44</v>
      </c>
      <c r="S775" t="s">
        <v>697</v>
      </c>
      <c r="T775" t="s">
        <v>46</v>
      </c>
      <c r="U775">
        <v>70</v>
      </c>
      <c r="V775">
        <v>4.9000000000000004</v>
      </c>
      <c r="W775" t="s">
        <v>38</v>
      </c>
      <c r="X775" t="s">
        <v>62</v>
      </c>
    </row>
    <row r="776" spans="1:24" x14ac:dyDescent="0.3">
      <c r="A776" t="s">
        <v>2053</v>
      </c>
      <c r="B776" t="s">
        <v>77</v>
      </c>
      <c r="C776" t="s">
        <v>78</v>
      </c>
      <c r="D776" t="str">
        <f t="shared" si="36"/>
        <v>Morning</v>
      </c>
      <c r="E776">
        <f>HOUR(EV_Data[[#This Row],[Charging Start Time]])</f>
        <v>6</v>
      </c>
      <c r="F776" s="1">
        <v>44959.25</v>
      </c>
      <c r="G776" s="1">
        <v>44959.292361111111</v>
      </c>
      <c r="H776">
        <v>61</v>
      </c>
      <c r="I776">
        <v>11.46</v>
      </c>
      <c r="J776" t="str">
        <f t="shared" si="37"/>
        <v>Low</v>
      </c>
      <c r="K776" t="s">
        <v>50</v>
      </c>
      <c r="L776">
        <v>43</v>
      </c>
      <c r="M776">
        <v>75</v>
      </c>
      <c r="N776" t="str">
        <f t="shared" si="38"/>
        <v>Low Cost</v>
      </c>
      <c r="O776">
        <v>4.97</v>
      </c>
      <c r="P776" t="s">
        <v>33</v>
      </c>
      <c r="Q776" t="s">
        <v>34</v>
      </c>
      <c r="R776" t="s">
        <v>35</v>
      </c>
      <c r="S776" t="s">
        <v>698</v>
      </c>
      <c r="T776" t="s">
        <v>37</v>
      </c>
      <c r="U776">
        <v>9</v>
      </c>
      <c r="V776">
        <v>4.5</v>
      </c>
      <c r="W776" t="s">
        <v>28</v>
      </c>
      <c r="X776" t="s">
        <v>68</v>
      </c>
    </row>
    <row r="777" spans="1:24" x14ac:dyDescent="0.3">
      <c r="A777" t="s">
        <v>2054</v>
      </c>
      <c r="B777" t="s">
        <v>71</v>
      </c>
      <c r="C777" t="s">
        <v>72</v>
      </c>
      <c r="D777" t="str">
        <f t="shared" si="36"/>
        <v>Morning</v>
      </c>
      <c r="E777">
        <f>HOUR(EV_Data[[#This Row],[Charging Start Time]])</f>
        <v>7</v>
      </c>
      <c r="F777" s="1">
        <v>44959.291666666664</v>
      </c>
      <c r="G777" s="1">
        <v>44959.292361111111</v>
      </c>
      <c r="H777">
        <v>1</v>
      </c>
      <c r="I777">
        <v>29.75</v>
      </c>
      <c r="J777" t="str">
        <f t="shared" si="37"/>
        <v>Medium</v>
      </c>
      <c r="K777" t="s">
        <v>50</v>
      </c>
      <c r="L777">
        <v>7</v>
      </c>
      <c r="M777">
        <v>35</v>
      </c>
      <c r="N777" t="str">
        <f t="shared" si="38"/>
        <v>Medium Cost</v>
      </c>
      <c r="O777">
        <v>12.03</v>
      </c>
      <c r="P777" t="s">
        <v>51</v>
      </c>
      <c r="Q777" t="s">
        <v>34</v>
      </c>
      <c r="R777" t="s">
        <v>56</v>
      </c>
      <c r="S777" t="s">
        <v>271</v>
      </c>
      <c r="T777" t="s">
        <v>27</v>
      </c>
      <c r="U777">
        <v>92</v>
      </c>
      <c r="V777">
        <v>3.4</v>
      </c>
      <c r="W777" t="s">
        <v>28</v>
      </c>
      <c r="X777" t="s">
        <v>68</v>
      </c>
    </row>
    <row r="778" spans="1:24" x14ac:dyDescent="0.3">
      <c r="A778" t="s">
        <v>2055</v>
      </c>
      <c r="B778" t="s">
        <v>77</v>
      </c>
      <c r="C778" t="s">
        <v>78</v>
      </c>
      <c r="D778" t="str">
        <f t="shared" si="36"/>
        <v>Morning</v>
      </c>
      <c r="E778">
        <f>HOUR(EV_Data[[#This Row],[Charging Start Time]])</f>
        <v>8</v>
      </c>
      <c r="F778" s="1">
        <v>44959.333333333336</v>
      </c>
      <c r="G778" s="1">
        <v>44959.395833333343</v>
      </c>
      <c r="H778">
        <v>90</v>
      </c>
      <c r="I778">
        <v>26.23</v>
      </c>
      <c r="J778" t="str">
        <f t="shared" si="37"/>
        <v>Medium</v>
      </c>
      <c r="K778" t="s">
        <v>32</v>
      </c>
      <c r="L778">
        <v>65</v>
      </c>
      <c r="M778">
        <v>86</v>
      </c>
      <c r="N778" t="str">
        <f t="shared" si="38"/>
        <v>Medium Cost</v>
      </c>
      <c r="O778">
        <v>10.26</v>
      </c>
      <c r="P778" t="s">
        <v>33</v>
      </c>
      <c r="Q778" t="s">
        <v>24</v>
      </c>
      <c r="R778" t="s">
        <v>44</v>
      </c>
      <c r="S778" t="s">
        <v>214</v>
      </c>
      <c r="T778" t="s">
        <v>37</v>
      </c>
      <c r="U778">
        <v>19</v>
      </c>
      <c r="V778">
        <v>2.2000000000000002</v>
      </c>
      <c r="W778" t="s">
        <v>28</v>
      </c>
      <c r="X778" t="s">
        <v>68</v>
      </c>
    </row>
    <row r="779" spans="1:24" x14ac:dyDescent="0.3">
      <c r="A779" t="s">
        <v>2056</v>
      </c>
      <c r="B779" t="s">
        <v>77</v>
      </c>
      <c r="C779" t="s">
        <v>78</v>
      </c>
      <c r="D779" t="str">
        <f t="shared" si="36"/>
        <v>Morning</v>
      </c>
      <c r="E779">
        <f>HOUR(EV_Data[[#This Row],[Charging Start Time]])</f>
        <v>9</v>
      </c>
      <c r="F779" s="1">
        <v>44959.375</v>
      </c>
      <c r="G779" s="1">
        <v>44959.388194444437</v>
      </c>
      <c r="H779">
        <v>19</v>
      </c>
      <c r="I779">
        <v>13.18</v>
      </c>
      <c r="J779" t="str">
        <f t="shared" si="37"/>
        <v>Low</v>
      </c>
      <c r="K779" t="s">
        <v>50</v>
      </c>
      <c r="L779">
        <v>77</v>
      </c>
      <c r="M779">
        <v>95</v>
      </c>
      <c r="N779" t="str">
        <f t="shared" si="38"/>
        <v>Low Cost</v>
      </c>
      <c r="O779">
        <v>4.84</v>
      </c>
      <c r="P779" t="s">
        <v>33</v>
      </c>
      <c r="Q779" t="s">
        <v>24</v>
      </c>
      <c r="R779" t="s">
        <v>25</v>
      </c>
      <c r="S779" t="s">
        <v>699</v>
      </c>
      <c r="T779" t="s">
        <v>46</v>
      </c>
      <c r="U779">
        <v>66</v>
      </c>
      <c r="V779">
        <v>1.4</v>
      </c>
      <c r="W779" t="s">
        <v>38</v>
      </c>
    </row>
    <row r="780" spans="1:24" x14ac:dyDescent="0.3">
      <c r="A780" t="s">
        <v>2057</v>
      </c>
      <c r="B780" t="s">
        <v>92</v>
      </c>
      <c r="C780" t="s">
        <v>93</v>
      </c>
      <c r="D780" t="str">
        <f t="shared" si="36"/>
        <v>Morning</v>
      </c>
      <c r="E780">
        <f>HOUR(EV_Data[[#This Row],[Charging Start Time]])</f>
        <v>10</v>
      </c>
      <c r="F780" s="1">
        <v>44959.416666666664</v>
      </c>
      <c r="G780" s="1">
        <v>44959.492361111108</v>
      </c>
      <c r="H780">
        <v>109</v>
      </c>
      <c r="I780">
        <v>6.86</v>
      </c>
      <c r="J780" t="str">
        <f t="shared" si="37"/>
        <v>Low</v>
      </c>
      <c r="K780" t="s">
        <v>50</v>
      </c>
      <c r="L780">
        <v>56</v>
      </c>
      <c r="M780">
        <v>96</v>
      </c>
      <c r="N780" t="str">
        <f t="shared" si="38"/>
        <v>Low Cost</v>
      </c>
      <c r="O780">
        <v>3.14</v>
      </c>
      <c r="P780" t="s">
        <v>51</v>
      </c>
      <c r="Q780" t="s">
        <v>34</v>
      </c>
      <c r="R780" t="s">
        <v>44</v>
      </c>
      <c r="S780" t="s">
        <v>700</v>
      </c>
      <c r="T780" t="s">
        <v>46</v>
      </c>
      <c r="U780">
        <v>20</v>
      </c>
      <c r="V780">
        <v>1.2</v>
      </c>
      <c r="W780" t="s">
        <v>28</v>
      </c>
      <c r="X780" t="s">
        <v>68</v>
      </c>
    </row>
    <row r="781" spans="1:24" x14ac:dyDescent="0.3">
      <c r="A781" t="s">
        <v>2058</v>
      </c>
      <c r="B781" t="s">
        <v>30</v>
      </c>
      <c r="C781" t="s">
        <v>102</v>
      </c>
      <c r="D781" t="str">
        <f t="shared" si="36"/>
        <v>Morning</v>
      </c>
      <c r="E781">
        <f>HOUR(EV_Data[[#This Row],[Charging Start Time]])</f>
        <v>11</v>
      </c>
      <c r="F781" s="1">
        <v>44959.458333333336</v>
      </c>
      <c r="G781" s="1">
        <v>44959.484722222223</v>
      </c>
      <c r="H781">
        <v>38</v>
      </c>
      <c r="I781">
        <v>31.73</v>
      </c>
      <c r="J781" t="str">
        <f t="shared" si="37"/>
        <v>Medium</v>
      </c>
      <c r="K781" t="s">
        <v>22</v>
      </c>
      <c r="L781">
        <v>11</v>
      </c>
      <c r="M781">
        <v>28</v>
      </c>
      <c r="N781" t="str">
        <f t="shared" si="38"/>
        <v>Low Cost</v>
      </c>
      <c r="O781">
        <v>6.4</v>
      </c>
      <c r="P781" t="s">
        <v>23</v>
      </c>
      <c r="Q781" t="s">
        <v>48</v>
      </c>
      <c r="R781" t="s">
        <v>44</v>
      </c>
      <c r="S781" t="s">
        <v>701</v>
      </c>
      <c r="T781" t="s">
        <v>37</v>
      </c>
      <c r="U781">
        <v>30</v>
      </c>
      <c r="V781">
        <v>2</v>
      </c>
      <c r="W781" t="s">
        <v>47</v>
      </c>
      <c r="X781" t="s">
        <v>29</v>
      </c>
    </row>
    <row r="782" spans="1:24" x14ac:dyDescent="0.3">
      <c r="A782" t="s">
        <v>2059</v>
      </c>
      <c r="B782" t="s">
        <v>126</v>
      </c>
      <c r="C782" t="s">
        <v>31</v>
      </c>
      <c r="D782" t="str">
        <f t="shared" si="36"/>
        <v>Afternoon</v>
      </c>
      <c r="E782">
        <f>HOUR(EV_Data[[#This Row],[Charging Start Time]])</f>
        <v>12</v>
      </c>
      <c r="F782" s="1">
        <v>44959.5</v>
      </c>
      <c r="G782" s="1">
        <v>44959.500694444447</v>
      </c>
      <c r="H782">
        <v>1</v>
      </c>
      <c r="I782">
        <v>15.73</v>
      </c>
      <c r="J782" t="str">
        <f t="shared" si="37"/>
        <v>Low</v>
      </c>
      <c r="K782" t="s">
        <v>32</v>
      </c>
      <c r="L782">
        <v>38</v>
      </c>
      <c r="M782">
        <v>75</v>
      </c>
      <c r="N782" t="str">
        <f t="shared" si="38"/>
        <v>Low Cost</v>
      </c>
      <c r="O782">
        <v>6.89</v>
      </c>
      <c r="P782" t="s">
        <v>43</v>
      </c>
      <c r="Q782" t="s">
        <v>58</v>
      </c>
      <c r="R782" t="s">
        <v>25</v>
      </c>
      <c r="S782" t="s">
        <v>702</v>
      </c>
      <c r="T782" t="s">
        <v>60</v>
      </c>
      <c r="U782">
        <v>42</v>
      </c>
      <c r="V782">
        <v>1.7</v>
      </c>
      <c r="W782" t="s">
        <v>47</v>
      </c>
      <c r="X782" t="s">
        <v>29</v>
      </c>
    </row>
    <row r="783" spans="1:24" x14ac:dyDescent="0.3">
      <c r="A783" t="s">
        <v>2060</v>
      </c>
      <c r="B783" t="s">
        <v>71</v>
      </c>
      <c r="C783" t="s">
        <v>72</v>
      </c>
      <c r="D783" t="str">
        <f t="shared" si="36"/>
        <v>Afternoon</v>
      </c>
      <c r="E783">
        <f>HOUR(EV_Data[[#This Row],[Charging Start Time]])</f>
        <v>13</v>
      </c>
      <c r="F783" s="1">
        <v>44959.541666666664</v>
      </c>
      <c r="G783" s="1">
        <v>44959.595138888893</v>
      </c>
      <c r="H783">
        <v>77</v>
      </c>
      <c r="I783">
        <v>13.81</v>
      </c>
      <c r="J783" t="str">
        <f t="shared" si="37"/>
        <v>Low</v>
      </c>
      <c r="K783" t="s">
        <v>42</v>
      </c>
      <c r="L783">
        <v>6</v>
      </c>
      <c r="M783">
        <v>45</v>
      </c>
      <c r="N783" t="str">
        <f t="shared" si="38"/>
        <v>Low Cost</v>
      </c>
      <c r="O783">
        <v>2.85</v>
      </c>
      <c r="P783" t="s">
        <v>43</v>
      </c>
      <c r="Q783" t="s">
        <v>58</v>
      </c>
      <c r="R783" t="s">
        <v>56</v>
      </c>
      <c r="S783" t="s">
        <v>114</v>
      </c>
      <c r="T783" t="s">
        <v>37</v>
      </c>
      <c r="U783">
        <v>49</v>
      </c>
      <c r="V783">
        <v>2.6</v>
      </c>
      <c r="W783" t="s">
        <v>47</v>
      </c>
      <c r="X783" t="s">
        <v>29</v>
      </c>
    </row>
    <row r="784" spans="1:24" x14ac:dyDescent="0.3">
      <c r="A784" t="s">
        <v>2061</v>
      </c>
      <c r="B784" t="s">
        <v>53</v>
      </c>
      <c r="C784" t="s">
        <v>54</v>
      </c>
      <c r="D784" t="str">
        <f t="shared" si="36"/>
        <v>Afternoon</v>
      </c>
      <c r="E784">
        <f>HOUR(EV_Data[[#This Row],[Charging Start Time]])</f>
        <v>14</v>
      </c>
      <c r="F784" s="1">
        <v>44959.583333333336</v>
      </c>
      <c r="G784" s="1">
        <v>44959.594444444447</v>
      </c>
      <c r="H784">
        <v>16</v>
      </c>
      <c r="I784">
        <v>36.94</v>
      </c>
      <c r="J784" t="str">
        <f t="shared" si="37"/>
        <v>Medium</v>
      </c>
      <c r="K784" t="s">
        <v>69</v>
      </c>
      <c r="L784">
        <v>32</v>
      </c>
      <c r="M784">
        <v>67</v>
      </c>
      <c r="N784" t="str">
        <f t="shared" si="38"/>
        <v>Medium Cost</v>
      </c>
      <c r="O784">
        <v>11.01</v>
      </c>
      <c r="P784" t="s">
        <v>51</v>
      </c>
      <c r="Q784" t="s">
        <v>24</v>
      </c>
      <c r="R784" t="s">
        <v>25</v>
      </c>
      <c r="S784" t="s">
        <v>703</v>
      </c>
      <c r="T784" t="s">
        <v>37</v>
      </c>
      <c r="U784">
        <v>74</v>
      </c>
      <c r="V784">
        <v>4</v>
      </c>
      <c r="W784" t="s">
        <v>38</v>
      </c>
      <c r="X784" t="s">
        <v>39</v>
      </c>
    </row>
    <row r="785" spans="1:24" x14ac:dyDescent="0.3">
      <c r="A785" t="s">
        <v>2062</v>
      </c>
      <c r="B785" t="s">
        <v>77</v>
      </c>
      <c r="C785" t="s">
        <v>78</v>
      </c>
      <c r="D785" t="str">
        <f t="shared" si="36"/>
        <v>Afternoon</v>
      </c>
      <c r="E785">
        <f>HOUR(EV_Data[[#This Row],[Charging Start Time]])</f>
        <v>15</v>
      </c>
      <c r="F785" s="1">
        <v>44959.625</v>
      </c>
      <c r="G785" s="1">
        <v>44959.647222222222</v>
      </c>
      <c r="H785">
        <v>32</v>
      </c>
      <c r="I785">
        <v>27.84</v>
      </c>
      <c r="J785" t="str">
        <f t="shared" si="37"/>
        <v>Medium</v>
      </c>
      <c r="K785" t="s">
        <v>55</v>
      </c>
      <c r="L785">
        <v>69</v>
      </c>
      <c r="M785">
        <v>100</v>
      </c>
      <c r="N785" t="str">
        <f t="shared" si="38"/>
        <v>Medium Cost</v>
      </c>
      <c r="O785">
        <v>8.8800000000000008</v>
      </c>
      <c r="P785" t="s">
        <v>33</v>
      </c>
      <c r="Q785" t="s">
        <v>58</v>
      </c>
      <c r="R785" t="s">
        <v>25</v>
      </c>
      <c r="S785" t="s">
        <v>704</v>
      </c>
      <c r="T785" t="s">
        <v>37</v>
      </c>
      <c r="U785">
        <v>62</v>
      </c>
      <c r="V785">
        <v>4</v>
      </c>
      <c r="W785" t="s">
        <v>47</v>
      </c>
      <c r="X785" t="s">
        <v>29</v>
      </c>
    </row>
    <row r="786" spans="1:24" x14ac:dyDescent="0.3">
      <c r="A786" t="s">
        <v>2063</v>
      </c>
      <c r="B786" t="s">
        <v>30</v>
      </c>
      <c r="C786" t="s">
        <v>102</v>
      </c>
      <c r="D786" t="str">
        <f t="shared" si="36"/>
        <v>Afternoon</v>
      </c>
      <c r="E786">
        <f>HOUR(EV_Data[[#This Row],[Charging Start Time]])</f>
        <v>16</v>
      </c>
      <c r="F786" s="1">
        <v>44959.666666666664</v>
      </c>
      <c r="G786" s="1">
        <v>44959.710416666669</v>
      </c>
      <c r="H786">
        <v>63</v>
      </c>
      <c r="I786">
        <v>28.85</v>
      </c>
      <c r="J786" t="str">
        <f t="shared" si="37"/>
        <v>Medium</v>
      </c>
      <c r="K786" t="s">
        <v>55</v>
      </c>
      <c r="L786">
        <v>48</v>
      </c>
      <c r="M786">
        <v>76</v>
      </c>
      <c r="N786" t="str">
        <f t="shared" si="38"/>
        <v>Medium Cost</v>
      </c>
      <c r="O786">
        <v>9.6199999999999992</v>
      </c>
      <c r="P786" t="s">
        <v>23</v>
      </c>
      <c r="Q786" t="s">
        <v>24</v>
      </c>
      <c r="R786" t="s">
        <v>56</v>
      </c>
      <c r="S786" t="s">
        <v>705</v>
      </c>
      <c r="T786" t="s">
        <v>27</v>
      </c>
      <c r="U786">
        <v>80</v>
      </c>
      <c r="V786">
        <v>3.8</v>
      </c>
      <c r="W786" t="s">
        <v>38</v>
      </c>
    </row>
    <row r="787" spans="1:24" x14ac:dyDescent="0.3">
      <c r="A787" t="s">
        <v>2064</v>
      </c>
      <c r="B787" t="s">
        <v>71</v>
      </c>
      <c r="C787" t="s">
        <v>72</v>
      </c>
      <c r="D787" t="str">
        <f t="shared" si="36"/>
        <v>Evening</v>
      </c>
      <c r="E787">
        <f>HOUR(EV_Data[[#This Row],[Charging Start Time]])</f>
        <v>17</v>
      </c>
      <c r="F787" s="1">
        <v>44959.708333333336</v>
      </c>
      <c r="G787" s="1">
        <v>44959.744444444441</v>
      </c>
      <c r="H787">
        <v>52</v>
      </c>
      <c r="I787">
        <v>43.33</v>
      </c>
      <c r="J787" t="str">
        <f t="shared" si="37"/>
        <v>Medium</v>
      </c>
      <c r="K787" t="s">
        <v>55</v>
      </c>
      <c r="L787">
        <v>61</v>
      </c>
      <c r="M787">
        <v>85</v>
      </c>
      <c r="N787" t="str">
        <f t="shared" si="38"/>
        <v>Medium Cost</v>
      </c>
      <c r="O787">
        <v>14.3</v>
      </c>
      <c r="P787" t="s">
        <v>64</v>
      </c>
      <c r="Q787" t="s">
        <v>58</v>
      </c>
      <c r="R787" t="s">
        <v>56</v>
      </c>
      <c r="S787" t="s">
        <v>178</v>
      </c>
      <c r="T787" t="s">
        <v>60</v>
      </c>
      <c r="U787">
        <v>56</v>
      </c>
      <c r="V787">
        <v>2.9</v>
      </c>
      <c r="W787" t="s">
        <v>28</v>
      </c>
      <c r="X787" t="s">
        <v>68</v>
      </c>
    </row>
    <row r="788" spans="1:24" x14ac:dyDescent="0.3">
      <c r="A788" t="s">
        <v>2065</v>
      </c>
      <c r="B788" t="s">
        <v>71</v>
      </c>
      <c r="C788" t="s">
        <v>72</v>
      </c>
      <c r="D788" t="str">
        <f t="shared" si="36"/>
        <v>Evening</v>
      </c>
      <c r="E788">
        <f>HOUR(EV_Data[[#This Row],[Charging Start Time]])</f>
        <v>18</v>
      </c>
      <c r="F788" s="1">
        <v>44959.75</v>
      </c>
      <c r="G788" s="1">
        <v>44959.754861111112</v>
      </c>
      <c r="H788">
        <v>7</v>
      </c>
      <c r="I788">
        <v>29.04</v>
      </c>
      <c r="J788" t="str">
        <f t="shared" si="37"/>
        <v>Medium</v>
      </c>
      <c r="K788" t="s">
        <v>50</v>
      </c>
      <c r="L788">
        <v>63</v>
      </c>
      <c r="M788">
        <v>87</v>
      </c>
      <c r="N788" t="str">
        <f t="shared" si="38"/>
        <v>Medium Cost</v>
      </c>
      <c r="O788">
        <v>13.26</v>
      </c>
      <c r="P788" t="s">
        <v>33</v>
      </c>
      <c r="Q788" t="s">
        <v>34</v>
      </c>
      <c r="R788" t="s">
        <v>56</v>
      </c>
      <c r="S788" t="s">
        <v>603</v>
      </c>
      <c r="T788" t="s">
        <v>60</v>
      </c>
      <c r="U788">
        <v>58</v>
      </c>
      <c r="V788">
        <v>1.9</v>
      </c>
      <c r="W788" t="s">
        <v>38</v>
      </c>
    </row>
    <row r="789" spans="1:24" x14ac:dyDescent="0.3">
      <c r="A789" t="s">
        <v>2066</v>
      </c>
      <c r="B789" t="s">
        <v>20</v>
      </c>
      <c r="C789" t="s">
        <v>21</v>
      </c>
      <c r="D789" t="str">
        <f t="shared" si="36"/>
        <v>Evening</v>
      </c>
      <c r="E789">
        <f>HOUR(EV_Data[[#This Row],[Charging Start Time]])</f>
        <v>19</v>
      </c>
      <c r="F789" s="1">
        <v>44959.791666666664</v>
      </c>
      <c r="G789" s="1">
        <v>44959.819444444453</v>
      </c>
      <c r="H789">
        <v>40</v>
      </c>
      <c r="I789">
        <v>11.74</v>
      </c>
      <c r="J789" t="str">
        <f t="shared" si="37"/>
        <v>Low</v>
      </c>
      <c r="K789" t="s">
        <v>50</v>
      </c>
      <c r="L789">
        <v>45</v>
      </c>
      <c r="M789">
        <v>72</v>
      </c>
      <c r="N789" t="str">
        <f t="shared" si="38"/>
        <v>Low Cost</v>
      </c>
      <c r="O789">
        <v>2.71</v>
      </c>
      <c r="P789" t="s">
        <v>64</v>
      </c>
      <c r="Q789" t="s">
        <v>58</v>
      </c>
      <c r="R789" t="s">
        <v>56</v>
      </c>
      <c r="S789" t="s">
        <v>706</v>
      </c>
      <c r="T789" t="s">
        <v>37</v>
      </c>
      <c r="U789">
        <v>21</v>
      </c>
      <c r="V789">
        <v>1.1000000000000001</v>
      </c>
      <c r="W789" t="s">
        <v>28</v>
      </c>
      <c r="X789" t="s">
        <v>68</v>
      </c>
    </row>
    <row r="790" spans="1:24" x14ac:dyDescent="0.3">
      <c r="A790" t="s">
        <v>2067</v>
      </c>
      <c r="B790" t="s">
        <v>126</v>
      </c>
      <c r="C790" t="s">
        <v>31</v>
      </c>
      <c r="D790" t="str">
        <f t="shared" si="36"/>
        <v>Evening</v>
      </c>
      <c r="E790">
        <f>HOUR(EV_Data[[#This Row],[Charging Start Time]])</f>
        <v>20</v>
      </c>
      <c r="F790" s="1">
        <v>44959.833333333336</v>
      </c>
      <c r="G790" s="1">
        <v>44959.861805555563</v>
      </c>
      <c r="H790">
        <v>41</v>
      </c>
      <c r="I790">
        <v>17.64</v>
      </c>
      <c r="J790" t="str">
        <f t="shared" si="37"/>
        <v>Low</v>
      </c>
      <c r="K790" t="s">
        <v>69</v>
      </c>
      <c r="L790">
        <v>34</v>
      </c>
      <c r="M790">
        <v>63</v>
      </c>
      <c r="N790" t="str">
        <f t="shared" si="38"/>
        <v>Low Cost</v>
      </c>
      <c r="O790">
        <v>7.96</v>
      </c>
      <c r="P790" t="s">
        <v>64</v>
      </c>
      <c r="Q790" t="s">
        <v>58</v>
      </c>
      <c r="R790" t="s">
        <v>56</v>
      </c>
      <c r="S790" t="s">
        <v>707</v>
      </c>
      <c r="T790" t="s">
        <v>46</v>
      </c>
      <c r="U790">
        <v>38</v>
      </c>
      <c r="V790">
        <v>4.8</v>
      </c>
      <c r="W790" t="s">
        <v>28</v>
      </c>
      <c r="X790" t="s">
        <v>68</v>
      </c>
    </row>
    <row r="791" spans="1:24" x14ac:dyDescent="0.3">
      <c r="A791" t="s">
        <v>2068</v>
      </c>
      <c r="B791" t="s">
        <v>71</v>
      </c>
      <c r="C791" t="s">
        <v>72</v>
      </c>
      <c r="D791" t="str">
        <f t="shared" si="36"/>
        <v>Evening</v>
      </c>
      <c r="E791">
        <f>HOUR(EV_Data[[#This Row],[Charging Start Time]])</f>
        <v>21</v>
      </c>
      <c r="F791" s="1">
        <v>44959.875</v>
      </c>
      <c r="G791" s="1">
        <v>44959.909722222219</v>
      </c>
      <c r="H791">
        <v>50</v>
      </c>
      <c r="I791">
        <v>11.71</v>
      </c>
      <c r="J791" t="str">
        <f t="shared" si="37"/>
        <v>Low</v>
      </c>
      <c r="K791" t="s">
        <v>50</v>
      </c>
      <c r="L791">
        <v>50</v>
      </c>
      <c r="M791">
        <v>85</v>
      </c>
      <c r="N791" t="str">
        <f t="shared" si="38"/>
        <v>Low Cost</v>
      </c>
      <c r="O791">
        <v>5.72</v>
      </c>
      <c r="P791" t="s">
        <v>23</v>
      </c>
      <c r="Q791" t="s">
        <v>48</v>
      </c>
      <c r="R791" t="s">
        <v>25</v>
      </c>
      <c r="S791" t="s">
        <v>708</v>
      </c>
      <c r="T791" t="s">
        <v>60</v>
      </c>
      <c r="U791">
        <v>28</v>
      </c>
      <c r="V791">
        <v>3.2</v>
      </c>
      <c r="W791" t="s">
        <v>47</v>
      </c>
      <c r="X791" t="s">
        <v>29</v>
      </c>
    </row>
    <row r="792" spans="1:24" x14ac:dyDescent="0.3">
      <c r="A792" t="s">
        <v>2069</v>
      </c>
      <c r="B792" t="s">
        <v>77</v>
      </c>
      <c r="C792" t="s">
        <v>78</v>
      </c>
      <c r="D792" t="str">
        <f t="shared" si="36"/>
        <v>Evening</v>
      </c>
      <c r="E792">
        <f>HOUR(EV_Data[[#This Row],[Charging Start Time]])</f>
        <v>22</v>
      </c>
      <c r="F792" s="1">
        <v>44959.916666666664</v>
      </c>
      <c r="G792" s="1">
        <v>44959.954861111109</v>
      </c>
      <c r="H792">
        <v>55</v>
      </c>
      <c r="I792">
        <v>8.77</v>
      </c>
      <c r="J792" t="str">
        <f t="shared" si="37"/>
        <v>Low</v>
      </c>
      <c r="K792" t="s">
        <v>42</v>
      </c>
      <c r="L792">
        <v>53</v>
      </c>
      <c r="M792">
        <v>68</v>
      </c>
      <c r="N792" t="str">
        <f t="shared" si="38"/>
        <v>Low Cost</v>
      </c>
      <c r="O792">
        <v>3.93</v>
      </c>
      <c r="P792" t="s">
        <v>51</v>
      </c>
      <c r="Q792" t="s">
        <v>24</v>
      </c>
      <c r="R792" t="s">
        <v>56</v>
      </c>
      <c r="S792" t="s">
        <v>281</v>
      </c>
      <c r="T792" t="s">
        <v>27</v>
      </c>
      <c r="U792">
        <v>40</v>
      </c>
      <c r="V792">
        <v>4.8</v>
      </c>
      <c r="W792" t="s">
        <v>47</v>
      </c>
      <c r="X792" t="s">
        <v>29</v>
      </c>
    </row>
    <row r="793" spans="1:24" x14ac:dyDescent="0.3">
      <c r="A793" t="s">
        <v>2070</v>
      </c>
      <c r="B793" t="s">
        <v>92</v>
      </c>
      <c r="C793" t="s">
        <v>93</v>
      </c>
      <c r="D793" t="str">
        <f t="shared" si="36"/>
        <v>Evening</v>
      </c>
      <c r="E793">
        <f>HOUR(EV_Data[[#This Row],[Charging Start Time]])</f>
        <v>23</v>
      </c>
      <c r="F793" s="1">
        <v>44959.958333333336</v>
      </c>
      <c r="G793" s="1">
        <v>44959.995833333327</v>
      </c>
      <c r="H793">
        <v>54</v>
      </c>
      <c r="I793">
        <v>18.940000000000001</v>
      </c>
      <c r="J793" t="str">
        <f t="shared" si="37"/>
        <v>Low</v>
      </c>
      <c r="K793" t="s">
        <v>55</v>
      </c>
      <c r="L793">
        <v>13</v>
      </c>
      <c r="M793">
        <v>28</v>
      </c>
      <c r="N793" t="str">
        <f t="shared" si="38"/>
        <v>Low Cost</v>
      </c>
      <c r="O793">
        <v>7.27</v>
      </c>
      <c r="P793" t="s">
        <v>64</v>
      </c>
      <c r="Q793" t="s">
        <v>58</v>
      </c>
      <c r="R793" t="s">
        <v>56</v>
      </c>
      <c r="S793" t="s">
        <v>608</v>
      </c>
      <c r="T793" t="s">
        <v>37</v>
      </c>
      <c r="U793">
        <v>52</v>
      </c>
      <c r="V793">
        <v>4.5999999999999996</v>
      </c>
      <c r="W793" t="s">
        <v>28</v>
      </c>
      <c r="X793" t="s">
        <v>68</v>
      </c>
    </row>
    <row r="794" spans="1:24" x14ac:dyDescent="0.3">
      <c r="A794" t="s">
        <v>2071</v>
      </c>
      <c r="B794" t="s">
        <v>126</v>
      </c>
      <c r="C794" t="s">
        <v>31</v>
      </c>
      <c r="D794" t="str">
        <f t="shared" si="36"/>
        <v>Morning</v>
      </c>
      <c r="E794">
        <f>HOUR(EV_Data[[#This Row],[Charging Start Time]])</f>
        <v>0</v>
      </c>
      <c r="F794" s="1">
        <v>44960</v>
      </c>
      <c r="G794" s="1">
        <v>44960.000694444447</v>
      </c>
      <c r="H794">
        <v>1</v>
      </c>
      <c r="I794">
        <v>18.809999999999999</v>
      </c>
      <c r="J794" t="str">
        <f t="shared" si="37"/>
        <v>Low</v>
      </c>
      <c r="K794" t="s">
        <v>22</v>
      </c>
      <c r="L794">
        <v>79</v>
      </c>
      <c r="M794">
        <v>98</v>
      </c>
      <c r="N794" t="str">
        <f t="shared" si="38"/>
        <v>Low Cost</v>
      </c>
      <c r="O794">
        <v>7.08</v>
      </c>
      <c r="P794" t="s">
        <v>23</v>
      </c>
      <c r="Q794" t="s">
        <v>34</v>
      </c>
      <c r="R794" t="s">
        <v>35</v>
      </c>
      <c r="S794" t="s">
        <v>360</v>
      </c>
      <c r="T794" t="s">
        <v>27</v>
      </c>
      <c r="U794">
        <v>41</v>
      </c>
      <c r="V794">
        <v>4.8</v>
      </c>
      <c r="W794" t="s">
        <v>47</v>
      </c>
      <c r="X794" t="s">
        <v>29</v>
      </c>
    </row>
    <row r="795" spans="1:24" x14ac:dyDescent="0.3">
      <c r="A795" t="s">
        <v>2072</v>
      </c>
      <c r="B795" t="s">
        <v>30</v>
      </c>
      <c r="C795" t="s">
        <v>102</v>
      </c>
      <c r="D795" t="str">
        <f t="shared" si="36"/>
        <v>Morning</v>
      </c>
      <c r="E795">
        <f>HOUR(EV_Data[[#This Row],[Charging Start Time]])</f>
        <v>1</v>
      </c>
      <c r="F795" s="1">
        <v>44960.041666666664</v>
      </c>
      <c r="G795" s="1">
        <v>44960.079861111109</v>
      </c>
      <c r="H795">
        <v>55</v>
      </c>
      <c r="I795">
        <v>18.53</v>
      </c>
      <c r="J795" t="str">
        <f t="shared" si="37"/>
        <v>Low</v>
      </c>
      <c r="K795" t="s">
        <v>55</v>
      </c>
      <c r="L795">
        <v>31</v>
      </c>
      <c r="M795">
        <v>56</v>
      </c>
      <c r="N795" t="str">
        <f t="shared" si="38"/>
        <v>Low Cost</v>
      </c>
      <c r="O795">
        <v>7.78</v>
      </c>
      <c r="P795" t="s">
        <v>64</v>
      </c>
      <c r="Q795" t="s">
        <v>58</v>
      </c>
      <c r="R795" t="s">
        <v>44</v>
      </c>
      <c r="S795" t="s">
        <v>141</v>
      </c>
      <c r="T795" t="s">
        <v>37</v>
      </c>
      <c r="U795">
        <v>83</v>
      </c>
      <c r="V795">
        <v>4.5</v>
      </c>
      <c r="W795" t="s">
        <v>47</v>
      </c>
      <c r="X795" t="s">
        <v>29</v>
      </c>
    </row>
    <row r="796" spans="1:24" x14ac:dyDescent="0.3">
      <c r="A796" t="s">
        <v>2073</v>
      </c>
      <c r="B796" t="s">
        <v>20</v>
      </c>
      <c r="C796" t="s">
        <v>21</v>
      </c>
      <c r="D796" t="str">
        <f t="shared" si="36"/>
        <v>Morning</v>
      </c>
      <c r="E796">
        <f>HOUR(EV_Data[[#This Row],[Charging Start Time]])</f>
        <v>2</v>
      </c>
      <c r="F796" s="1">
        <v>44960.083333333336</v>
      </c>
      <c r="G796" s="1">
        <v>44960.138888888891</v>
      </c>
      <c r="H796">
        <v>80</v>
      </c>
      <c r="I796">
        <v>33.97</v>
      </c>
      <c r="J796" t="str">
        <f t="shared" si="37"/>
        <v>Medium</v>
      </c>
      <c r="K796" t="s">
        <v>69</v>
      </c>
      <c r="L796">
        <v>35</v>
      </c>
      <c r="M796">
        <v>72</v>
      </c>
      <c r="N796" t="str">
        <f t="shared" si="38"/>
        <v>Medium Cost</v>
      </c>
      <c r="O796">
        <v>8.2100000000000009</v>
      </c>
      <c r="P796" t="s">
        <v>23</v>
      </c>
      <c r="Q796" t="s">
        <v>34</v>
      </c>
      <c r="R796" t="s">
        <v>35</v>
      </c>
      <c r="S796" t="s">
        <v>152</v>
      </c>
      <c r="T796" t="s">
        <v>60</v>
      </c>
      <c r="U796">
        <v>1</v>
      </c>
      <c r="V796">
        <v>4</v>
      </c>
      <c r="W796" t="s">
        <v>47</v>
      </c>
      <c r="X796" t="s">
        <v>29</v>
      </c>
    </row>
    <row r="797" spans="1:24" x14ac:dyDescent="0.3">
      <c r="A797" t="s">
        <v>2074</v>
      </c>
      <c r="B797" t="s">
        <v>77</v>
      </c>
      <c r="C797" t="s">
        <v>78</v>
      </c>
      <c r="D797" t="str">
        <f t="shared" si="36"/>
        <v>Morning</v>
      </c>
      <c r="E797">
        <f>HOUR(EV_Data[[#This Row],[Charging Start Time]])</f>
        <v>3</v>
      </c>
      <c r="F797" s="1">
        <v>44960.125</v>
      </c>
      <c r="G797" s="1">
        <v>44960.167361111111</v>
      </c>
      <c r="H797">
        <v>61</v>
      </c>
      <c r="I797">
        <v>44.61</v>
      </c>
      <c r="J797" t="str">
        <f t="shared" si="37"/>
        <v>Medium</v>
      </c>
      <c r="K797" t="s">
        <v>55</v>
      </c>
      <c r="L797">
        <v>44</v>
      </c>
      <c r="M797">
        <v>81</v>
      </c>
      <c r="N797" t="str">
        <f t="shared" si="38"/>
        <v>High Cost</v>
      </c>
      <c r="O797">
        <v>21.92</v>
      </c>
      <c r="P797" t="s">
        <v>64</v>
      </c>
      <c r="Q797" t="s">
        <v>48</v>
      </c>
      <c r="R797" t="s">
        <v>35</v>
      </c>
      <c r="S797" t="s">
        <v>709</v>
      </c>
      <c r="T797" t="s">
        <v>46</v>
      </c>
      <c r="U797">
        <v>32</v>
      </c>
      <c r="V797">
        <v>3.8</v>
      </c>
      <c r="W797" t="s">
        <v>28</v>
      </c>
      <c r="X797" t="s">
        <v>68</v>
      </c>
    </row>
    <row r="798" spans="1:24" x14ac:dyDescent="0.3">
      <c r="A798" t="s">
        <v>2075</v>
      </c>
      <c r="B798" t="s">
        <v>30</v>
      </c>
      <c r="C798" t="s">
        <v>102</v>
      </c>
      <c r="D798" t="str">
        <f t="shared" si="36"/>
        <v>Morning</v>
      </c>
      <c r="E798">
        <f>HOUR(EV_Data[[#This Row],[Charging Start Time]])</f>
        <v>4</v>
      </c>
      <c r="F798" s="1">
        <v>44960.166666666664</v>
      </c>
      <c r="G798" s="1">
        <v>44960.238888888889</v>
      </c>
      <c r="H798">
        <v>104</v>
      </c>
      <c r="I798">
        <v>29.77</v>
      </c>
      <c r="J798" t="str">
        <f t="shared" si="37"/>
        <v>Medium</v>
      </c>
      <c r="K798" t="s">
        <v>69</v>
      </c>
      <c r="L798">
        <v>23</v>
      </c>
      <c r="M798">
        <v>37</v>
      </c>
      <c r="N798" t="str">
        <f t="shared" si="38"/>
        <v>Medium Cost</v>
      </c>
      <c r="O798">
        <v>13.47</v>
      </c>
      <c r="P798" t="s">
        <v>33</v>
      </c>
      <c r="Q798" t="s">
        <v>58</v>
      </c>
      <c r="R798" t="s">
        <v>44</v>
      </c>
      <c r="S798" t="s">
        <v>710</v>
      </c>
      <c r="T798" t="s">
        <v>46</v>
      </c>
      <c r="U798">
        <v>4</v>
      </c>
      <c r="V798">
        <v>2.2999999999999998</v>
      </c>
      <c r="W798" t="s">
        <v>47</v>
      </c>
      <c r="X798" t="s">
        <v>29</v>
      </c>
    </row>
    <row r="799" spans="1:24" x14ac:dyDescent="0.3">
      <c r="A799" t="s">
        <v>2076</v>
      </c>
      <c r="B799" t="s">
        <v>77</v>
      </c>
      <c r="C799" t="s">
        <v>78</v>
      </c>
      <c r="D799" t="str">
        <f t="shared" si="36"/>
        <v>Morning</v>
      </c>
      <c r="E799">
        <f>HOUR(EV_Data[[#This Row],[Charging Start Time]])</f>
        <v>5</v>
      </c>
      <c r="F799" s="1">
        <v>44960.208333333336</v>
      </c>
      <c r="G799" s="1">
        <v>44960.259027777778</v>
      </c>
      <c r="H799">
        <v>73</v>
      </c>
      <c r="I799">
        <v>7.47</v>
      </c>
      <c r="J799" t="str">
        <f t="shared" si="37"/>
        <v>Low</v>
      </c>
      <c r="K799" t="s">
        <v>55</v>
      </c>
      <c r="L799">
        <v>17</v>
      </c>
      <c r="M799">
        <v>43</v>
      </c>
      <c r="N799" t="str">
        <f t="shared" si="38"/>
        <v>Low Cost</v>
      </c>
      <c r="O799">
        <v>2.63</v>
      </c>
      <c r="P799" t="s">
        <v>64</v>
      </c>
      <c r="Q799" t="s">
        <v>48</v>
      </c>
      <c r="R799" t="s">
        <v>25</v>
      </c>
      <c r="S799" t="s">
        <v>173</v>
      </c>
      <c r="T799" t="s">
        <v>46</v>
      </c>
      <c r="U799">
        <v>51</v>
      </c>
      <c r="V799">
        <v>1.4</v>
      </c>
      <c r="W799" t="s">
        <v>47</v>
      </c>
      <c r="X799" t="s">
        <v>29</v>
      </c>
    </row>
    <row r="800" spans="1:24" x14ac:dyDescent="0.3">
      <c r="A800" t="s">
        <v>2077</v>
      </c>
      <c r="B800" t="s">
        <v>126</v>
      </c>
      <c r="C800" t="s">
        <v>31</v>
      </c>
      <c r="D800" t="str">
        <f t="shared" si="36"/>
        <v>Morning</v>
      </c>
      <c r="E800">
        <f>HOUR(EV_Data[[#This Row],[Charging Start Time]])</f>
        <v>6</v>
      </c>
      <c r="F800" s="1">
        <v>44960.25</v>
      </c>
      <c r="G800" s="1">
        <v>44960.270138888889</v>
      </c>
      <c r="H800">
        <v>29</v>
      </c>
      <c r="I800">
        <v>44.8</v>
      </c>
      <c r="J800" t="str">
        <f t="shared" si="37"/>
        <v>Medium</v>
      </c>
      <c r="K800" t="s">
        <v>32</v>
      </c>
      <c r="L800">
        <v>54</v>
      </c>
      <c r="M800">
        <v>77</v>
      </c>
      <c r="N800" t="str">
        <f t="shared" si="38"/>
        <v>High Cost</v>
      </c>
      <c r="O800">
        <v>22.03</v>
      </c>
      <c r="P800" t="s">
        <v>43</v>
      </c>
      <c r="Q800" t="s">
        <v>48</v>
      </c>
      <c r="R800" t="s">
        <v>44</v>
      </c>
      <c r="S800" t="s">
        <v>711</v>
      </c>
      <c r="T800" t="s">
        <v>46</v>
      </c>
      <c r="U800">
        <v>55</v>
      </c>
      <c r="V800">
        <v>4.7</v>
      </c>
      <c r="W800" t="s">
        <v>47</v>
      </c>
      <c r="X800" t="s">
        <v>29</v>
      </c>
    </row>
    <row r="801" spans="1:24" x14ac:dyDescent="0.3">
      <c r="A801" t="s">
        <v>2078</v>
      </c>
      <c r="B801" t="s">
        <v>77</v>
      </c>
      <c r="C801" t="s">
        <v>78</v>
      </c>
      <c r="D801" t="str">
        <f t="shared" si="36"/>
        <v>Morning</v>
      </c>
      <c r="E801">
        <f>HOUR(EV_Data[[#This Row],[Charging Start Time]])</f>
        <v>7</v>
      </c>
      <c r="F801" s="1">
        <v>44960.291666666664</v>
      </c>
      <c r="G801" s="1">
        <v>44960.318749999999</v>
      </c>
      <c r="H801">
        <v>39</v>
      </c>
      <c r="I801">
        <v>36.090000000000003</v>
      </c>
      <c r="J801" t="str">
        <f t="shared" si="37"/>
        <v>Medium</v>
      </c>
      <c r="K801" t="s">
        <v>55</v>
      </c>
      <c r="L801">
        <v>38</v>
      </c>
      <c r="M801">
        <v>51</v>
      </c>
      <c r="N801" t="str">
        <f t="shared" si="38"/>
        <v>High Cost</v>
      </c>
      <c r="O801">
        <v>17.52</v>
      </c>
      <c r="P801" t="s">
        <v>23</v>
      </c>
      <c r="Q801" t="s">
        <v>48</v>
      </c>
      <c r="R801" t="s">
        <v>35</v>
      </c>
      <c r="S801" t="s">
        <v>712</v>
      </c>
      <c r="T801" t="s">
        <v>60</v>
      </c>
      <c r="U801">
        <v>48</v>
      </c>
      <c r="V801">
        <v>3</v>
      </c>
      <c r="W801" t="s">
        <v>38</v>
      </c>
      <c r="X801" t="s">
        <v>39</v>
      </c>
    </row>
    <row r="802" spans="1:24" x14ac:dyDescent="0.3">
      <c r="A802" t="s">
        <v>2079</v>
      </c>
      <c r="B802" t="s">
        <v>126</v>
      </c>
      <c r="C802" t="s">
        <v>31</v>
      </c>
      <c r="D802" t="str">
        <f t="shared" si="36"/>
        <v>Morning</v>
      </c>
      <c r="E802">
        <f>HOUR(EV_Data[[#This Row],[Charging Start Time]])</f>
        <v>8</v>
      </c>
      <c r="F802" s="1">
        <v>44960.333333333336</v>
      </c>
      <c r="G802" s="1">
        <v>44960.366666666669</v>
      </c>
      <c r="H802">
        <v>48</v>
      </c>
      <c r="I802">
        <v>22.23</v>
      </c>
      <c r="J802" t="str">
        <f t="shared" si="37"/>
        <v>Medium</v>
      </c>
      <c r="K802" t="s">
        <v>69</v>
      </c>
      <c r="L802">
        <v>46</v>
      </c>
      <c r="M802">
        <v>68</v>
      </c>
      <c r="N802" t="str">
        <f t="shared" si="38"/>
        <v>Low Cost</v>
      </c>
      <c r="O802">
        <v>6.58</v>
      </c>
      <c r="P802" t="s">
        <v>23</v>
      </c>
      <c r="Q802" t="s">
        <v>48</v>
      </c>
      <c r="R802" t="s">
        <v>25</v>
      </c>
      <c r="S802" t="s">
        <v>713</v>
      </c>
      <c r="T802" t="s">
        <v>60</v>
      </c>
      <c r="U802">
        <v>30</v>
      </c>
      <c r="V802">
        <v>1.6</v>
      </c>
      <c r="W802" t="s">
        <v>38</v>
      </c>
      <c r="X802" t="s">
        <v>85</v>
      </c>
    </row>
    <row r="803" spans="1:24" x14ac:dyDescent="0.3">
      <c r="A803" t="s">
        <v>2080</v>
      </c>
      <c r="B803" t="s">
        <v>71</v>
      </c>
      <c r="C803" t="s">
        <v>72</v>
      </c>
      <c r="D803" t="str">
        <f t="shared" si="36"/>
        <v>Morning</v>
      </c>
      <c r="E803">
        <f>HOUR(EV_Data[[#This Row],[Charging Start Time]])</f>
        <v>9</v>
      </c>
      <c r="F803" s="1">
        <v>44960.375</v>
      </c>
      <c r="G803" s="1">
        <v>44960.457638888889</v>
      </c>
      <c r="H803">
        <v>119</v>
      </c>
      <c r="I803">
        <v>19.899999999999999</v>
      </c>
      <c r="J803" t="str">
        <f t="shared" si="37"/>
        <v>Low</v>
      </c>
      <c r="K803" t="s">
        <v>50</v>
      </c>
      <c r="L803">
        <v>61</v>
      </c>
      <c r="M803">
        <v>100</v>
      </c>
      <c r="N803" t="str">
        <f t="shared" si="38"/>
        <v>Low Cost</v>
      </c>
      <c r="O803">
        <v>5.64</v>
      </c>
      <c r="P803" t="s">
        <v>51</v>
      </c>
      <c r="Q803" t="s">
        <v>48</v>
      </c>
      <c r="R803" t="s">
        <v>35</v>
      </c>
      <c r="S803" t="s">
        <v>664</v>
      </c>
      <c r="T803" t="s">
        <v>37</v>
      </c>
      <c r="U803">
        <v>82</v>
      </c>
      <c r="V803">
        <v>3.9</v>
      </c>
      <c r="W803" t="s">
        <v>47</v>
      </c>
      <c r="X803" t="s">
        <v>29</v>
      </c>
    </row>
    <row r="804" spans="1:24" x14ac:dyDescent="0.3">
      <c r="A804" t="s">
        <v>2081</v>
      </c>
      <c r="B804" t="s">
        <v>126</v>
      </c>
      <c r="C804" t="s">
        <v>31</v>
      </c>
      <c r="D804" t="str">
        <f t="shared" si="36"/>
        <v>Morning</v>
      </c>
      <c r="E804">
        <f>HOUR(EV_Data[[#This Row],[Charging Start Time]])</f>
        <v>10</v>
      </c>
      <c r="F804" s="1">
        <v>44960.416666666664</v>
      </c>
      <c r="G804" s="1">
        <v>44960.468055555553</v>
      </c>
      <c r="H804">
        <v>74</v>
      </c>
      <c r="I804">
        <v>23.62</v>
      </c>
      <c r="J804" t="str">
        <f t="shared" si="37"/>
        <v>Medium</v>
      </c>
      <c r="K804" t="s">
        <v>42</v>
      </c>
      <c r="L804">
        <v>65</v>
      </c>
      <c r="M804">
        <v>97</v>
      </c>
      <c r="N804" t="str">
        <f t="shared" si="38"/>
        <v>Medium Cost</v>
      </c>
      <c r="O804">
        <v>11.2</v>
      </c>
      <c r="P804" t="s">
        <v>43</v>
      </c>
      <c r="Q804" t="s">
        <v>34</v>
      </c>
      <c r="R804" t="s">
        <v>35</v>
      </c>
      <c r="S804" t="s">
        <v>714</v>
      </c>
      <c r="T804" t="s">
        <v>46</v>
      </c>
      <c r="U804">
        <v>52</v>
      </c>
      <c r="V804">
        <v>2.4</v>
      </c>
      <c r="W804" t="s">
        <v>47</v>
      </c>
      <c r="X804" t="s">
        <v>29</v>
      </c>
    </row>
    <row r="805" spans="1:24" x14ac:dyDescent="0.3">
      <c r="A805" t="s">
        <v>2082</v>
      </c>
      <c r="B805" t="s">
        <v>77</v>
      </c>
      <c r="C805" t="s">
        <v>78</v>
      </c>
      <c r="D805" t="str">
        <f t="shared" si="36"/>
        <v>Morning</v>
      </c>
      <c r="E805">
        <f>HOUR(EV_Data[[#This Row],[Charging Start Time]])</f>
        <v>11</v>
      </c>
      <c r="F805" s="1">
        <v>44960.458333333336</v>
      </c>
      <c r="G805" s="1">
        <v>44960.482638888891</v>
      </c>
      <c r="H805">
        <v>35</v>
      </c>
      <c r="I805">
        <v>18.7</v>
      </c>
      <c r="J805" t="str">
        <f t="shared" si="37"/>
        <v>Low</v>
      </c>
      <c r="K805" t="s">
        <v>69</v>
      </c>
      <c r="L805">
        <v>72</v>
      </c>
      <c r="M805">
        <v>83</v>
      </c>
      <c r="N805" t="str">
        <f t="shared" si="38"/>
        <v>Medium Cost</v>
      </c>
      <c r="O805">
        <v>9.27</v>
      </c>
      <c r="P805" t="s">
        <v>33</v>
      </c>
      <c r="Q805" t="s">
        <v>34</v>
      </c>
      <c r="R805" t="s">
        <v>44</v>
      </c>
      <c r="S805" t="s">
        <v>715</v>
      </c>
      <c r="T805" t="s">
        <v>46</v>
      </c>
      <c r="U805">
        <v>14</v>
      </c>
      <c r="V805">
        <v>3.3</v>
      </c>
      <c r="W805" t="s">
        <v>47</v>
      </c>
      <c r="X805" t="s">
        <v>29</v>
      </c>
    </row>
    <row r="806" spans="1:24" x14ac:dyDescent="0.3">
      <c r="A806" t="s">
        <v>2083</v>
      </c>
      <c r="B806" t="s">
        <v>92</v>
      </c>
      <c r="C806" t="s">
        <v>93</v>
      </c>
      <c r="D806" t="str">
        <f t="shared" si="36"/>
        <v>Afternoon</v>
      </c>
      <c r="E806">
        <f>HOUR(EV_Data[[#This Row],[Charging Start Time]])</f>
        <v>12</v>
      </c>
      <c r="F806" s="1">
        <v>44960.5</v>
      </c>
      <c r="G806" s="1">
        <v>44960.543749999997</v>
      </c>
      <c r="H806">
        <v>63</v>
      </c>
      <c r="I806">
        <v>39.64</v>
      </c>
      <c r="J806" t="str">
        <f t="shared" si="37"/>
        <v>Medium</v>
      </c>
      <c r="K806" t="s">
        <v>32</v>
      </c>
      <c r="L806">
        <v>8</v>
      </c>
      <c r="M806">
        <v>18</v>
      </c>
      <c r="N806" t="str">
        <f t="shared" si="38"/>
        <v>Medium Cost</v>
      </c>
      <c r="O806">
        <v>10.61</v>
      </c>
      <c r="P806" t="s">
        <v>51</v>
      </c>
      <c r="Q806" t="s">
        <v>48</v>
      </c>
      <c r="R806" t="s">
        <v>35</v>
      </c>
      <c r="S806" t="s">
        <v>365</v>
      </c>
      <c r="T806" t="s">
        <v>46</v>
      </c>
      <c r="U806">
        <v>70</v>
      </c>
      <c r="V806">
        <v>1</v>
      </c>
      <c r="W806" t="s">
        <v>38</v>
      </c>
      <c r="X806" t="s">
        <v>39</v>
      </c>
    </row>
    <row r="807" spans="1:24" x14ac:dyDescent="0.3">
      <c r="A807" t="s">
        <v>2084</v>
      </c>
      <c r="B807" t="s">
        <v>92</v>
      </c>
      <c r="C807" t="s">
        <v>93</v>
      </c>
      <c r="D807" t="str">
        <f t="shared" si="36"/>
        <v>Afternoon</v>
      </c>
      <c r="E807">
        <f>HOUR(EV_Data[[#This Row],[Charging Start Time]])</f>
        <v>13</v>
      </c>
      <c r="F807" s="1">
        <v>44960.541666666664</v>
      </c>
      <c r="G807" s="1">
        <v>44960.560416666667</v>
      </c>
      <c r="H807">
        <v>27</v>
      </c>
      <c r="I807">
        <v>42.29</v>
      </c>
      <c r="J807" t="str">
        <f t="shared" si="37"/>
        <v>Medium</v>
      </c>
      <c r="K807" t="s">
        <v>22</v>
      </c>
      <c r="L807">
        <v>6</v>
      </c>
      <c r="M807">
        <v>40</v>
      </c>
      <c r="N807" t="str">
        <f t="shared" si="38"/>
        <v>High Cost</v>
      </c>
      <c r="O807">
        <v>21.1</v>
      </c>
      <c r="P807" t="s">
        <v>23</v>
      </c>
      <c r="Q807" t="s">
        <v>34</v>
      </c>
      <c r="R807" t="s">
        <v>35</v>
      </c>
      <c r="S807" t="s">
        <v>716</v>
      </c>
      <c r="T807" t="s">
        <v>37</v>
      </c>
      <c r="U807">
        <v>37</v>
      </c>
      <c r="V807">
        <v>4.5</v>
      </c>
      <c r="W807" t="s">
        <v>28</v>
      </c>
      <c r="X807" t="s">
        <v>68</v>
      </c>
    </row>
    <row r="808" spans="1:24" x14ac:dyDescent="0.3">
      <c r="A808" t="s">
        <v>2085</v>
      </c>
      <c r="B808" t="s">
        <v>77</v>
      </c>
      <c r="C808" t="s">
        <v>78</v>
      </c>
      <c r="D808" t="str">
        <f t="shared" si="36"/>
        <v>Afternoon</v>
      </c>
      <c r="E808">
        <f>HOUR(EV_Data[[#This Row],[Charging Start Time]])</f>
        <v>14</v>
      </c>
      <c r="F808" s="1">
        <v>44960.583333333336</v>
      </c>
      <c r="G808" s="1">
        <v>44960.625</v>
      </c>
      <c r="H808">
        <v>60</v>
      </c>
      <c r="I808">
        <v>38.25</v>
      </c>
      <c r="J808" t="str">
        <f t="shared" si="37"/>
        <v>Medium</v>
      </c>
      <c r="K808" t="s">
        <v>50</v>
      </c>
      <c r="L808">
        <v>77</v>
      </c>
      <c r="M808">
        <v>100</v>
      </c>
      <c r="N808" t="str">
        <f t="shared" si="38"/>
        <v>Medium Cost</v>
      </c>
      <c r="O808">
        <v>16.46</v>
      </c>
      <c r="P808" t="s">
        <v>64</v>
      </c>
      <c r="Q808" t="s">
        <v>24</v>
      </c>
      <c r="R808" t="s">
        <v>25</v>
      </c>
      <c r="S808" t="s">
        <v>717</v>
      </c>
      <c r="T808" t="s">
        <v>60</v>
      </c>
      <c r="U808">
        <v>77</v>
      </c>
      <c r="V808">
        <v>4.5999999999999996</v>
      </c>
      <c r="W808" t="s">
        <v>47</v>
      </c>
      <c r="X808" t="s">
        <v>29</v>
      </c>
    </row>
    <row r="809" spans="1:24" x14ac:dyDescent="0.3">
      <c r="A809" t="s">
        <v>2086</v>
      </c>
      <c r="B809" t="s">
        <v>77</v>
      </c>
      <c r="C809" t="s">
        <v>78</v>
      </c>
      <c r="D809" t="str">
        <f t="shared" si="36"/>
        <v>Afternoon</v>
      </c>
      <c r="E809">
        <f>HOUR(EV_Data[[#This Row],[Charging Start Time]])</f>
        <v>15</v>
      </c>
      <c r="F809" s="1">
        <v>44960.625</v>
      </c>
      <c r="G809" s="1">
        <v>44960.643750000003</v>
      </c>
      <c r="H809">
        <v>27</v>
      </c>
      <c r="I809">
        <v>49.35</v>
      </c>
      <c r="J809" t="str">
        <f t="shared" si="37"/>
        <v>Medium</v>
      </c>
      <c r="K809" t="s">
        <v>69</v>
      </c>
      <c r="L809">
        <v>44</v>
      </c>
      <c r="M809">
        <v>76</v>
      </c>
      <c r="N809" t="str">
        <f t="shared" si="38"/>
        <v>High Cost</v>
      </c>
      <c r="O809">
        <v>21.91</v>
      </c>
      <c r="P809" t="s">
        <v>43</v>
      </c>
      <c r="Q809" t="s">
        <v>24</v>
      </c>
      <c r="R809" t="s">
        <v>25</v>
      </c>
      <c r="S809" t="s">
        <v>497</v>
      </c>
      <c r="T809" t="s">
        <v>27</v>
      </c>
      <c r="U809">
        <v>44</v>
      </c>
      <c r="V809">
        <v>1.4</v>
      </c>
      <c r="W809" t="s">
        <v>38</v>
      </c>
      <c r="X809" t="s">
        <v>39</v>
      </c>
    </row>
    <row r="810" spans="1:24" x14ac:dyDescent="0.3">
      <c r="A810" t="s">
        <v>2087</v>
      </c>
      <c r="B810" t="s">
        <v>92</v>
      </c>
      <c r="C810" t="s">
        <v>93</v>
      </c>
      <c r="D810" t="str">
        <f t="shared" si="36"/>
        <v>Afternoon</v>
      </c>
      <c r="E810">
        <f>HOUR(EV_Data[[#This Row],[Charging Start Time]])</f>
        <v>16</v>
      </c>
      <c r="F810" s="1">
        <v>44960.666666666664</v>
      </c>
      <c r="G810" s="1">
        <v>44960.753472222219</v>
      </c>
      <c r="H810">
        <v>125</v>
      </c>
      <c r="I810">
        <v>12.8</v>
      </c>
      <c r="J810" t="str">
        <f t="shared" si="37"/>
        <v>Low</v>
      </c>
      <c r="K810" t="s">
        <v>69</v>
      </c>
      <c r="L810">
        <v>20</v>
      </c>
      <c r="M810">
        <v>49</v>
      </c>
      <c r="N810" t="str">
        <f t="shared" si="38"/>
        <v>Low Cost</v>
      </c>
      <c r="O810">
        <v>3.74</v>
      </c>
      <c r="P810" t="s">
        <v>64</v>
      </c>
      <c r="Q810" t="s">
        <v>24</v>
      </c>
      <c r="R810" t="s">
        <v>56</v>
      </c>
      <c r="S810" t="s">
        <v>718</v>
      </c>
      <c r="T810" t="s">
        <v>37</v>
      </c>
      <c r="U810">
        <v>50</v>
      </c>
      <c r="V810">
        <v>4.5999999999999996</v>
      </c>
      <c r="W810" t="s">
        <v>47</v>
      </c>
      <c r="X810" t="s">
        <v>29</v>
      </c>
    </row>
    <row r="811" spans="1:24" x14ac:dyDescent="0.3">
      <c r="A811" t="s">
        <v>2088</v>
      </c>
      <c r="B811" t="s">
        <v>53</v>
      </c>
      <c r="C811" t="s">
        <v>54</v>
      </c>
      <c r="D811" t="str">
        <f t="shared" si="36"/>
        <v>Evening</v>
      </c>
      <c r="E811">
        <f>HOUR(EV_Data[[#This Row],[Charging Start Time]])</f>
        <v>17</v>
      </c>
      <c r="F811" s="1">
        <v>44960.708333333336</v>
      </c>
      <c r="G811" s="1">
        <v>44960.729861111111</v>
      </c>
      <c r="H811">
        <v>31</v>
      </c>
      <c r="I811">
        <v>8</v>
      </c>
      <c r="J811" t="str">
        <f t="shared" si="37"/>
        <v>Low</v>
      </c>
      <c r="K811" t="s">
        <v>42</v>
      </c>
      <c r="L811">
        <v>48</v>
      </c>
      <c r="M811">
        <v>64</v>
      </c>
      <c r="N811" t="str">
        <f t="shared" si="38"/>
        <v>Low Cost</v>
      </c>
      <c r="O811">
        <v>3.62</v>
      </c>
      <c r="P811" t="s">
        <v>43</v>
      </c>
      <c r="Q811" t="s">
        <v>34</v>
      </c>
      <c r="R811" t="s">
        <v>25</v>
      </c>
      <c r="S811" t="s">
        <v>719</v>
      </c>
      <c r="T811" t="s">
        <v>46</v>
      </c>
      <c r="U811">
        <v>100</v>
      </c>
      <c r="V811">
        <v>3.2</v>
      </c>
      <c r="W811" t="s">
        <v>47</v>
      </c>
      <c r="X811" t="s">
        <v>29</v>
      </c>
    </row>
    <row r="812" spans="1:24" x14ac:dyDescent="0.3">
      <c r="A812" t="s">
        <v>2089</v>
      </c>
      <c r="B812" t="s">
        <v>71</v>
      </c>
      <c r="C812" t="s">
        <v>72</v>
      </c>
      <c r="D812" t="str">
        <f t="shared" si="36"/>
        <v>Evening</v>
      </c>
      <c r="E812">
        <f>HOUR(EV_Data[[#This Row],[Charging Start Time]])</f>
        <v>18</v>
      </c>
      <c r="F812" s="1">
        <v>44960.75</v>
      </c>
      <c r="G812" s="1">
        <v>44960.775694444441</v>
      </c>
      <c r="H812">
        <v>37</v>
      </c>
      <c r="I812">
        <v>19.82</v>
      </c>
      <c r="J812" t="str">
        <f t="shared" si="37"/>
        <v>Low</v>
      </c>
      <c r="K812" t="s">
        <v>55</v>
      </c>
      <c r="L812">
        <v>14</v>
      </c>
      <c r="M812">
        <v>49</v>
      </c>
      <c r="N812" t="str">
        <f t="shared" si="38"/>
        <v>Medium Cost</v>
      </c>
      <c r="O812">
        <v>8.42</v>
      </c>
      <c r="P812" t="s">
        <v>43</v>
      </c>
      <c r="Q812" t="s">
        <v>58</v>
      </c>
      <c r="R812" t="s">
        <v>44</v>
      </c>
      <c r="S812" t="s">
        <v>720</v>
      </c>
      <c r="T812" t="s">
        <v>60</v>
      </c>
      <c r="U812">
        <v>83</v>
      </c>
      <c r="V812">
        <v>3.1</v>
      </c>
      <c r="W812" t="s">
        <v>47</v>
      </c>
      <c r="X812" t="s">
        <v>29</v>
      </c>
    </row>
    <row r="813" spans="1:24" x14ac:dyDescent="0.3">
      <c r="A813" t="s">
        <v>2090</v>
      </c>
      <c r="B813" t="s">
        <v>77</v>
      </c>
      <c r="C813" t="s">
        <v>78</v>
      </c>
      <c r="D813" t="str">
        <f t="shared" si="36"/>
        <v>Evening</v>
      </c>
      <c r="E813">
        <f>HOUR(EV_Data[[#This Row],[Charging Start Time]])</f>
        <v>19</v>
      </c>
      <c r="F813" s="1">
        <v>44960.791666666664</v>
      </c>
      <c r="G813" s="1">
        <v>44960.850694444453</v>
      </c>
      <c r="H813">
        <v>85</v>
      </c>
      <c r="I813">
        <v>26.59</v>
      </c>
      <c r="J813" t="str">
        <f t="shared" si="37"/>
        <v>Medium</v>
      </c>
      <c r="K813" t="s">
        <v>55</v>
      </c>
      <c r="L813">
        <v>31</v>
      </c>
      <c r="M813">
        <v>69</v>
      </c>
      <c r="N813" t="str">
        <f t="shared" si="38"/>
        <v>Medium Cost</v>
      </c>
      <c r="O813">
        <v>8.44</v>
      </c>
      <c r="P813" t="s">
        <v>51</v>
      </c>
      <c r="Q813" t="s">
        <v>34</v>
      </c>
      <c r="R813" t="s">
        <v>44</v>
      </c>
      <c r="S813" t="s">
        <v>721</v>
      </c>
      <c r="T813" t="s">
        <v>37</v>
      </c>
      <c r="U813">
        <v>86</v>
      </c>
      <c r="V813">
        <v>2.5</v>
      </c>
      <c r="W813" t="s">
        <v>47</v>
      </c>
      <c r="X813" t="s">
        <v>29</v>
      </c>
    </row>
    <row r="814" spans="1:24" x14ac:dyDescent="0.3">
      <c r="A814" t="s">
        <v>2091</v>
      </c>
      <c r="B814" t="s">
        <v>40</v>
      </c>
      <c r="C814" t="s">
        <v>41</v>
      </c>
      <c r="D814" t="str">
        <f t="shared" si="36"/>
        <v>Evening</v>
      </c>
      <c r="E814">
        <f>HOUR(EV_Data[[#This Row],[Charging Start Time]])</f>
        <v>20</v>
      </c>
      <c r="F814" s="1">
        <v>44960.833333333336</v>
      </c>
      <c r="G814" s="1">
        <v>44960.851388888892</v>
      </c>
      <c r="H814">
        <v>26</v>
      </c>
      <c r="I814">
        <v>5.18</v>
      </c>
      <c r="J814" t="str">
        <f t="shared" si="37"/>
        <v>Low</v>
      </c>
      <c r="K814" t="s">
        <v>55</v>
      </c>
      <c r="L814">
        <v>79</v>
      </c>
      <c r="M814">
        <v>100</v>
      </c>
      <c r="N814" t="str">
        <f t="shared" si="38"/>
        <v>Low Cost</v>
      </c>
      <c r="O814">
        <v>1.33</v>
      </c>
      <c r="P814" t="s">
        <v>64</v>
      </c>
      <c r="Q814" t="s">
        <v>34</v>
      </c>
      <c r="R814" t="s">
        <v>56</v>
      </c>
      <c r="S814" t="s">
        <v>350</v>
      </c>
      <c r="T814" t="s">
        <v>37</v>
      </c>
      <c r="U814">
        <v>29</v>
      </c>
      <c r="V814">
        <v>1.1000000000000001</v>
      </c>
      <c r="W814" t="s">
        <v>47</v>
      </c>
      <c r="X814" t="s">
        <v>29</v>
      </c>
    </row>
    <row r="815" spans="1:24" x14ac:dyDescent="0.3">
      <c r="A815" t="s">
        <v>2092</v>
      </c>
      <c r="B815" t="s">
        <v>71</v>
      </c>
      <c r="C815" t="s">
        <v>72</v>
      </c>
      <c r="D815" t="str">
        <f t="shared" si="36"/>
        <v>Evening</v>
      </c>
      <c r="E815">
        <f>HOUR(EV_Data[[#This Row],[Charging Start Time]])</f>
        <v>21</v>
      </c>
      <c r="F815" s="1">
        <v>44960.875</v>
      </c>
      <c r="G815" s="1">
        <v>44960.920138888891</v>
      </c>
      <c r="H815">
        <v>65</v>
      </c>
      <c r="I815">
        <v>33.47</v>
      </c>
      <c r="J815" t="str">
        <f t="shared" si="37"/>
        <v>Medium</v>
      </c>
      <c r="K815" t="s">
        <v>55</v>
      </c>
      <c r="L815">
        <v>25</v>
      </c>
      <c r="M815">
        <v>64</v>
      </c>
      <c r="N815" t="str">
        <f t="shared" si="38"/>
        <v>Medium Cost</v>
      </c>
      <c r="O815">
        <v>12.44</v>
      </c>
      <c r="P815" t="s">
        <v>64</v>
      </c>
      <c r="Q815" t="s">
        <v>48</v>
      </c>
      <c r="R815" t="s">
        <v>25</v>
      </c>
      <c r="S815" t="s">
        <v>211</v>
      </c>
      <c r="T815" t="s">
        <v>46</v>
      </c>
      <c r="U815">
        <v>8</v>
      </c>
      <c r="V815">
        <v>4.8</v>
      </c>
      <c r="W815" t="s">
        <v>47</v>
      </c>
      <c r="X815" t="s">
        <v>29</v>
      </c>
    </row>
    <row r="816" spans="1:24" x14ac:dyDescent="0.3">
      <c r="A816" t="s">
        <v>2093</v>
      </c>
      <c r="B816" t="s">
        <v>20</v>
      </c>
      <c r="C816" t="s">
        <v>21</v>
      </c>
      <c r="D816" t="str">
        <f t="shared" si="36"/>
        <v>Evening</v>
      </c>
      <c r="E816">
        <f>HOUR(EV_Data[[#This Row],[Charging Start Time]])</f>
        <v>22</v>
      </c>
      <c r="F816" s="1">
        <v>44960.916666666664</v>
      </c>
      <c r="G816" s="1">
        <v>44960.96597222222</v>
      </c>
      <c r="H816">
        <v>71</v>
      </c>
      <c r="I816">
        <v>7.7</v>
      </c>
      <c r="J816" t="str">
        <f t="shared" si="37"/>
        <v>Low</v>
      </c>
      <c r="K816" t="s">
        <v>69</v>
      </c>
      <c r="L816">
        <v>35</v>
      </c>
      <c r="M816">
        <v>75</v>
      </c>
      <c r="N816" t="str">
        <f t="shared" si="38"/>
        <v>Low Cost</v>
      </c>
      <c r="O816">
        <v>2.5299999999999998</v>
      </c>
      <c r="P816" t="s">
        <v>23</v>
      </c>
      <c r="Q816" t="s">
        <v>24</v>
      </c>
      <c r="R816" t="s">
        <v>56</v>
      </c>
      <c r="S816" t="s">
        <v>722</v>
      </c>
      <c r="T816" t="s">
        <v>27</v>
      </c>
      <c r="U816">
        <v>83</v>
      </c>
      <c r="V816">
        <v>2.9</v>
      </c>
      <c r="W816" t="s">
        <v>38</v>
      </c>
      <c r="X816" t="s">
        <v>83</v>
      </c>
    </row>
    <row r="817" spans="1:24" x14ac:dyDescent="0.3">
      <c r="A817" t="s">
        <v>2094</v>
      </c>
      <c r="B817" t="s">
        <v>40</v>
      </c>
      <c r="C817" t="s">
        <v>41</v>
      </c>
      <c r="D817" t="str">
        <f t="shared" si="36"/>
        <v>Evening</v>
      </c>
      <c r="E817">
        <f>HOUR(EV_Data[[#This Row],[Charging Start Time]])</f>
        <v>23</v>
      </c>
      <c r="F817" s="1">
        <v>44960.958333333336</v>
      </c>
      <c r="G817" s="1">
        <v>44961.022222222222</v>
      </c>
      <c r="H817">
        <v>92</v>
      </c>
      <c r="I817">
        <v>34.83</v>
      </c>
      <c r="J817" t="str">
        <f t="shared" si="37"/>
        <v>Medium</v>
      </c>
      <c r="K817" t="s">
        <v>55</v>
      </c>
      <c r="L817">
        <v>18</v>
      </c>
      <c r="M817">
        <v>44</v>
      </c>
      <c r="N817" t="str">
        <f t="shared" si="38"/>
        <v>High Cost</v>
      </c>
      <c r="O817">
        <v>17.170000000000002</v>
      </c>
      <c r="P817" t="s">
        <v>51</v>
      </c>
      <c r="Q817" t="s">
        <v>34</v>
      </c>
      <c r="R817" t="s">
        <v>56</v>
      </c>
      <c r="S817" t="s">
        <v>723</v>
      </c>
      <c r="T817" t="s">
        <v>27</v>
      </c>
      <c r="U817">
        <v>57</v>
      </c>
      <c r="V817">
        <v>3.6</v>
      </c>
      <c r="W817" t="s">
        <v>28</v>
      </c>
      <c r="X817" t="s">
        <v>68</v>
      </c>
    </row>
    <row r="818" spans="1:24" x14ac:dyDescent="0.3">
      <c r="A818" t="s">
        <v>2095</v>
      </c>
      <c r="B818" t="s">
        <v>71</v>
      </c>
      <c r="C818" t="s">
        <v>72</v>
      </c>
      <c r="D818" t="str">
        <f t="shared" si="36"/>
        <v>Morning</v>
      </c>
      <c r="E818">
        <f>HOUR(EV_Data[[#This Row],[Charging Start Time]])</f>
        <v>0</v>
      </c>
      <c r="F818" s="1">
        <v>44961</v>
      </c>
      <c r="G818" s="1">
        <v>44961.041666666657</v>
      </c>
      <c r="H818">
        <v>60</v>
      </c>
      <c r="I818">
        <v>17.16</v>
      </c>
      <c r="J818" t="str">
        <f t="shared" si="37"/>
        <v>Low</v>
      </c>
      <c r="K818" t="s">
        <v>55</v>
      </c>
      <c r="L818">
        <v>20</v>
      </c>
      <c r="M818">
        <v>58</v>
      </c>
      <c r="N818" t="str">
        <f t="shared" si="38"/>
        <v>Low Cost</v>
      </c>
      <c r="O818">
        <v>6</v>
      </c>
      <c r="P818" t="s">
        <v>43</v>
      </c>
      <c r="Q818" t="s">
        <v>48</v>
      </c>
      <c r="R818" t="s">
        <v>56</v>
      </c>
      <c r="S818" t="s">
        <v>724</v>
      </c>
      <c r="T818" t="s">
        <v>46</v>
      </c>
      <c r="U818">
        <v>70</v>
      </c>
      <c r="V818">
        <v>4</v>
      </c>
      <c r="W818" t="s">
        <v>47</v>
      </c>
      <c r="X818" t="s">
        <v>29</v>
      </c>
    </row>
    <row r="819" spans="1:24" x14ac:dyDescent="0.3">
      <c r="A819" t="s">
        <v>2096</v>
      </c>
      <c r="B819" t="s">
        <v>71</v>
      </c>
      <c r="C819" t="s">
        <v>72</v>
      </c>
      <c r="D819" t="str">
        <f t="shared" si="36"/>
        <v>Morning</v>
      </c>
      <c r="E819">
        <f>HOUR(EV_Data[[#This Row],[Charging Start Time]])</f>
        <v>1</v>
      </c>
      <c r="F819" s="1">
        <v>44961.041666666664</v>
      </c>
      <c r="G819" s="1">
        <v>44961.099305555559</v>
      </c>
      <c r="H819">
        <v>83</v>
      </c>
      <c r="I819">
        <v>31.35</v>
      </c>
      <c r="J819" t="str">
        <f t="shared" si="37"/>
        <v>Medium</v>
      </c>
      <c r="K819" t="s">
        <v>55</v>
      </c>
      <c r="L819">
        <v>8</v>
      </c>
      <c r="M819">
        <v>47</v>
      </c>
      <c r="N819" t="str">
        <f t="shared" si="38"/>
        <v>Medium Cost</v>
      </c>
      <c r="O819">
        <v>8.91</v>
      </c>
      <c r="P819" t="s">
        <v>51</v>
      </c>
      <c r="Q819" t="s">
        <v>48</v>
      </c>
      <c r="R819" t="s">
        <v>35</v>
      </c>
      <c r="S819" t="s">
        <v>484</v>
      </c>
      <c r="T819" t="s">
        <v>60</v>
      </c>
      <c r="U819">
        <v>5</v>
      </c>
      <c r="V819">
        <v>3</v>
      </c>
      <c r="W819" t="s">
        <v>28</v>
      </c>
      <c r="X819" t="s">
        <v>68</v>
      </c>
    </row>
    <row r="820" spans="1:24" x14ac:dyDescent="0.3">
      <c r="A820" t="s">
        <v>2097</v>
      </c>
      <c r="B820" t="s">
        <v>53</v>
      </c>
      <c r="C820" t="s">
        <v>54</v>
      </c>
      <c r="D820" t="str">
        <f t="shared" si="36"/>
        <v>Morning</v>
      </c>
      <c r="E820">
        <f>HOUR(EV_Data[[#This Row],[Charging Start Time]])</f>
        <v>2</v>
      </c>
      <c r="F820" s="1">
        <v>44961.083333333336</v>
      </c>
      <c r="G820" s="1">
        <v>44961.123611111107</v>
      </c>
      <c r="H820">
        <v>58</v>
      </c>
      <c r="I820">
        <v>15.56</v>
      </c>
      <c r="J820" t="str">
        <f t="shared" si="37"/>
        <v>Low</v>
      </c>
      <c r="K820" t="s">
        <v>22</v>
      </c>
      <c r="L820">
        <v>25</v>
      </c>
      <c r="M820">
        <v>35</v>
      </c>
      <c r="N820" t="str">
        <f t="shared" si="38"/>
        <v>Low Cost</v>
      </c>
      <c r="O820">
        <v>6.94</v>
      </c>
      <c r="P820" t="s">
        <v>64</v>
      </c>
      <c r="Q820" t="s">
        <v>34</v>
      </c>
      <c r="R820" t="s">
        <v>35</v>
      </c>
      <c r="S820" t="s">
        <v>725</v>
      </c>
      <c r="T820" t="s">
        <v>60</v>
      </c>
      <c r="U820">
        <v>22</v>
      </c>
      <c r="V820">
        <v>3.4</v>
      </c>
      <c r="W820" t="s">
        <v>28</v>
      </c>
      <c r="X820" t="s">
        <v>68</v>
      </c>
    </row>
    <row r="821" spans="1:24" x14ac:dyDescent="0.3">
      <c r="A821" t="s">
        <v>2098</v>
      </c>
      <c r="B821" t="s">
        <v>126</v>
      </c>
      <c r="C821" t="s">
        <v>31</v>
      </c>
      <c r="D821" t="str">
        <f t="shared" si="36"/>
        <v>Morning</v>
      </c>
      <c r="E821">
        <f>HOUR(EV_Data[[#This Row],[Charging Start Time]])</f>
        <v>3</v>
      </c>
      <c r="F821" s="1">
        <v>44961.125</v>
      </c>
      <c r="G821" s="1">
        <v>44961.17291666667</v>
      </c>
      <c r="H821">
        <v>69</v>
      </c>
      <c r="I821">
        <v>23.18</v>
      </c>
      <c r="J821" t="str">
        <f t="shared" si="37"/>
        <v>Medium</v>
      </c>
      <c r="K821" t="s">
        <v>32</v>
      </c>
      <c r="L821">
        <v>16</v>
      </c>
      <c r="M821">
        <v>47</v>
      </c>
      <c r="N821" t="str">
        <f t="shared" si="38"/>
        <v>Medium Cost</v>
      </c>
      <c r="O821">
        <v>10.75</v>
      </c>
      <c r="P821" t="s">
        <v>23</v>
      </c>
      <c r="Q821" t="s">
        <v>58</v>
      </c>
      <c r="R821" t="s">
        <v>25</v>
      </c>
      <c r="S821" t="s">
        <v>726</v>
      </c>
      <c r="T821" t="s">
        <v>37</v>
      </c>
      <c r="U821">
        <v>22</v>
      </c>
      <c r="V821">
        <v>1</v>
      </c>
      <c r="W821" t="s">
        <v>47</v>
      </c>
      <c r="X821" t="s">
        <v>29</v>
      </c>
    </row>
    <row r="822" spans="1:24" x14ac:dyDescent="0.3">
      <c r="A822" t="s">
        <v>2099</v>
      </c>
      <c r="B822" t="s">
        <v>30</v>
      </c>
      <c r="C822" t="s">
        <v>102</v>
      </c>
      <c r="D822" t="str">
        <f t="shared" si="36"/>
        <v>Morning</v>
      </c>
      <c r="E822">
        <f>HOUR(EV_Data[[#This Row],[Charging Start Time]])</f>
        <v>4</v>
      </c>
      <c r="F822" s="1">
        <v>44961.166666666664</v>
      </c>
      <c r="G822" s="1">
        <v>44961.202777777777</v>
      </c>
      <c r="H822">
        <v>52</v>
      </c>
      <c r="I822">
        <v>20.64</v>
      </c>
      <c r="J822" t="str">
        <f t="shared" si="37"/>
        <v>Medium</v>
      </c>
      <c r="K822" t="s">
        <v>42</v>
      </c>
      <c r="L822">
        <v>23</v>
      </c>
      <c r="M822">
        <v>50</v>
      </c>
      <c r="N822" t="str">
        <f t="shared" si="38"/>
        <v>Low Cost</v>
      </c>
      <c r="O822">
        <v>5.12</v>
      </c>
      <c r="P822" t="s">
        <v>51</v>
      </c>
      <c r="Q822" t="s">
        <v>24</v>
      </c>
      <c r="R822" t="s">
        <v>35</v>
      </c>
      <c r="S822" t="s">
        <v>727</v>
      </c>
      <c r="T822" t="s">
        <v>46</v>
      </c>
      <c r="U822">
        <v>76</v>
      </c>
      <c r="V822">
        <v>3.5</v>
      </c>
      <c r="W822" t="s">
        <v>28</v>
      </c>
      <c r="X822" t="s">
        <v>68</v>
      </c>
    </row>
    <row r="823" spans="1:24" x14ac:dyDescent="0.3">
      <c r="A823" t="s">
        <v>2100</v>
      </c>
      <c r="B823" t="s">
        <v>40</v>
      </c>
      <c r="C823" t="s">
        <v>41</v>
      </c>
      <c r="D823" t="str">
        <f t="shared" si="36"/>
        <v>Morning</v>
      </c>
      <c r="E823">
        <f>HOUR(EV_Data[[#This Row],[Charging Start Time]])</f>
        <v>5</v>
      </c>
      <c r="F823" s="1">
        <v>44961.208333333336</v>
      </c>
      <c r="G823" s="1">
        <v>44961.245138888888</v>
      </c>
      <c r="H823">
        <v>53</v>
      </c>
      <c r="I823">
        <v>11.74</v>
      </c>
      <c r="J823" t="str">
        <f t="shared" si="37"/>
        <v>Low</v>
      </c>
      <c r="K823" t="s">
        <v>32</v>
      </c>
      <c r="L823">
        <v>73</v>
      </c>
      <c r="M823">
        <v>92</v>
      </c>
      <c r="N823" t="str">
        <f t="shared" si="38"/>
        <v>Low Cost</v>
      </c>
      <c r="O823">
        <v>2.9</v>
      </c>
      <c r="P823" t="s">
        <v>51</v>
      </c>
      <c r="Q823" t="s">
        <v>58</v>
      </c>
      <c r="R823" t="s">
        <v>56</v>
      </c>
      <c r="S823" t="s">
        <v>728</v>
      </c>
      <c r="T823" t="s">
        <v>37</v>
      </c>
      <c r="U823">
        <v>37</v>
      </c>
      <c r="V823">
        <v>4</v>
      </c>
      <c r="W823" t="s">
        <v>38</v>
      </c>
      <c r="X823" t="s">
        <v>62</v>
      </c>
    </row>
    <row r="824" spans="1:24" x14ac:dyDescent="0.3">
      <c r="A824" t="s">
        <v>2101</v>
      </c>
      <c r="B824" t="s">
        <v>20</v>
      </c>
      <c r="C824" t="s">
        <v>21</v>
      </c>
      <c r="D824" t="str">
        <f t="shared" si="36"/>
        <v>Morning</v>
      </c>
      <c r="E824">
        <f>HOUR(EV_Data[[#This Row],[Charging Start Time]])</f>
        <v>6</v>
      </c>
      <c r="F824" s="1">
        <v>44961.25</v>
      </c>
      <c r="G824" s="1">
        <v>44961.288888888892</v>
      </c>
      <c r="H824">
        <v>56</v>
      </c>
      <c r="I824">
        <v>34.229999999999997</v>
      </c>
      <c r="J824" t="str">
        <f t="shared" si="37"/>
        <v>Medium</v>
      </c>
      <c r="K824" t="s">
        <v>22</v>
      </c>
      <c r="L824">
        <v>52</v>
      </c>
      <c r="M824">
        <v>71</v>
      </c>
      <c r="N824" t="str">
        <f t="shared" si="38"/>
        <v>Low Cost</v>
      </c>
      <c r="O824">
        <v>7.79</v>
      </c>
      <c r="P824" t="s">
        <v>33</v>
      </c>
      <c r="Q824" t="s">
        <v>48</v>
      </c>
      <c r="R824" t="s">
        <v>25</v>
      </c>
      <c r="S824" t="s">
        <v>729</v>
      </c>
      <c r="T824" t="s">
        <v>27</v>
      </c>
      <c r="U824">
        <v>22</v>
      </c>
      <c r="V824">
        <v>3.5</v>
      </c>
      <c r="W824" t="s">
        <v>38</v>
      </c>
      <c r="X824" t="s">
        <v>62</v>
      </c>
    </row>
    <row r="825" spans="1:24" x14ac:dyDescent="0.3">
      <c r="A825" t="s">
        <v>2102</v>
      </c>
      <c r="B825" t="s">
        <v>20</v>
      </c>
      <c r="C825" t="s">
        <v>21</v>
      </c>
      <c r="D825" t="str">
        <f t="shared" si="36"/>
        <v>Morning</v>
      </c>
      <c r="E825">
        <f>HOUR(EV_Data[[#This Row],[Charging Start Time]])</f>
        <v>7</v>
      </c>
      <c r="F825" s="1">
        <v>44961.291666666664</v>
      </c>
      <c r="G825" s="1">
        <v>44961.322222222218</v>
      </c>
      <c r="H825">
        <v>44</v>
      </c>
      <c r="I825">
        <v>10.94</v>
      </c>
      <c r="J825" t="str">
        <f t="shared" si="37"/>
        <v>Low</v>
      </c>
      <c r="K825" t="s">
        <v>69</v>
      </c>
      <c r="L825">
        <v>23</v>
      </c>
      <c r="M825">
        <v>44</v>
      </c>
      <c r="N825" t="str">
        <f t="shared" si="38"/>
        <v>Low Cost</v>
      </c>
      <c r="O825">
        <v>3.52</v>
      </c>
      <c r="P825" t="s">
        <v>43</v>
      </c>
      <c r="Q825" t="s">
        <v>48</v>
      </c>
      <c r="R825" t="s">
        <v>35</v>
      </c>
      <c r="S825" t="s">
        <v>649</v>
      </c>
      <c r="T825" t="s">
        <v>46</v>
      </c>
      <c r="U825">
        <v>29</v>
      </c>
      <c r="V825">
        <v>4.0999999999999996</v>
      </c>
      <c r="W825" t="s">
        <v>38</v>
      </c>
      <c r="X825" t="s">
        <v>85</v>
      </c>
    </row>
    <row r="826" spans="1:24" x14ac:dyDescent="0.3">
      <c r="A826" t="s">
        <v>2103</v>
      </c>
      <c r="B826" t="s">
        <v>71</v>
      </c>
      <c r="C826" t="s">
        <v>72</v>
      </c>
      <c r="D826" t="str">
        <f t="shared" si="36"/>
        <v>Morning</v>
      </c>
      <c r="E826">
        <f>HOUR(EV_Data[[#This Row],[Charging Start Time]])</f>
        <v>8</v>
      </c>
      <c r="F826" s="1">
        <v>44961.333333333336</v>
      </c>
      <c r="G826" s="1">
        <v>44961.380555555559</v>
      </c>
      <c r="H826">
        <v>68</v>
      </c>
      <c r="I826">
        <v>15.47</v>
      </c>
      <c r="J826" t="str">
        <f t="shared" si="37"/>
        <v>Low</v>
      </c>
      <c r="K826" t="s">
        <v>32</v>
      </c>
      <c r="L826">
        <v>9</v>
      </c>
      <c r="M826">
        <v>38</v>
      </c>
      <c r="N826" t="str">
        <f t="shared" si="38"/>
        <v>Low Cost</v>
      </c>
      <c r="O826">
        <v>7.4</v>
      </c>
      <c r="P826" t="s">
        <v>51</v>
      </c>
      <c r="Q826" t="s">
        <v>58</v>
      </c>
      <c r="R826" t="s">
        <v>25</v>
      </c>
      <c r="S826" t="s">
        <v>730</v>
      </c>
      <c r="T826" t="s">
        <v>60</v>
      </c>
      <c r="U826">
        <v>28</v>
      </c>
      <c r="V826">
        <v>3.7</v>
      </c>
      <c r="W826" t="s">
        <v>28</v>
      </c>
      <c r="X826" t="s">
        <v>68</v>
      </c>
    </row>
    <row r="827" spans="1:24" x14ac:dyDescent="0.3">
      <c r="A827" t="s">
        <v>2104</v>
      </c>
      <c r="B827" t="s">
        <v>71</v>
      </c>
      <c r="C827" t="s">
        <v>72</v>
      </c>
      <c r="D827" t="str">
        <f t="shared" si="36"/>
        <v>Morning</v>
      </c>
      <c r="E827">
        <f>HOUR(EV_Data[[#This Row],[Charging Start Time]])</f>
        <v>9</v>
      </c>
      <c r="F827" s="1">
        <v>44961.375</v>
      </c>
      <c r="G827" s="1">
        <v>44961.428472222222</v>
      </c>
      <c r="H827">
        <v>77</v>
      </c>
      <c r="I827">
        <v>27.33</v>
      </c>
      <c r="J827" t="str">
        <f t="shared" si="37"/>
        <v>Medium</v>
      </c>
      <c r="K827" t="s">
        <v>42</v>
      </c>
      <c r="L827">
        <v>7</v>
      </c>
      <c r="M827">
        <v>29</v>
      </c>
      <c r="N827" t="str">
        <f t="shared" si="38"/>
        <v>Medium Cost</v>
      </c>
      <c r="O827">
        <v>12.42</v>
      </c>
      <c r="P827" t="s">
        <v>51</v>
      </c>
      <c r="Q827" t="s">
        <v>24</v>
      </c>
      <c r="R827" t="s">
        <v>35</v>
      </c>
      <c r="S827" t="s">
        <v>731</v>
      </c>
      <c r="T827" t="s">
        <v>46</v>
      </c>
      <c r="U827">
        <v>77</v>
      </c>
      <c r="V827">
        <v>2.4</v>
      </c>
      <c r="W827" t="s">
        <v>28</v>
      </c>
      <c r="X827" t="s">
        <v>68</v>
      </c>
    </row>
    <row r="828" spans="1:24" x14ac:dyDescent="0.3">
      <c r="A828" t="s">
        <v>2105</v>
      </c>
      <c r="B828" t="s">
        <v>20</v>
      </c>
      <c r="C828" t="s">
        <v>21</v>
      </c>
      <c r="D828" t="str">
        <f t="shared" si="36"/>
        <v>Morning</v>
      </c>
      <c r="E828">
        <f>HOUR(EV_Data[[#This Row],[Charging Start Time]])</f>
        <v>10</v>
      </c>
      <c r="F828" s="1">
        <v>44961.416666666664</v>
      </c>
      <c r="G828" s="1">
        <v>44961.456250000003</v>
      </c>
      <c r="H828">
        <v>57</v>
      </c>
      <c r="I828">
        <v>48.25</v>
      </c>
      <c r="J828" t="str">
        <f t="shared" si="37"/>
        <v>Medium</v>
      </c>
      <c r="K828" t="s">
        <v>42</v>
      </c>
      <c r="L828">
        <v>48</v>
      </c>
      <c r="M828">
        <v>83</v>
      </c>
      <c r="N828" t="str">
        <f t="shared" si="38"/>
        <v>Medium Cost</v>
      </c>
      <c r="O828">
        <v>13.04</v>
      </c>
      <c r="P828" t="s">
        <v>33</v>
      </c>
      <c r="Q828" t="s">
        <v>34</v>
      </c>
      <c r="R828" t="s">
        <v>44</v>
      </c>
      <c r="S828" t="s">
        <v>159</v>
      </c>
      <c r="T828" t="s">
        <v>37</v>
      </c>
      <c r="U828">
        <v>42</v>
      </c>
      <c r="V828">
        <v>1.6</v>
      </c>
      <c r="W828" t="s">
        <v>38</v>
      </c>
      <c r="X828" t="s">
        <v>83</v>
      </c>
    </row>
    <row r="829" spans="1:24" x14ac:dyDescent="0.3">
      <c r="A829" t="s">
        <v>2106</v>
      </c>
      <c r="B829" t="s">
        <v>77</v>
      </c>
      <c r="C829" t="s">
        <v>78</v>
      </c>
      <c r="D829" t="str">
        <f t="shared" si="36"/>
        <v>Morning</v>
      </c>
      <c r="E829">
        <f>HOUR(EV_Data[[#This Row],[Charging Start Time]])</f>
        <v>11</v>
      </c>
      <c r="F829" s="1">
        <v>44961.458333333336</v>
      </c>
      <c r="G829" s="1">
        <v>44961.495138888888</v>
      </c>
      <c r="H829">
        <v>53</v>
      </c>
      <c r="I829">
        <v>24.5</v>
      </c>
      <c r="J829" t="str">
        <f t="shared" si="37"/>
        <v>Medium</v>
      </c>
      <c r="K829" t="s">
        <v>69</v>
      </c>
      <c r="L829">
        <v>77</v>
      </c>
      <c r="M829">
        <v>100</v>
      </c>
      <c r="N829" t="str">
        <f t="shared" si="38"/>
        <v>Medium Cost</v>
      </c>
      <c r="O829">
        <v>11.56</v>
      </c>
      <c r="P829" t="s">
        <v>33</v>
      </c>
      <c r="Q829" t="s">
        <v>34</v>
      </c>
      <c r="R829" t="s">
        <v>25</v>
      </c>
      <c r="S829" t="s">
        <v>732</v>
      </c>
      <c r="T829" t="s">
        <v>46</v>
      </c>
      <c r="U829">
        <v>59</v>
      </c>
      <c r="V829">
        <v>3.2</v>
      </c>
      <c r="W829" t="s">
        <v>38</v>
      </c>
      <c r="X829" t="s">
        <v>39</v>
      </c>
    </row>
    <row r="830" spans="1:24" x14ac:dyDescent="0.3">
      <c r="A830" t="s">
        <v>2107</v>
      </c>
      <c r="B830" t="s">
        <v>20</v>
      </c>
      <c r="C830" t="s">
        <v>21</v>
      </c>
      <c r="D830" t="str">
        <f t="shared" si="36"/>
        <v>Afternoon</v>
      </c>
      <c r="E830">
        <f>HOUR(EV_Data[[#This Row],[Charging Start Time]])</f>
        <v>12</v>
      </c>
      <c r="F830" s="1">
        <v>44961.5</v>
      </c>
      <c r="G830" s="1">
        <v>44961.515277777777</v>
      </c>
      <c r="H830">
        <v>22</v>
      </c>
      <c r="I830">
        <v>26.83</v>
      </c>
      <c r="J830" t="str">
        <f t="shared" si="37"/>
        <v>Medium</v>
      </c>
      <c r="K830" t="s">
        <v>22</v>
      </c>
      <c r="L830">
        <v>40</v>
      </c>
      <c r="M830">
        <v>68</v>
      </c>
      <c r="N830" t="str">
        <f t="shared" si="38"/>
        <v>Medium Cost</v>
      </c>
      <c r="O830">
        <v>10.18</v>
      </c>
      <c r="P830" t="s">
        <v>33</v>
      </c>
      <c r="Q830" t="s">
        <v>24</v>
      </c>
      <c r="R830" t="s">
        <v>35</v>
      </c>
      <c r="S830" t="s">
        <v>454</v>
      </c>
      <c r="T830" t="s">
        <v>27</v>
      </c>
      <c r="U830">
        <v>52</v>
      </c>
      <c r="V830">
        <v>2.6</v>
      </c>
      <c r="W830" t="s">
        <v>28</v>
      </c>
      <c r="X830" t="s">
        <v>68</v>
      </c>
    </row>
    <row r="831" spans="1:24" x14ac:dyDescent="0.3">
      <c r="A831" t="s">
        <v>2108</v>
      </c>
      <c r="B831" t="s">
        <v>77</v>
      </c>
      <c r="C831" t="s">
        <v>78</v>
      </c>
      <c r="D831" t="str">
        <f t="shared" si="36"/>
        <v>Afternoon</v>
      </c>
      <c r="E831">
        <f>HOUR(EV_Data[[#This Row],[Charging Start Time]])</f>
        <v>13</v>
      </c>
      <c r="F831" s="1">
        <v>44961.541666666664</v>
      </c>
      <c r="G831" s="1">
        <v>44961.602083333331</v>
      </c>
      <c r="H831">
        <v>87</v>
      </c>
      <c r="I831">
        <v>25.9</v>
      </c>
      <c r="J831" t="str">
        <f t="shared" si="37"/>
        <v>Medium</v>
      </c>
      <c r="K831" t="s">
        <v>32</v>
      </c>
      <c r="L831">
        <v>31</v>
      </c>
      <c r="M831">
        <v>67</v>
      </c>
      <c r="N831" t="str">
        <f t="shared" si="38"/>
        <v>Medium Cost</v>
      </c>
      <c r="O831">
        <v>11.95</v>
      </c>
      <c r="P831" t="s">
        <v>23</v>
      </c>
      <c r="Q831" t="s">
        <v>34</v>
      </c>
      <c r="R831" t="s">
        <v>44</v>
      </c>
      <c r="S831" t="s">
        <v>733</v>
      </c>
      <c r="T831" t="s">
        <v>37</v>
      </c>
      <c r="U831">
        <v>15</v>
      </c>
      <c r="V831">
        <v>2.6</v>
      </c>
      <c r="W831" t="s">
        <v>47</v>
      </c>
      <c r="X831" t="s">
        <v>29</v>
      </c>
    </row>
    <row r="832" spans="1:24" x14ac:dyDescent="0.3">
      <c r="A832" t="s">
        <v>2109</v>
      </c>
      <c r="B832" t="s">
        <v>53</v>
      </c>
      <c r="C832" t="s">
        <v>54</v>
      </c>
      <c r="D832" t="str">
        <f t="shared" si="36"/>
        <v>Afternoon</v>
      </c>
      <c r="E832">
        <f>HOUR(EV_Data[[#This Row],[Charging Start Time]])</f>
        <v>14</v>
      </c>
      <c r="F832" s="1">
        <v>44961.583333333336</v>
      </c>
      <c r="G832" s="1">
        <v>44961.584027777782</v>
      </c>
      <c r="H832">
        <v>1</v>
      </c>
      <c r="I832">
        <v>45.23</v>
      </c>
      <c r="J832" t="str">
        <f t="shared" si="37"/>
        <v>Medium</v>
      </c>
      <c r="K832" t="s">
        <v>69</v>
      </c>
      <c r="L832">
        <v>17</v>
      </c>
      <c r="M832">
        <v>43</v>
      </c>
      <c r="N832" t="str">
        <f t="shared" si="38"/>
        <v>Medium Cost</v>
      </c>
      <c r="O832">
        <v>14.96</v>
      </c>
      <c r="P832" t="s">
        <v>64</v>
      </c>
      <c r="Q832" t="s">
        <v>48</v>
      </c>
      <c r="R832" t="s">
        <v>35</v>
      </c>
      <c r="S832" t="s">
        <v>144</v>
      </c>
      <c r="T832" t="s">
        <v>46</v>
      </c>
      <c r="U832">
        <v>9</v>
      </c>
      <c r="V832">
        <v>2.8</v>
      </c>
      <c r="W832" t="s">
        <v>47</v>
      </c>
      <c r="X832" t="s">
        <v>29</v>
      </c>
    </row>
    <row r="833" spans="1:24" x14ac:dyDescent="0.3">
      <c r="A833" t="s">
        <v>2110</v>
      </c>
      <c r="B833" t="s">
        <v>92</v>
      </c>
      <c r="C833" t="s">
        <v>93</v>
      </c>
      <c r="D833" t="str">
        <f t="shared" si="36"/>
        <v>Afternoon</v>
      </c>
      <c r="E833">
        <f>HOUR(EV_Data[[#This Row],[Charging Start Time]])</f>
        <v>15</v>
      </c>
      <c r="F833" s="1">
        <v>44961.625</v>
      </c>
      <c r="G833" s="1">
        <v>44961.67291666667</v>
      </c>
      <c r="H833">
        <v>69</v>
      </c>
      <c r="I833">
        <v>36.979999999999997</v>
      </c>
      <c r="J833" t="str">
        <f t="shared" si="37"/>
        <v>Medium</v>
      </c>
      <c r="K833" t="s">
        <v>42</v>
      </c>
      <c r="L833">
        <v>8</v>
      </c>
      <c r="M833">
        <v>38</v>
      </c>
      <c r="N833" t="str">
        <f t="shared" si="38"/>
        <v>Medium Cost</v>
      </c>
      <c r="O833">
        <v>8.64</v>
      </c>
      <c r="P833" t="s">
        <v>43</v>
      </c>
      <c r="Q833" t="s">
        <v>48</v>
      </c>
      <c r="R833" t="s">
        <v>44</v>
      </c>
      <c r="S833" t="s">
        <v>558</v>
      </c>
      <c r="T833" t="s">
        <v>27</v>
      </c>
      <c r="U833">
        <v>36</v>
      </c>
      <c r="V833">
        <v>1.6</v>
      </c>
      <c r="W833" t="s">
        <v>47</v>
      </c>
      <c r="X833" t="s">
        <v>29</v>
      </c>
    </row>
    <row r="834" spans="1:24" x14ac:dyDescent="0.3">
      <c r="A834" t="s">
        <v>2111</v>
      </c>
      <c r="B834" t="s">
        <v>77</v>
      </c>
      <c r="C834" t="s">
        <v>78</v>
      </c>
      <c r="D834" t="str">
        <f t="shared" ref="D834:D897" si="39">IF(E834&lt;12,"Morning",IF(E834&lt;17,"Afternoon","Evening"))</f>
        <v>Afternoon</v>
      </c>
      <c r="E834">
        <f>HOUR(EV_Data[[#This Row],[Charging Start Time]])</f>
        <v>16</v>
      </c>
      <c r="F834" s="1">
        <v>44961.666666666664</v>
      </c>
      <c r="G834" s="1">
        <v>44961.69027777778</v>
      </c>
      <c r="H834">
        <v>34</v>
      </c>
      <c r="I834">
        <v>23.33</v>
      </c>
      <c r="J834" t="str">
        <f t="shared" ref="J834:J897" si="40">IF(I834&lt;20,"Low",IF(I834&lt;50,"Medium","High"))</f>
        <v>Medium</v>
      </c>
      <c r="K834" t="s">
        <v>32</v>
      </c>
      <c r="L834">
        <v>19</v>
      </c>
      <c r="M834">
        <v>49</v>
      </c>
      <c r="N834" t="str">
        <f t="shared" ref="N834:N897" si="41">IF(O834&lt;8,"Low Cost",IF(O834&lt;17,"Medium Cost","High Cost"))</f>
        <v>Medium Cost</v>
      </c>
      <c r="O834">
        <v>11.16</v>
      </c>
      <c r="P834" t="s">
        <v>23</v>
      </c>
      <c r="Q834" t="s">
        <v>48</v>
      </c>
      <c r="R834" t="s">
        <v>44</v>
      </c>
      <c r="S834" t="s">
        <v>734</v>
      </c>
      <c r="T834" t="s">
        <v>37</v>
      </c>
      <c r="U834">
        <v>70</v>
      </c>
      <c r="V834">
        <v>1.2</v>
      </c>
      <c r="W834" t="s">
        <v>38</v>
      </c>
      <c r="X834" t="s">
        <v>83</v>
      </c>
    </row>
    <row r="835" spans="1:24" x14ac:dyDescent="0.3">
      <c r="A835" t="s">
        <v>2112</v>
      </c>
      <c r="B835" t="s">
        <v>53</v>
      </c>
      <c r="C835" t="s">
        <v>54</v>
      </c>
      <c r="D835" t="str">
        <f t="shared" si="39"/>
        <v>Evening</v>
      </c>
      <c r="E835">
        <f>HOUR(EV_Data[[#This Row],[Charging Start Time]])</f>
        <v>17</v>
      </c>
      <c r="F835" s="1">
        <v>44961.708333333336</v>
      </c>
      <c r="G835" s="1">
        <v>44961.728472222218</v>
      </c>
      <c r="H835">
        <v>29</v>
      </c>
      <c r="I835">
        <v>33.96</v>
      </c>
      <c r="J835" t="str">
        <f t="shared" si="40"/>
        <v>Medium</v>
      </c>
      <c r="K835" t="s">
        <v>22</v>
      </c>
      <c r="L835">
        <v>5</v>
      </c>
      <c r="M835">
        <v>33</v>
      </c>
      <c r="N835" t="str">
        <f t="shared" si="41"/>
        <v>Medium Cost</v>
      </c>
      <c r="O835">
        <v>11.72</v>
      </c>
      <c r="P835" t="s">
        <v>51</v>
      </c>
      <c r="Q835" t="s">
        <v>34</v>
      </c>
      <c r="R835" t="s">
        <v>25</v>
      </c>
      <c r="S835" t="s">
        <v>735</v>
      </c>
      <c r="T835" t="s">
        <v>60</v>
      </c>
      <c r="U835">
        <v>0</v>
      </c>
      <c r="V835">
        <v>3.1</v>
      </c>
      <c r="W835" t="s">
        <v>47</v>
      </c>
      <c r="X835" t="s">
        <v>29</v>
      </c>
    </row>
    <row r="836" spans="1:24" x14ac:dyDescent="0.3">
      <c r="A836" t="s">
        <v>2113</v>
      </c>
      <c r="B836" t="s">
        <v>126</v>
      </c>
      <c r="C836" t="s">
        <v>31</v>
      </c>
      <c r="D836" t="str">
        <f t="shared" si="39"/>
        <v>Evening</v>
      </c>
      <c r="E836">
        <f>HOUR(EV_Data[[#This Row],[Charging Start Time]])</f>
        <v>18</v>
      </c>
      <c r="F836" s="1">
        <v>44961.75</v>
      </c>
      <c r="G836" s="1">
        <v>44961.768055555563</v>
      </c>
      <c r="H836">
        <v>26</v>
      </c>
      <c r="I836">
        <v>8.48</v>
      </c>
      <c r="J836" t="str">
        <f t="shared" si="40"/>
        <v>Low</v>
      </c>
      <c r="K836" t="s">
        <v>22</v>
      </c>
      <c r="L836">
        <v>74</v>
      </c>
      <c r="M836">
        <v>100</v>
      </c>
      <c r="N836" t="str">
        <f t="shared" si="41"/>
        <v>Low Cost</v>
      </c>
      <c r="O836">
        <v>3.03</v>
      </c>
      <c r="P836" t="s">
        <v>43</v>
      </c>
      <c r="Q836" t="s">
        <v>58</v>
      </c>
      <c r="R836" t="s">
        <v>56</v>
      </c>
      <c r="S836" t="s">
        <v>463</v>
      </c>
      <c r="T836" t="s">
        <v>46</v>
      </c>
      <c r="U836">
        <v>48</v>
      </c>
      <c r="V836">
        <v>3.5</v>
      </c>
      <c r="W836" t="s">
        <v>28</v>
      </c>
      <c r="X836" t="s">
        <v>68</v>
      </c>
    </row>
    <row r="837" spans="1:24" x14ac:dyDescent="0.3">
      <c r="A837" t="s">
        <v>2114</v>
      </c>
      <c r="B837" t="s">
        <v>126</v>
      </c>
      <c r="C837" t="s">
        <v>31</v>
      </c>
      <c r="D837" t="str">
        <f t="shared" si="39"/>
        <v>Evening</v>
      </c>
      <c r="E837">
        <f>HOUR(EV_Data[[#This Row],[Charging Start Time]])</f>
        <v>19</v>
      </c>
      <c r="F837" s="1">
        <v>44961.791666666664</v>
      </c>
      <c r="G837" s="1">
        <v>44961.820833333331</v>
      </c>
      <c r="H837">
        <v>42</v>
      </c>
      <c r="I837">
        <v>23.95</v>
      </c>
      <c r="J837" t="str">
        <f t="shared" si="40"/>
        <v>Medium</v>
      </c>
      <c r="K837" t="s">
        <v>22</v>
      </c>
      <c r="L837">
        <v>55</v>
      </c>
      <c r="M837">
        <v>80</v>
      </c>
      <c r="N837" t="str">
        <f t="shared" si="41"/>
        <v>Low Cost</v>
      </c>
      <c r="O837">
        <v>7.63</v>
      </c>
      <c r="P837" t="s">
        <v>51</v>
      </c>
      <c r="Q837" t="s">
        <v>34</v>
      </c>
      <c r="R837" t="s">
        <v>35</v>
      </c>
      <c r="S837" t="s">
        <v>399</v>
      </c>
      <c r="T837" t="s">
        <v>37</v>
      </c>
      <c r="U837">
        <v>79</v>
      </c>
      <c r="V837">
        <v>4.5999999999999996</v>
      </c>
      <c r="W837" t="s">
        <v>38</v>
      </c>
      <c r="X837" t="s">
        <v>39</v>
      </c>
    </row>
    <row r="838" spans="1:24" x14ac:dyDescent="0.3">
      <c r="A838" t="s">
        <v>2115</v>
      </c>
      <c r="B838" t="s">
        <v>40</v>
      </c>
      <c r="C838" t="s">
        <v>41</v>
      </c>
      <c r="D838" t="str">
        <f t="shared" si="39"/>
        <v>Evening</v>
      </c>
      <c r="E838">
        <f>HOUR(EV_Data[[#This Row],[Charging Start Time]])</f>
        <v>20</v>
      </c>
      <c r="F838" s="1">
        <v>44961.833333333336</v>
      </c>
      <c r="G838" s="1">
        <v>44961.859722222223</v>
      </c>
      <c r="H838">
        <v>38</v>
      </c>
      <c r="I838">
        <v>23.49</v>
      </c>
      <c r="J838" t="str">
        <f t="shared" si="40"/>
        <v>Medium</v>
      </c>
      <c r="K838" t="s">
        <v>50</v>
      </c>
      <c r="L838">
        <v>43</v>
      </c>
      <c r="M838">
        <v>66</v>
      </c>
      <c r="N838" t="str">
        <f t="shared" si="41"/>
        <v>Medium Cost</v>
      </c>
      <c r="O838">
        <v>9.76</v>
      </c>
      <c r="P838" t="s">
        <v>64</v>
      </c>
      <c r="Q838" t="s">
        <v>24</v>
      </c>
      <c r="R838" t="s">
        <v>35</v>
      </c>
      <c r="S838" t="s">
        <v>736</v>
      </c>
      <c r="T838" t="s">
        <v>37</v>
      </c>
      <c r="U838">
        <v>3</v>
      </c>
      <c r="V838">
        <v>4.7</v>
      </c>
      <c r="W838" t="s">
        <v>47</v>
      </c>
      <c r="X838" t="s">
        <v>29</v>
      </c>
    </row>
    <row r="839" spans="1:24" x14ac:dyDescent="0.3">
      <c r="A839" t="s">
        <v>2116</v>
      </c>
      <c r="B839" t="s">
        <v>92</v>
      </c>
      <c r="C839" t="s">
        <v>93</v>
      </c>
      <c r="D839" t="str">
        <f t="shared" si="39"/>
        <v>Evening</v>
      </c>
      <c r="E839">
        <f>HOUR(EV_Data[[#This Row],[Charging Start Time]])</f>
        <v>21</v>
      </c>
      <c r="F839" s="1">
        <v>44961.875</v>
      </c>
      <c r="G839" s="1">
        <v>44961.930555555547</v>
      </c>
      <c r="H839">
        <v>80</v>
      </c>
      <c r="I839">
        <v>23.64</v>
      </c>
      <c r="J839" t="str">
        <f t="shared" si="40"/>
        <v>Medium</v>
      </c>
      <c r="K839" t="s">
        <v>50</v>
      </c>
      <c r="L839">
        <v>17</v>
      </c>
      <c r="M839">
        <v>51</v>
      </c>
      <c r="N839" t="str">
        <f t="shared" si="41"/>
        <v>Low Cost</v>
      </c>
      <c r="O839">
        <v>5.74</v>
      </c>
      <c r="P839" t="s">
        <v>64</v>
      </c>
      <c r="Q839" t="s">
        <v>24</v>
      </c>
      <c r="R839" t="s">
        <v>25</v>
      </c>
      <c r="S839" t="s">
        <v>540</v>
      </c>
      <c r="T839" t="s">
        <v>37</v>
      </c>
      <c r="U839">
        <v>26</v>
      </c>
      <c r="V839">
        <v>3.6</v>
      </c>
      <c r="W839" t="s">
        <v>38</v>
      </c>
      <c r="X839" t="s">
        <v>39</v>
      </c>
    </row>
    <row r="840" spans="1:24" x14ac:dyDescent="0.3">
      <c r="A840" t="s">
        <v>2117</v>
      </c>
      <c r="B840" t="s">
        <v>77</v>
      </c>
      <c r="C840" t="s">
        <v>78</v>
      </c>
      <c r="D840" t="str">
        <f t="shared" si="39"/>
        <v>Evening</v>
      </c>
      <c r="E840">
        <f>HOUR(EV_Data[[#This Row],[Charging Start Time]])</f>
        <v>22</v>
      </c>
      <c r="F840" s="1">
        <v>44961.916666666664</v>
      </c>
      <c r="G840" s="1">
        <v>44961.936111111107</v>
      </c>
      <c r="H840">
        <v>28</v>
      </c>
      <c r="I840">
        <v>6.4</v>
      </c>
      <c r="J840" t="str">
        <f t="shared" si="40"/>
        <v>Low</v>
      </c>
      <c r="K840" t="s">
        <v>42</v>
      </c>
      <c r="L840">
        <v>56</v>
      </c>
      <c r="M840">
        <v>74</v>
      </c>
      <c r="N840" t="str">
        <f t="shared" si="41"/>
        <v>Low Cost</v>
      </c>
      <c r="O840">
        <v>1.34</v>
      </c>
      <c r="P840" t="s">
        <v>64</v>
      </c>
      <c r="Q840" t="s">
        <v>34</v>
      </c>
      <c r="R840" t="s">
        <v>56</v>
      </c>
      <c r="S840" t="s">
        <v>737</v>
      </c>
      <c r="T840" t="s">
        <v>60</v>
      </c>
      <c r="U840">
        <v>11</v>
      </c>
      <c r="V840">
        <v>3.3</v>
      </c>
      <c r="W840" t="s">
        <v>38</v>
      </c>
      <c r="X840" t="s">
        <v>62</v>
      </c>
    </row>
    <row r="841" spans="1:24" x14ac:dyDescent="0.3">
      <c r="A841" t="s">
        <v>2118</v>
      </c>
      <c r="B841" t="s">
        <v>92</v>
      </c>
      <c r="C841" t="s">
        <v>93</v>
      </c>
      <c r="D841" t="str">
        <f t="shared" si="39"/>
        <v>Evening</v>
      </c>
      <c r="E841">
        <f>HOUR(EV_Data[[#This Row],[Charging Start Time]])</f>
        <v>23</v>
      </c>
      <c r="F841" s="1">
        <v>44961.958333333336</v>
      </c>
      <c r="G841" s="1">
        <v>44961.995833333327</v>
      </c>
      <c r="H841">
        <v>54</v>
      </c>
      <c r="I841">
        <v>47.84</v>
      </c>
      <c r="J841" t="str">
        <f t="shared" si="40"/>
        <v>Medium</v>
      </c>
      <c r="K841" t="s">
        <v>22</v>
      </c>
      <c r="L841">
        <v>46</v>
      </c>
      <c r="M841">
        <v>75</v>
      </c>
      <c r="N841" t="str">
        <f t="shared" si="41"/>
        <v>High Cost</v>
      </c>
      <c r="O841">
        <v>23.62</v>
      </c>
      <c r="P841" t="s">
        <v>64</v>
      </c>
      <c r="Q841" t="s">
        <v>24</v>
      </c>
      <c r="R841" t="s">
        <v>44</v>
      </c>
      <c r="S841" t="s">
        <v>98</v>
      </c>
      <c r="T841" t="s">
        <v>60</v>
      </c>
      <c r="U841">
        <v>34</v>
      </c>
      <c r="V841">
        <v>4.8</v>
      </c>
      <c r="W841" t="s">
        <v>38</v>
      </c>
    </row>
    <row r="842" spans="1:24" x14ac:dyDescent="0.3">
      <c r="A842" t="s">
        <v>2119</v>
      </c>
      <c r="B842" t="s">
        <v>71</v>
      </c>
      <c r="C842" t="s">
        <v>72</v>
      </c>
      <c r="D842" t="str">
        <f t="shared" si="39"/>
        <v>Morning</v>
      </c>
      <c r="E842">
        <f>HOUR(EV_Data[[#This Row],[Charging Start Time]])</f>
        <v>0</v>
      </c>
      <c r="F842" s="1">
        <v>44962</v>
      </c>
      <c r="G842" s="1">
        <v>44962.049305555563</v>
      </c>
      <c r="H842">
        <v>71</v>
      </c>
      <c r="I842">
        <v>12.33</v>
      </c>
      <c r="J842" t="str">
        <f t="shared" si="40"/>
        <v>Low</v>
      </c>
      <c r="K842" t="s">
        <v>22</v>
      </c>
      <c r="L842">
        <v>31</v>
      </c>
      <c r="M842">
        <v>47</v>
      </c>
      <c r="N842" t="str">
        <f t="shared" si="41"/>
        <v>Low Cost</v>
      </c>
      <c r="O842">
        <v>2.82</v>
      </c>
      <c r="P842" t="s">
        <v>43</v>
      </c>
      <c r="Q842" t="s">
        <v>24</v>
      </c>
      <c r="R842" t="s">
        <v>25</v>
      </c>
      <c r="S842" t="s">
        <v>738</v>
      </c>
      <c r="T842" t="s">
        <v>27</v>
      </c>
      <c r="U842">
        <v>46</v>
      </c>
      <c r="V842">
        <v>2.6</v>
      </c>
      <c r="W842" t="s">
        <v>28</v>
      </c>
      <c r="X842" t="s">
        <v>68</v>
      </c>
    </row>
    <row r="843" spans="1:24" x14ac:dyDescent="0.3">
      <c r="A843" t="s">
        <v>2120</v>
      </c>
      <c r="B843" t="s">
        <v>77</v>
      </c>
      <c r="C843" t="s">
        <v>78</v>
      </c>
      <c r="D843" t="str">
        <f t="shared" si="39"/>
        <v>Morning</v>
      </c>
      <c r="E843">
        <f>HOUR(EV_Data[[#This Row],[Charging Start Time]])</f>
        <v>1</v>
      </c>
      <c r="F843" s="1">
        <v>44962.041666666664</v>
      </c>
      <c r="G843" s="1">
        <v>44962.066666666673</v>
      </c>
      <c r="H843">
        <v>36</v>
      </c>
      <c r="I843">
        <v>9.11</v>
      </c>
      <c r="J843" t="str">
        <f t="shared" si="40"/>
        <v>Low</v>
      </c>
      <c r="K843" t="s">
        <v>42</v>
      </c>
      <c r="L843">
        <v>58</v>
      </c>
      <c r="M843">
        <v>96</v>
      </c>
      <c r="N843" t="str">
        <f t="shared" si="41"/>
        <v>Low Cost</v>
      </c>
      <c r="O843">
        <v>3.37</v>
      </c>
      <c r="P843" t="s">
        <v>33</v>
      </c>
      <c r="Q843" t="s">
        <v>34</v>
      </c>
      <c r="R843" t="s">
        <v>25</v>
      </c>
      <c r="S843" t="s">
        <v>739</v>
      </c>
      <c r="T843" t="s">
        <v>46</v>
      </c>
      <c r="U843">
        <v>47</v>
      </c>
      <c r="V843">
        <v>2.1</v>
      </c>
      <c r="W843" t="s">
        <v>28</v>
      </c>
      <c r="X843" t="s">
        <v>68</v>
      </c>
    </row>
    <row r="844" spans="1:24" x14ac:dyDescent="0.3">
      <c r="A844" t="s">
        <v>2121</v>
      </c>
      <c r="B844" t="s">
        <v>20</v>
      </c>
      <c r="C844" t="s">
        <v>21</v>
      </c>
      <c r="D844" t="str">
        <f t="shared" si="39"/>
        <v>Morning</v>
      </c>
      <c r="E844">
        <f>HOUR(EV_Data[[#This Row],[Charging Start Time]])</f>
        <v>2</v>
      </c>
      <c r="F844" s="1">
        <v>44962.083333333336</v>
      </c>
      <c r="G844" s="1">
        <v>44962.122916666667</v>
      </c>
      <c r="H844">
        <v>57</v>
      </c>
      <c r="I844">
        <v>42.75</v>
      </c>
      <c r="J844" t="str">
        <f t="shared" si="40"/>
        <v>Medium</v>
      </c>
      <c r="K844" t="s">
        <v>50</v>
      </c>
      <c r="L844">
        <v>43</v>
      </c>
      <c r="M844">
        <v>54</v>
      </c>
      <c r="N844" t="str">
        <f t="shared" si="41"/>
        <v>High Cost</v>
      </c>
      <c r="O844">
        <v>18.59</v>
      </c>
      <c r="P844" t="s">
        <v>51</v>
      </c>
      <c r="Q844" t="s">
        <v>48</v>
      </c>
      <c r="R844" t="s">
        <v>56</v>
      </c>
      <c r="S844" t="s">
        <v>589</v>
      </c>
      <c r="T844" t="s">
        <v>27</v>
      </c>
      <c r="U844">
        <v>91</v>
      </c>
      <c r="V844">
        <v>2.5</v>
      </c>
      <c r="W844" t="s">
        <v>38</v>
      </c>
      <c r="X844" t="s">
        <v>83</v>
      </c>
    </row>
    <row r="845" spans="1:24" x14ac:dyDescent="0.3">
      <c r="A845" t="s">
        <v>2122</v>
      </c>
      <c r="B845" t="s">
        <v>92</v>
      </c>
      <c r="C845" t="s">
        <v>93</v>
      </c>
      <c r="D845" t="str">
        <f t="shared" si="39"/>
        <v>Morning</v>
      </c>
      <c r="E845">
        <f>HOUR(EV_Data[[#This Row],[Charging Start Time]])</f>
        <v>3</v>
      </c>
      <c r="F845" s="1">
        <v>44962.125</v>
      </c>
      <c r="G845" s="1">
        <v>44962.149305555547</v>
      </c>
      <c r="H845">
        <v>35</v>
      </c>
      <c r="I845">
        <v>46.81</v>
      </c>
      <c r="J845" t="str">
        <f t="shared" si="40"/>
        <v>Medium</v>
      </c>
      <c r="K845" t="s">
        <v>32</v>
      </c>
      <c r="L845">
        <v>55</v>
      </c>
      <c r="M845">
        <v>72</v>
      </c>
      <c r="N845" t="str">
        <f t="shared" si="41"/>
        <v>Medium Cost</v>
      </c>
      <c r="O845">
        <v>11.31</v>
      </c>
      <c r="P845" t="s">
        <v>64</v>
      </c>
      <c r="Q845" t="s">
        <v>34</v>
      </c>
      <c r="R845" t="s">
        <v>35</v>
      </c>
      <c r="S845" t="s">
        <v>740</v>
      </c>
      <c r="T845" t="s">
        <v>60</v>
      </c>
      <c r="U845">
        <v>57</v>
      </c>
      <c r="V845">
        <v>1.3</v>
      </c>
      <c r="W845" t="s">
        <v>28</v>
      </c>
      <c r="X845" t="s">
        <v>68</v>
      </c>
    </row>
    <row r="846" spans="1:24" x14ac:dyDescent="0.3">
      <c r="A846" t="s">
        <v>2123</v>
      </c>
      <c r="B846" t="s">
        <v>40</v>
      </c>
      <c r="C846" t="s">
        <v>41</v>
      </c>
      <c r="D846" t="str">
        <f t="shared" si="39"/>
        <v>Morning</v>
      </c>
      <c r="E846">
        <f>HOUR(EV_Data[[#This Row],[Charging Start Time]])</f>
        <v>4</v>
      </c>
      <c r="F846" s="1">
        <v>44962.166666666664</v>
      </c>
      <c r="G846" s="1">
        <v>44962.209722222222</v>
      </c>
      <c r="H846">
        <v>62</v>
      </c>
      <c r="I846">
        <v>36.65</v>
      </c>
      <c r="J846" t="str">
        <f t="shared" si="40"/>
        <v>Medium</v>
      </c>
      <c r="K846" t="s">
        <v>50</v>
      </c>
      <c r="L846">
        <v>42</v>
      </c>
      <c r="M846">
        <v>80</v>
      </c>
      <c r="N846" t="str">
        <f t="shared" si="41"/>
        <v>Medium Cost</v>
      </c>
      <c r="O846">
        <v>14.53</v>
      </c>
      <c r="P846" t="s">
        <v>64</v>
      </c>
      <c r="Q846" t="s">
        <v>34</v>
      </c>
      <c r="R846" t="s">
        <v>35</v>
      </c>
      <c r="S846" t="s">
        <v>741</v>
      </c>
      <c r="T846" t="s">
        <v>46</v>
      </c>
      <c r="U846">
        <v>1</v>
      </c>
      <c r="V846">
        <v>3.1</v>
      </c>
      <c r="W846" t="s">
        <v>38</v>
      </c>
      <c r="X846" t="s">
        <v>39</v>
      </c>
    </row>
    <row r="847" spans="1:24" x14ac:dyDescent="0.3">
      <c r="A847" t="s">
        <v>2124</v>
      </c>
      <c r="B847" t="s">
        <v>71</v>
      </c>
      <c r="C847" t="s">
        <v>72</v>
      </c>
      <c r="D847" t="str">
        <f t="shared" si="39"/>
        <v>Morning</v>
      </c>
      <c r="E847">
        <f>HOUR(EV_Data[[#This Row],[Charging Start Time]])</f>
        <v>5</v>
      </c>
      <c r="F847" s="1">
        <v>44962.208333333336</v>
      </c>
      <c r="G847" s="1">
        <v>44962.24722222222</v>
      </c>
      <c r="H847">
        <v>56</v>
      </c>
      <c r="I847">
        <v>21.14</v>
      </c>
      <c r="J847" t="str">
        <f t="shared" si="40"/>
        <v>Medium</v>
      </c>
      <c r="K847" t="s">
        <v>22</v>
      </c>
      <c r="L847">
        <v>53</v>
      </c>
      <c r="M847">
        <v>71</v>
      </c>
      <c r="N847" t="str">
        <f t="shared" si="41"/>
        <v>Low Cost</v>
      </c>
      <c r="O847">
        <v>6.51</v>
      </c>
      <c r="P847" t="s">
        <v>43</v>
      </c>
      <c r="Q847" t="s">
        <v>58</v>
      </c>
      <c r="R847" t="s">
        <v>35</v>
      </c>
      <c r="S847" t="s">
        <v>742</v>
      </c>
      <c r="T847" t="s">
        <v>60</v>
      </c>
      <c r="U847">
        <v>65</v>
      </c>
      <c r="V847">
        <v>1.2</v>
      </c>
      <c r="W847" t="s">
        <v>38</v>
      </c>
      <c r="X847" t="s">
        <v>83</v>
      </c>
    </row>
    <row r="848" spans="1:24" x14ac:dyDescent="0.3">
      <c r="A848" t="s">
        <v>2125</v>
      </c>
      <c r="B848" t="s">
        <v>77</v>
      </c>
      <c r="C848" t="s">
        <v>78</v>
      </c>
      <c r="D848" t="str">
        <f t="shared" si="39"/>
        <v>Morning</v>
      </c>
      <c r="E848">
        <f>HOUR(EV_Data[[#This Row],[Charging Start Time]])</f>
        <v>6</v>
      </c>
      <c r="F848" s="1">
        <v>44962.25</v>
      </c>
      <c r="G848" s="1">
        <v>44962.296527777777</v>
      </c>
      <c r="H848">
        <v>67</v>
      </c>
      <c r="I848">
        <v>33.78</v>
      </c>
      <c r="J848" t="str">
        <f t="shared" si="40"/>
        <v>Medium</v>
      </c>
      <c r="K848" t="s">
        <v>69</v>
      </c>
      <c r="L848">
        <v>59</v>
      </c>
      <c r="M848">
        <v>91</v>
      </c>
      <c r="N848" t="str">
        <f t="shared" si="41"/>
        <v>Medium Cost</v>
      </c>
      <c r="O848">
        <v>9.25</v>
      </c>
      <c r="P848" t="s">
        <v>33</v>
      </c>
      <c r="Q848" t="s">
        <v>58</v>
      </c>
      <c r="R848" t="s">
        <v>56</v>
      </c>
      <c r="S848" t="s">
        <v>572</v>
      </c>
      <c r="T848" t="s">
        <v>46</v>
      </c>
      <c r="U848">
        <v>71</v>
      </c>
      <c r="V848">
        <v>4.5</v>
      </c>
      <c r="W848" t="s">
        <v>47</v>
      </c>
      <c r="X848" t="s">
        <v>29</v>
      </c>
    </row>
    <row r="849" spans="1:24" x14ac:dyDescent="0.3">
      <c r="A849" t="s">
        <v>2126</v>
      </c>
      <c r="B849" t="s">
        <v>126</v>
      </c>
      <c r="C849" t="s">
        <v>31</v>
      </c>
      <c r="D849" t="str">
        <f t="shared" si="39"/>
        <v>Morning</v>
      </c>
      <c r="E849">
        <f>HOUR(EV_Data[[#This Row],[Charging Start Time]])</f>
        <v>7</v>
      </c>
      <c r="F849" s="1">
        <v>44962.291666666664</v>
      </c>
      <c r="G849" s="1">
        <v>44962.335416666669</v>
      </c>
      <c r="H849">
        <v>63</v>
      </c>
      <c r="I849">
        <v>46.05</v>
      </c>
      <c r="J849" t="str">
        <f t="shared" si="40"/>
        <v>Medium</v>
      </c>
      <c r="K849" t="s">
        <v>32</v>
      </c>
      <c r="L849">
        <v>78</v>
      </c>
      <c r="M849">
        <v>100</v>
      </c>
      <c r="N849" t="str">
        <f t="shared" si="41"/>
        <v>Medium Cost</v>
      </c>
      <c r="O849">
        <v>11.38</v>
      </c>
      <c r="P849" t="s">
        <v>33</v>
      </c>
      <c r="Q849" t="s">
        <v>24</v>
      </c>
      <c r="R849" t="s">
        <v>35</v>
      </c>
      <c r="S849" t="s">
        <v>743</v>
      </c>
      <c r="T849" t="s">
        <v>60</v>
      </c>
      <c r="U849">
        <v>9</v>
      </c>
      <c r="V849">
        <v>4.5999999999999996</v>
      </c>
      <c r="W849" t="s">
        <v>28</v>
      </c>
      <c r="X849" t="s">
        <v>68</v>
      </c>
    </row>
    <row r="850" spans="1:24" x14ac:dyDescent="0.3">
      <c r="A850" t="s">
        <v>2127</v>
      </c>
      <c r="B850" t="s">
        <v>30</v>
      </c>
      <c r="C850" t="s">
        <v>102</v>
      </c>
      <c r="D850" t="str">
        <f t="shared" si="39"/>
        <v>Morning</v>
      </c>
      <c r="E850">
        <f>HOUR(EV_Data[[#This Row],[Charging Start Time]])</f>
        <v>8</v>
      </c>
      <c r="F850" s="1">
        <v>44962.333333333336</v>
      </c>
      <c r="G850" s="1">
        <v>44962.38958333333</v>
      </c>
      <c r="H850">
        <v>81</v>
      </c>
      <c r="I850">
        <v>43.36</v>
      </c>
      <c r="J850" t="str">
        <f t="shared" si="40"/>
        <v>Medium</v>
      </c>
      <c r="K850" t="s">
        <v>50</v>
      </c>
      <c r="L850">
        <v>29</v>
      </c>
      <c r="M850">
        <v>43</v>
      </c>
      <c r="N850" t="str">
        <f t="shared" si="41"/>
        <v>Medium Cost</v>
      </c>
      <c r="O850">
        <v>16.149999999999999</v>
      </c>
      <c r="P850" t="s">
        <v>64</v>
      </c>
      <c r="Q850" t="s">
        <v>48</v>
      </c>
      <c r="R850" t="s">
        <v>44</v>
      </c>
      <c r="S850" t="s">
        <v>744</v>
      </c>
      <c r="T850" t="s">
        <v>46</v>
      </c>
      <c r="U850">
        <v>87</v>
      </c>
      <c r="V850">
        <v>1.5</v>
      </c>
      <c r="W850" t="s">
        <v>47</v>
      </c>
      <c r="X850" t="s">
        <v>29</v>
      </c>
    </row>
    <row r="851" spans="1:24" x14ac:dyDescent="0.3">
      <c r="A851" t="s">
        <v>2128</v>
      </c>
      <c r="B851" t="s">
        <v>126</v>
      </c>
      <c r="C851" t="s">
        <v>31</v>
      </c>
      <c r="D851" t="str">
        <f t="shared" si="39"/>
        <v>Morning</v>
      </c>
      <c r="E851">
        <f>HOUR(EV_Data[[#This Row],[Charging Start Time]])</f>
        <v>9</v>
      </c>
      <c r="F851" s="1">
        <v>44962.375</v>
      </c>
      <c r="G851" s="1">
        <v>44962.429861111108</v>
      </c>
      <c r="H851">
        <v>79</v>
      </c>
      <c r="I851">
        <v>27.21</v>
      </c>
      <c r="J851" t="str">
        <f t="shared" si="40"/>
        <v>Medium</v>
      </c>
      <c r="K851" t="s">
        <v>32</v>
      </c>
      <c r="L851">
        <v>79</v>
      </c>
      <c r="M851">
        <v>100</v>
      </c>
      <c r="N851" t="str">
        <f t="shared" si="41"/>
        <v>Medium Cost</v>
      </c>
      <c r="O851">
        <v>9.26</v>
      </c>
      <c r="P851" t="s">
        <v>64</v>
      </c>
      <c r="Q851" t="s">
        <v>24</v>
      </c>
      <c r="R851" t="s">
        <v>25</v>
      </c>
      <c r="S851" t="s">
        <v>745</v>
      </c>
      <c r="T851" t="s">
        <v>46</v>
      </c>
      <c r="U851">
        <v>60</v>
      </c>
      <c r="V851">
        <v>2.5</v>
      </c>
      <c r="W851" t="s">
        <v>38</v>
      </c>
      <c r="X851" t="s">
        <v>62</v>
      </c>
    </row>
    <row r="852" spans="1:24" x14ac:dyDescent="0.3">
      <c r="A852" t="s">
        <v>2129</v>
      </c>
      <c r="B852" t="s">
        <v>30</v>
      </c>
      <c r="C852" t="s">
        <v>102</v>
      </c>
      <c r="D852" t="str">
        <f t="shared" si="39"/>
        <v>Morning</v>
      </c>
      <c r="E852">
        <f>HOUR(EV_Data[[#This Row],[Charging Start Time]])</f>
        <v>10</v>
      </c>
      <c r="F852" s="1">
        <v>44962.416666666664</v>
      </c>
      <c r="G852" s="1">
        <v>44962.46597222222</v>
      </c>
      <c r="H852">
        <v>71</v>
      </c>
      <c r="I852">
        <v>14.32</v>
      </c>
      <c r="J852" t="str">
        <f t="shared" si="40"/>
        <v>Low</v>
      </c>
      <c r="K852" t="s">
        <v>32</v>
      </c>
      <c r="L852">
        <v>5</v>
      </c>
      <c r="M852">
        <v>21</v>
      </c>
      <c r="N852" t="str">
        <f t="shared" si="41"/>
        <v>Low Cost</v>
      </c>
      <c r="O852">
        <v>5.45</v>
      </c>
      <c r="P852" t="s">
        <v>64</v>
      </c>
      <c r="Q852" t="s">
        <v>34</v>
      </c>
      <c r="R852" t="s">
        <v>35</v>
      </c>
      <c r="S852" t="s">
        <v>625</v>
      </c>
      <c r="T852" t="s">
        <v>60</v>
      </c>
      <c r="U852">
        <v>100</v>
      </c>
      <c r="V852">
        <v>1.1000000000000001</v>
      </c>
      <c r="W852" t="s">
        <v>28</v>
      </c>
      <c r="X852" t="s">
        <v>68</v>
      </c>
    </row>
    <row r="853" spans="1:24" x14ac:dyDescent="0.3">
      <c r="A853" t="s">
        <v>2130</v>
      </c>
      <c r="B853" t="s">
        <v>92</v>
      </c>
      <c r="C853" t="s">
        <v>93</v>
      </c>
      <c r="D853" t="str">
        <f t="shared" si="39"/>
        <v>Morning</v>
      </c>
      <c r="E853">
        <f>HOUR(EV_Data[[#This Row],[Charging Start Time]])</f>
        <v>11</v>
      </c>
      <c r="F853" s="1">
        <v>44962.458333333336</v>
      </c>
      <c r="G853" s="1">
        <v>44962.463194444441</v>
      </c>
      <c r="H853">
        <v>7</v>
      </c>
      <c r="I853">
        <v>17.57</v>
      </c>
      <c r="J853" t="str">
        <f t="shared" si="40"/>
        <v>Low</v>
      </c>
      <c r="K853" t="s">
        <v>42</v>
      </c>
      <c r="L853">
        <v>15</v>
      </c>
      <c r="M853">
        <v>49</v>
      </c>
      <c r="N853" t="str">
        <f t="shared" si="41"/>
        <v>Low Cost</v>
      </c>
      <c r="O853">
        <v>7.43</v>
      </c>
      <c r="P853" t="s">
        <v>64</v>
      </c>
      <c r="Q853" t="s">
        <v>58</v>
      </c>
      <c r="R853" t="s">
        <v>35</v>
      </c>
      <c r="S853" t="s">
        <v>746</v>
      </c>
      <c r="T853" t="s">
        <v>27</v>
      </c>
      <c r="U853">
        <v>42</v>
      </c>
      <c r="V853">
        <v>2.2000000000000002</v>
      </c>
      <c r="W853" t="s">
        <v>28</v>
      </c>
      <c r="X853" t="s">
        <v>68</v>
      </c>
    </row>
    <row r="854" spans="1:24" x14ac:dyDescent="0.3">
      <c r="A854" t="s">
        <v>2131</v>
      </c>
      <c r="B854" t="s">
        <v>77</v>
      </c>
      <c r="C854" t="s">
        <v>78</v>
      </c>
      <c r="D854" t="str">
        <f t="shared" si="39"/>
        <v>Afternoon</v>
      </c>
      <c r="E854">
        <f>HOUR(EV_Data[[#This Row],[Charging Start Time]])</f>
        <v>12</v>
      </c>
      <c r="F854" s="1">
        <v>44962.5</v>
      </c>
      <c r="G854" s="1">
        <v>44962.506944444453</v>
      </c>
      <c r="H854">
        <v>10</v>
      </c>
      <c r="I854">
        <v>15.59</v>
      </c>
      <c r="J854" t="str">
        <f t="shared" si="40"/>
        <v>Low</v>
      </c>
      <c r="K854" t="s">
        <v>55</v>
      </c>
      <c r="L854">
        <v>53</v>
      </c>
      <c r="M854">
        <v>80</v>
      </c>
      <c r="N854" t="str">
        <f t="shared" si="41"/>
        <v>Low Cost</v>
      </c>
      <c r="O854">
        <v>4.99</v>
      </c>
      <c r="P854" t="s">
        <v>33</v>
      </c>
      <c r="Q854" t="s">
        <v>24</v>
      </c>
      <c r="R854" t="s">
        <v>35</v>
      </c>
      <c r="S854" t="s">
        <v>535</v>
      </c>
      <c r="T854" t="s">
        <v>27</v>
      </c>
      <c r="U854">
        <v>73</v>
      </c>
      <c r="V854">
        <v>5</v>
      </c>
      <c r="W854" t="s">
        <v>47</v>
      </c>
      <c r="X854" t="s">
        <v>29</v>
      </c>
    </row>
    <row r="855" spans="1:24" x14ac:dyDescent="0.3">
      <c r="A855" t="s">
        <v>2132</v>
      </c>
      <c r="B855" t="s">
        <v>30</v>
      </c>
      <c r="C855" t="s">
        <v>102</v>
      </c>
      <c r="D855" t="str">
        <f t="shared" si="39"/>
        <v>Afternoon</v>
      </c>
      <c r="E855">
        <f>HOUR(EV_Data[[#This Row],[Charging Start Time]])</f>
        <v>13</v>
      </c>
      <c r="F855" s="1">
        <v>44962.541666666664</v>
      </c>
      <c r="G855" s="1">
        <v>44962.560416666667</v>
      </c>
      <c r="H855">
        <v>27</v>
      </c>
      <c r="I855">
        <v>23.44</v>
      </c>
      <c r="J855" t="str">
        <f t="shared" si="40"/>
        <v>Medium</v>
      </c>
      <c r="K855" t="s">
        <v>69</v>
      </c>
      <c r="L855">
        <v>63</v>
      </c>
      <c r="M855">
        <v>100</v>
      </c>
      <c r="N855" t="str">
        <f t="shared" si="41"/>
        <v>Low Cost</v>
      </c>
      <c r="O855">
        <v>7.78</v>
      </c>
      <c r="P855" t="s">
        <v>33</v>
      </c>
      <c r="Q855" t="s">
        <v>58</v>
      </c>
      <c r="R855" t="s">
        <v>25</v>
      </c>
      <c r="S855" t="s">
        <v>747</v>
      </c>
      <c r="T855" t="s">
        <v>60</v>
      </c>
      <c r="U855">
        <v>59</v>
      </c>
      <c r="V855">
        <v>2.6</v>
      </c>
      <c r="W855" t="s">
        <v>28</v>
      </c>
      <c r="X855" t="s">
        <v>68</v>
      </c>
    </row>
    <row r="856" spans="1:24" x14ac:dyDescent="0.3">
      <c r="A856" t="s">
        <v>2133</v>
      </c>
      <c r="B856" t="s">
        <v>40</v>
      </c>
      <c r="C856" t="s">
        <v>41</v>
      </c>
      <c r="D856" t="str">
        <f t="shared" si="39"/>
        <v>Afternoon</v>
      </c>
      <c r="E856">
        <f>HOUR(EV_Data[[#This Row],[Charging Start Time]])</f>
        <v>14</v>
      </c>
      <c r="F856" s="1">
        <v>44962.583333333336</v>
      </c>
      <c r="G856" s="1">
        <v>44962.615277777782</v>
      </c>
      <c r="H856">
        <v>46</v>
      </c>
      <c r="I856">
        <v>40.159999999999997</v>
      </c>
      <c r="J856" t="str">
        <f t="shared" si="40"/>
        <v>Medium</v>
      </c>
      <c r="K856" t="s">
        <v>32</v>
      </c>
      <c r="L856">
        <v>79</v>
      </c>
      <c r="M856">
        <v>100</v>
      </c>
      <c r="N856" t="str">
        <f t="shared" si="41"/>
        <v>Medium Cost</v>
      </c>
      <c r="O856">
        <v>14.98</v>
      </c>
      <c r="P856" t="s">
        <v>43</v>
      </c>
      <c r="Q856" t="s">
        <v>34</v>
      </c>
      <c r="R856" t="s">
        <v>25</v>
      </c>
      <c r="S856" t="s">
        <v>748</v>
      </c>
      <c r="T856" t="s">
        <v>37</v>
      </c>
      <c r="U856">
        <v>90</v>
      </c>
      <c r="V856">
        <v>1.8</v>
      </c>
      <c r="W856" t="s">
        <v>28</v>
      </c>
      <c r="X856" t="s">
        <v>68</v>
      </c>
    </row>
    <row r="857" spans="1:24" x14ac:dyDescent="0.3">
      <c r="A857" t="s">
        <v>2134</v>
      </c>
      <c r="B857" t="s">
        <v>30</v>
      </c>
      <c r="C857" t="s">
        <v>102</v>
      </c>
      <c r="D857" t="str">
        <f t="shared" si="39"/>
        <v>Afternoon</v>
      </c>
      <c r="E857">
        <f>HOUR(EV_Data[[#This Row],[Charging Start Time]])</f>
        <v>15</v>
      </c>
      <c r="F857" s="1">
        <v>44962.625</v>
      </c>
      <c r="G857" s="1">
        <v>44962.636111111111</v>
      </c>
      <c r="H857">
        <v>16</v>
      </c>
      <c r="I857">
        <v>12.58</v>
      </c>
      <c r="J857" t="str">
        <f t="shared" si="40"/>
        <v>Low</v>
      </c>
      <c r="K857" t="s">
        <v>32</v>
      </c>
      <c r="L857">
        <v>10</v>
      </c>
      <c r="M857">
        <v>33</v>
      </c>
      <c r="N857" t="str">
        <f t="shared" si="41"/>
        <v>Low Cost</v>
      </c>
      <c r="O857">
        <v>2.99</v>
      </c>
      <c r="P857" t="s">
        <v>23</v>
      </c>
      <c r="Q857" t="s">
        <v>34</v>
      </c>
      <c r="R857" t="s">
        <v>25</v>
      </c>
      <c r="S857" t="s">
        <v>749</v>
      </c>
      <c r="T857" t="s">
        <v>37</v>
      </c>
      <c r="U857">
        <v>40</v>
      </c>
      <c r="V857">
        <v>1.5</v>
      </c>
      <c r="W857" t="s">
        <v>47</v>
      </c>
      <c r="X857" t="s">
        <v>29</v>
      </c>
    </row>
    <row r="858" spans="1:24" x14ac:dyDescent="0.3">
      <c r="A858" t="s">
        <v>2135</v>
      </c>
      <c r="B858" t="s">
        <v>92</v>
      </c>
      <c r="C858" t="s">
        <v>93</v>
      </c>
      <c r="D858" t="str">
        <f t="shared" si="39"/>
        <v>Afternoon</v>
      </c>
      <c r="E858">
        <f>HOUR(EV_Data[[#This Row],[Charging Start Time]])</f>
        <v>16</v>
      </c>
      <c r="F858" s="1">
        <v>44962.666666666664</v>
      </c>
      <c r="G858" s="1">
        <v>44962.709027777782</v>
      </c>
      <c r="H858">
        <v>61</v>
      </c>
      <c r="I858">
        <v>49.79</v>
      </c>
      <c r="J858" t="str">
        <f t="shared" si="40"/>
        <v>Medium</v>
      </c>
      <c r="K858" t="s">
        <v>32</v>
      </c>
      <c r="L858">
        <v>64</v>
      </c>
      <c r="M858">
        <v>89</v>
      </c>
      <c r="N858" t="str">
        <f t="shared" si="41"/>
        <v>High Cost</v>
      </c>
      <c r="O858">
        <v>18.86</v>
      </c>
      <c r="P858" t="s">
        <v>43</v>
      </c>
      <c r="Q858" t="s">
        <v>24</v>
      </c>
      <c r="R858" t="s">
        <v>56</v>
      </c>
      <c r="S858" t="s">
        <v>494</v>
      </c>
      <c r="T858" t="s">
        <v>46</v>
      </c>
      <c r="U858">
        <v>38</v>
      </c>
      <c r="V858">
        <v>2.6</v>
      </c>
      <c r="W858" t="s">
        <v>28</v>
      </c>
      <c r="X858" t="s">
        <v>68</v>
      </c>
    </row>
    <row r="859" spans="1:24" x14ac:dyDescent="0.3">
      <c r="A859" t="s">
        <v>2136</v>
      </c>
      <c r="B859" t="s">
        <v>77</v>
      </c>
      <c r="C859" t="s">
        <v>78</v>
      </c>
      <c r="D859" t="str">
        <f t="shared" si="39"/>
        <v>Evening</v>
      </c>
      <c r="E859">
        <f>HOUR(EV_Data[[#This Row],[Charging Start Time]])</f>
        <v>17</v>
      </c>
      <c r="F859" s="1">
        <v>44962.708333333336</v>
      </c>
      <c r="G859" s="1">
        <v>44962.736111111109</v>
      </c>
      <c r="H859">
        <v>40</v>
      </c>
      <c r="I859">
        <v>36</v>
      </c>
      <c r="J859" t="str">
        <f t="shared" si="40"/>
        <v>Medium</v>
      </c>
      <c r="K859" t="s">
        <v>50</v>
      </c>
      <c r="L859">
        <v>66</v>
      </c>
      <c r="M859">
        <v>76</v>
      </c>
      <c r="N859" t="str">
        <f t="shared" si="41"/>
        <v>Medium Cost</v>
      </c>
      <c r="O859">
        <v>9.8699999999999992</v>
      </c>
      <c r="P859" t="s">
        <v>51</v>
      </c>
      <c r="Q859" t="s">
        <v>34</v>
      </c>
      <c r="R859" t="s">
        <v>35</v>
      </c>
      <c r="S859" t="s">
        <v>750</v>
      </c>
      <c r="T859" t="s">
        <v>37</v>
      </c>
      <c r="U859">
        <v>33</v>
      </c>
      <c r="V859">
        <v>2.5</v>
      </c>
      <c r="W859" t="s">
        <v>47</v>
      </c>
      <c r="X859" t="s">
        <v>29</v>
      </c>
    </row>
    <row r="860" spans="1:24" x14ac:dyDescent="0.3">
      <c r="A860" t="s">
        <v>2137</v>
      </c>
      <c r="B860" t="s">
        <v>40</v>
      </c>
      <c r="C860" t="s">
        <v>41</v>
      </c>
      <c r="D860" t="str">
        <f t="shared" si="39"/>
        <v>Evening</v>
      </c>
      <c r="E860">
        <f>HOUR(EV_Data[[#This Row],[Charging Start Time]])</f>
        <v>18</v>
      </c>
      <c r="F860" s="1">
        <v>44962.75</v>
      </c>
      <c r="G860" s="1">
        <v>44962.768750000003</v>
      </c>
      <c r="H860">
        <v>27</v>
      </c>
      <c r="I860">
        <v>37.19</v>
      </c>
      <c r="J860" t="str">
        <f t="shared" si="40"/>
        <v>Medium</v>
      </c>
      <c r="K860" t="s">
        <v>55</v>
      </c>
      <c r="L860">
        <v>10</v>
      </c>
      <c r="M860">
        <v>40</v>
      </c>
      <c r="N860" t="str">
        <f t="shared" si="41"/>
        <v>Medium Cost</v>
      </c>
      <c r="O860">
        <v>10.38</v>
      </c>
      <c r="P860" t="s">
        <v>33</v>
      </c>
      <c r="Q860" t="s">
        <v>24</v>
      </c>
      <c r="R860" t="s">
        <v>56</v>
      </c>
      <c r="S860" t="s">
        <v>251</v>
      </c>
      <c r="T860" t="s">
        <v>37</v>
      </c>
      <c r="U860">
        <v>52</v>
      </c>
      <c r="V860">
        <v>2.7</v>
      </c>
      <c r="W860" t="s">
        <v>28</v>
      </c>
      <c r="X860" t="s">
        <v>68</v>
      </c>
    </row>
    <row r="861" spans="1:24" x14ac:dyDescent="0.3">
      <c r="A861" t="s">
        <v>2138</v>
      </c>
      <c r="B861" t="s">
        <v>92</v>
      </c>
      <c r="C861" t="s">
        <v>93</v>
      </c>
      <c r="D861" t="str">
        <f t="shared" si="39"/>
        <v>Evening</v>
      </c>
      <c r="E861">
        <f>HOUR(EV_Data[[#This Row],[Charging Start Time]])</f>
        <v>19</v>
      </c>
      <c r="F861" s="1">
        <v>44962.791666666664</v>
      </c>
      <c r="G861" s="1">
        <v>44962.823611111111</v>
      </c>
      <c r="H861">
        <v>46</v>
      </c>
      <c r="I861">
        <v>47.27</v>
      </c>
      <c r="J861" t="str">
        <f t="shared" si="40"/>
        <v>Medium</v>
      </c>
      <c r="K861" t="s">
        <v>42</v>
      </c>
      <c r="L861">
        <v>64</v>
      </c>
      <c r="M861">
        <v>90</v>
      </c>
      <c r="N861" t="str">
        <f t="shared" si="41"/>
        <v>High Cost</v>
      </c>
      <c r="O861">
        <v>19.11</v>
      </c>
      <c r="P861" t="s">
        <v>51</v>
      </c>
      <c r="Q861" t="s">
        <v>58</v>
      </c>
      <c r="R861" t="s">
        <v>56</v>
      </c>
      <c r="S861" t="s">
        <v>751</v>
      </c>
      <c r="T861" t="s">
        <v>27</v>
      </c>
      <c r="U861">
        <v>32</v>
      </c>
      <c r="V861">
        <v>3.6</v>
      </c>
      <c r="W861" t="s">
        <v>47</v>
      </c>
      <c r="X861" t="s">
        <v>29</v>
      </c>
    </row>
    <row r="862" spans="1:24" x14ac:dyDescent="0.3">
      <c r="A862" t="s">
        <v>2139</v>
      </c>
      <c r="B862" t="s">
        <v>40</v>
      </c>
      <c r="C862" t="s">
        <v>41</v>
      </c>
      <c r="D862" t="str">
        <f t="shared" si="39"/>
        <v>Evening</v>
      </c>
      <c r="E862">
        <f>HOUR(EV_Data[[#This Row],[Charging Start Time]])</f>
        <v>20</v>
      </c>
      <c r="F862" s="1">
        <v>44962.833333333336</v>
      </c>
      <c r="G862" s="1">
        <v>44962.834027777782</v>
      </c>
      <c r="H862">
        <v>1</v>
      </c>
      <c r="I862">
        <v>46.36</v>
      </c>
      <c r="J862" t="str">
        <f t="shared" si="40"/>
        <v>Medium</v>
      </c>
      <c r="K862" t="s">
        <v>50</v>
      </c>
      <c r="L862">
        <v>57</v>
      </c>
      <c r="M862">
        <v>79</v>
      </c>
      <c r="N862" t="str">
        <f t="shared" si="41"/>
        <v>Medium Cost</v>
      </c>
      <c r="O862">
        <v>10.78</v>
      </c>
      <c r="P862" t="s">
        <v>64</v>
      </c>
      <c r="Q862" t="s">
        <v>58</v>
      </c>
      <c r="R862" t="s">
        <v>25</v>
      </c>
      <c r="S862" t="s">
        <v>166</v>
      </c>
      <c r="T862" t="s">
        <v>46</v>
      </c>
      <c r="U862">
        <v>98</v>
      </c>
      <c r="V862">
        <v>2</v>
      </c>
      <c r="W862" t="s">
        <v>38</v>
      </c>
      <c r="X862" t="s">
        <v>39</v>
      </c>
    </row>
    <row r="863" spans="1:24" x14ac:dyDescent="0.3">
      <c r="A863" t="s">
        <v>2140</v>
      </c>
      <c r="B863" t="s">
        <v>77</v>
      </c>
      <c r="C863" t="s">
        <v>78</v>
      </c>
      <c r="D863" t="str">
        <f t="shared" si="39"/>
        <v>Evening</v>
      </c>
      <c r="E863">
        <f>HOUR(EV_Data[[#This Row],[Charging Start Time]])</f>
        <v>21</v>
      </c>
      <c r="F863" s="1">
        <v>44962.875</v>
      </c>
      <c r="G863" s="1">
        <v>44962.901388888888</v>
      </c>
      <c r="H863">
        <v>38</v>
      </c>
      <c r="I863">
        <v>43.2</v>
      </c>
      <c r="J863" t="str">
        <f t="shared" si="40"/>
        <v>Medium</v>
      </c>
      <c r="K863" t="s">
        <v>69</v>
      </c>
      <c r="L863">
        <v>48</v>
      </c>
      <c r="M863">
        <v>76</v>
      </c>
      <c r="N863" t="str">
        <f t="shared" si="41"/>
        <v>High Cost</v>
      </c>
      <c r="O863">
        <v>17.54</v>
      </c>
      <c r="P863" t="s">
        <v>43</v>
      </c>
      <c r="Q863" t="s">
        <v>48</v>
      </c>
      <c r="R863" t="s">
        <v>56</v>
      </c>
      <c r="S863" t="s">
        <v>752</v>
      </c>
      <c r="T863" t="s">
        <v>37</v>
      </c>
      <c r="U863">
        <v>85</v>
      </c>
      <c r="V863">
        <v>1.7</v>
      </c>
      <c r="W863" t="s">
        <v>28</v>
      </c>
      <c r="X863" t="s">
        <v>68</v>
      </c>
    </row>
    <row r="864" spans="1:24" x14ac:dyDescent="0.3">
      <c r="A864" t="s">
        <v>2141</v>
      </c>
      <c r="B864" t="s">
        <v>20</v>
      </c>
      <c r="C864" t="s">
        <v>21</v>
      </c>
      <c r="D864" t="str">
        <f t="shared" si="39"/>
        <v>Evening</v>
      </c>
      <c r="E864">
        <f>HOUR(EV_Data[[#This Row],[Charging Start Time]])</f>
        <v>22</v>
      </c>
      <c r="F864" s="1">
        <v>44962.916666666664</v>
      </c>
      <c r="G864" s="1">
        <v>44962.929861111108</v>
      </c>
      <c r="H864">
        <v>19</v>
      </c>
      <c r="I864">
        <v>27.16</v>
      </c>
      <c r="J864" t="str">
        <f t="shared" si="40"/>
        <v>Medium</v>
      </c>
      <c r="K864" t="s">
        <v>22</v>
      </c>
      <c r="L864">
        <v>33</v>
      </c>
      <c r="M864">
        <v>51</v>
      </c>
      <c r="N864" t="str">
        <f t="shared" si="41"/>
        <v>Medium Cost</v>
      </c>
      <c r="O864">
        <v>9.1300000000000008</v>
      </c>
      <c r="P864" t="s">
        <v>51</v>
      </c>
      <c r="Q864" t="s">
        <v>58</v>
      </c>
      <c r="R864" t="s">
        <v>44</v>
      </c>
      <c r="S864" t="s">
        <v>740</v>
      </c>
      <c r="T864" t="s">
        <v>27</v>
      </c>
      <c r="U864">
        <v>17</v>
      </c>
      <c r="V864">
        <v>4.4000000000000004</v>
      </c>
      <c r="W864" t="s">
        <v>38</v>
      </c>
      <c r="X864" t="s">
        <v>39</v>
      </c>
    </row>
    <row r="865" spans="1:24" x14ac:dyDescent="0.3">
      <c r="A865" t="s">
        <v>2142</v>
      </c>
      <c r="B865" t="s">
        <v>92</v>
      </c>
      <c r="C865" t="s">
        <v>93</v>
      </c>
      <c r="D865" t="str">
        <f t="shared" si="39"/>
        <v>Evening</v>
      </c>
      <c r="E865">
        <f>HOUR(EV_Data[[#This Row],[Charging Start Time]])</f>
        <v>23</v>
      </c>
      <c r="F865" s="1">
        <v>44962.958333333336</v>
      </c>
      <c r="G865" s="1">
        <v>44962.981249999997</v>
      </c>
      <c r="H865">
        <v>33</v>
      </c>
      <c r="I865">
        <v>26.89</v>
      </c>
      <c r="J865" t="str">
        <f t="shared" si="40"/>
        <v>Medium</v>
      </c>
      <c r="K865" t="s">
        <v>42</v>
      </c>
      <c r="L865">
        <v>55</v>
      </c>
      <c r="M865">
        <v>86</v>
      </c>
      <c r="N865" t="str">
        <f t="shared" si="41"/>
        <v>Low Cost</v>
      </c>
      <c r="O865">
        <v>6.88</v>
      </c>
      <c r="P865" t="s">
        <v>33</v>
      </c>
      <c r="Q865" t="s">
        <v>34</v>
      </c>
      <c r="R865" t="s">
        <v>35</v>
      </c>
      <c r="S865" t="s">
        <v>217</v>
      </c>
      <c r="T865" t="s">
        <v>27</v>
      </c>
      <c r="U865">
        <v>28</v>
      </c>
      <c r="V865">
        <v>1.3</v>
      </c>
      <c r="W865" t="s">
        <v>47</v>
      </c>
      <c r="X865" t="s">
        <v>29</v>
      </c>
    </row>
    <row r="866" spans="1:24" x14ac:dyDescent="0.3">
      <c r="A866" t="s">
        <v>2143</v>
      </c>
      <c r="B866" t="s">
        <v>126</v>
      </c>
      <c r="C866" t="s">
        <v>31</v>
      </c>
      <c r="D866" t="str">
        <f t="shared" si="39"/>
        <v>Morning</v>
      </c>
      <c r="E866">
        <f>HOUR(EV_Data[[#This Row],[Charging Start Time]])</f>
        <v>0</v>
      </c>
      <c r="F866" s="1">
        <v>44963</v>
      </c>
      <c r="G866" s="1">
        <v>44963.040277777778</v>
      </c>
      <c r="H866">
        <v>58</v>
      </c>
      <c r="I866">
        <v>39.4</v>
      </c>
      <c r="J866" t="str">
        <f t="shared" si="40"/>
        <v>Medium</v>
      </c>
      <c r="K866" t="s">
        <v>69</v>
      </c>
      <c r="L866">
        <v>65</v>
      </c>
      <c r="M866">
        <v>99</v>
      </c>
      <c r="N866" t="str">
        <f t="shared" si="41"/>
        <v>Medium Cost</v>
      </c>
      <c r="O866">
        <v>12.58</v>
      </c>
      <c r="P866" t="s">
        <v>43</v>
      </c>
      <c r="Q866" t="s">
        <v>58</v>
      </c>
      <c r="R866" t="s">
        <v>25</v>
      </c>
      <c r="S866" t="s">
        <v>138</v>
      </c>
      <c r="T866" t="s">
        <v>60</v>
      </c>
      <c r="U866">
        <v>70</v>
      </c>
      <c r="V866">
        <v>3.3</v>
      </c>
      <c r="W866" t="s">
        <v>47</v>
      </c>
      <c r="X866" t="s">
        <v>29</v>
      </c>
    </row>
    <row r="867" spans="1:24" x14ac:dyDescent="0.3">
      <c r="A867" t="s">
        <v>2144</v>
      </c>
      <c r="B867" t="s">
        <v>20</v>
      </c>
      <c r="C867" t="s">
        <v>21</v>
      </c>
      <c r="D867" t="str">
        <f t="shared" si="39"/>
        <v>Morning</v>
      </c>
      <c r="E867">
        <f>HOUR(EV_Data[[#This Row],[Charging Start Time]])</f>
        <v>1</v>
      </c>
      <c r="F867" s="1">
        <v>44963.041666666664</v>
      </c>
      <c r="G867" s="1">
        <v>44963.106249999997</v>
      </c>
      <c r="H867">
        <v>93</v>
      </c>
      <c r="I867">
        <v>42.78</v>
      </c>
      <c r="J867" t="str">
        <f t="shared" si="40"/>
        <v>Medium</v>
      </c>
      <c r="K867" t="s">
        <v>22</v>
      </c>
      <c r="L867">
        <v>59</v>
      </c>
      <c r="M867">
        <v>75</v>
      </c>
      <c r="N867" t="str">
        <f t="shared" si="41"/>
        <v>Medium Cost</v>
      </c>
      <c r="O867">
        <v>14.8</v>
      </c>
      <c r="P867" t="s">
        <v>43</v>
      </c>
      <c r="Q867" t="s">
        <v>48</v>
      </c>
      <c r="R867" t="s">
        <v>25</v>
      </c>
      <c r="S867" t="s">
        <v>753</v>
      </c>
      <c r="T867" t="s">
        <v>37</v>
      </c>
      <c r="U867">
        <v>96</v>
      </c>
      <c r="V867">
        <v>1.1000000000000001</v>
      </c>
      <c r="W867" t="s">
        <v>38</v>
      </c>
      <c r="X867" t="s">
        <v>83</v>
      </c>
    </row>
    <row r="868" spans="1:24" x14ac:dyDescent="0.3">
      <c r="A868" t="s">
        <v>2145</v>
      </c>
      <c r="B868" t="s">
        <v>20</v>
      </c>
      <c r="C868" t="s">
        <v>21</v>
      </c>
      <c r="D868" t="str">
        <f t="shared" si="39"/>
        <v>Morning</v>
      </c>
      <c r="E868">
        <f>HOUR(EV_Data[[#This Row],[Charging Start Time]])</f>
        <v>2</v>
      </c>
      <c r="F868" s="1">
        <v>44963.083333333336</v>
      </c>
      <c r="G868" s="1">
        <v>44963.097916666673</v>
      </c>
      <c r="H868">
        <v>21</v>
      </c>
      <c r="I868">
        <v>39.51</v>
      </c>
      <c r="J868" t="str">
        <f t="shared" si="40"/>
        <v>Medium</v>
      </c>
      <c r="K868" t="s">
        <v>55</v>
      </c>
      <c r="L868">
        <v>36</v>
      </c>
      <c r="M868">
        <v>48</v>
      </c>
      <c r="N868" t="str">
        <f t="shared" si="41"/>
        <v>Medium Cost</v>
      </c>
      <c r="O868">
        <v>8.27</v>
      </c>
      <c r="P868" t="s">
        <v>51</v>
      </c>
      <c r="Q868" t="s">
        <v>24</v>
      </c>
      <c r="R868" t="s">
        <v>35</v>
      </c>
      <c r="S868" t="s">
        <v>754</v>
      </c>
      <c r="T868" t="s">
        <v>60</v>
      </c>
      <c r="U868">
        <v>58</v>
      </c>
      <c r="V868">
        <v>2.9</v>
      </c>
      <c r="W868" t="s">
        <v>28</v>
      </c>
      <c r="X868" t="s">
        <v>68</v>
      </c>
    </row>
    <row r="869" spans="1:24" x14ac:dyDescent="0.3">
      <c r="A869" t="s">
        <v>2146</v>
      </c>
      <c r="B869" t="s">
        <v>71</v>
      </c>
      <c r="C869" t="s">
        <v>72</v>
      </c>
      <c r="D869" t="str">
        <f t="shared" si="39"/>
        <v>Morning</v>
      </c>
      <c r="E869">
        <f>HOUR(EV_Data[[#This Row],[Charging Start Time]])</f>
        <v>3</v>
      </c>
      <c r="F869" s="1">
        <v>44963.125</v>
      </c>
      <c r="G869" s="1">
        <v>44963.166666666657</v>
      </c>
      <c r="H869">
        <v>60</v>
      </c>
      <c r="I869">
        <v>22.96</v>
      </c>
      <c r="J869" t="str">
        <f t="shared" si="40"/>
        <v>Medium</v>
      </c>
      <c r="K869" t="s">
        <v>22</v>
      </c>
      <c r="L869">
        <v>33</v>
      </c>
      <c r="M869">
        <v>53</v>
      </c>
      <c r="N869" t="str">
        <f t="shared" si="41"/>
        <v>Low Cost</v>
      </c>
      <c r="O869">
        <v>7.99</v>
      </c>
      <c r="P869" t="s">
        <v>64</v>
      </c>
      <c r="Q869" t="s">
        <v>24</v>
      </c>
      <c r="R869" t="s">
        <v>35</v>
      </c>
      <c r="S869" t="s">
        <v>755</v>
      </c>
      <c r="T869" t="s">
        <v>60</v>
      </c>
      <c r="U869">
        <v>52</v>
      </c>
      <c r="V869">
        <v>4.0999999999999996</v>
      </c>
      <c r="W869" t="s">
        <v>28</v>
      </c>
      <c r="X869" t="s">
        <v>68</v>
      </c>
    </row>
    <row r="870" spans="1:24" x14ac:dyDescent="0.3">
      <c r="A870" t="s">
        <v>2147</v>
      </c>
      <c r="B870" t="s">
        <v>40</v>
      </c>
      <c r="C870" t="s">
        <v>41</v>
      </c>
      <c r="D870" t="str">
        <f t="shared" si="39"/>
        <v>Morning</v>
      </c>
      <c r="E870">
        <f>HOUR(EV_Data[[#This Row],[Charging Start Time]])</f>
        <v>4</v>
      </c>
      <c r="F870" s="1">
        <v>44963.166666666664</v>
      </c>
      <c r="G870" s="1">
        <v>44963.212500000001</v>
      </c>
      <c r="H870">
        <v>66</v>
      </c>
      <c r="I870">
        <v>24.61</v>
      </c>
      <c r="J870" t="str">
        <f t="shared" si="40"/>
        <v>Medium</v>
      </c>
      <c r="K870" t="s">
        <v>32</v>
      </c>
      <c r="L870">
        <v>53</v>
      </c>
      <c r="M870">
        <v>64</v>
      </c>
      <c r="N870" t="str">
        <f t="shared" si="41"/>
        <v>Low Cost</v>
      </c>
      <c r="O870">
        <v>5.08</v>
      </c>
      <c r="P870" t="s">
        <v>33</v>
      </c>
      <c r="Q870" t="s">
        <v>58</v>
      </c>
      <c r="R870" t="s">
        <v>56</v>
      </c>
      <c r="S870" t="s">
        <v>382</v>
      </c>
      <c r="T870" t="s">
        <v>37</v>
      </c>
      <c r="U870">
        <v>20</v>
      </c>
      <c r="V870">
        <v>4.7</v>
      </c>
      <c r="W870" t="s">
        <v>38</v>
      </c>
      <c r="X870" t="s">
        <v>39</v>
      </c>
    </row>
    <row r="871" spans="1:24" x14ac:dyDescent="0.3">
      <c r="A871" t="s">
        <v>2148</v>
      </c>
      <c r="B871" t="s">
        <v>126</v>
      </c>
      <c r="C871" t="s">
        <v>31</v>
      </c>
      <c r="D871" t="str">
        <f t="shared" si="39"/>
        <v>Morning</v>
      </c>
      <c r="E871">
        <f>HOUR(EV_Data[[#This Row],[Charging Start Time]])</f>
        <v>5</v>
      </c>
      <c r="F871" s="1">
        <v>44963.208333333336</v>
      </c>
      <c r="G871" s="1">
        <v>44963.259722222218</v>
      </c>
      <c r="H871">
        <v>74</v>
      </c>
      <c r="I871">
        <v>24.63</v>
      </c>
      <c r="J871" t="str">
        <f t="shared" si="40"/>
        <v>Medium</v>
      </c>
      <c r="K871" t="s">
        <v>69</v>
      </c>
      <c r="L871">
        <v>19</v>
      </c>
      <c r="M871">
        <v>58</v>
      </c>
      <c r="N871" t="str">
        <f t="shared" si="41"/>
        <v>Medium Cost</v>
      </c>
      <c r="O871">
        <v>9.68</v>
      </c>
      <c r="P871" t="s">
        <v>64</v>
      </c>
      <c r="Q871" t="s">
        <v>24</v>
      </c>
      <c r="R871" t="s">
        <v>44</v>
      </c>
      <c r="S871" t="s">
        <v>504</v>
      </c>
      <c r="T871" t="s">
        <v>46</v>
      </c>
      <c r="U871">
        <v>11</v>
      </c>
      <c r="V871">
        <v>4.3</v>
      </c>
      <c r="W871" t="s">
        <v>38</v>
      </c>
      <c r="X871" t="s">
        <v>62</v>
      </c>
    </row>
    <row r="872" spans="1:24" x14ac:dyDescent="0.3">
      <c r="A872" t="s">
        <v>2149</v>
      </c>
      <c r="B872" t="s">
        <v>30</v>
      </c>
      <c r="C872" t="s">
        <v>102</v>
      </c>
      <c r="D872" t="str">
        <f t="shared" si="39"/>
        <v>Morning</v>
      </c>
      <c r="E872">
        <f>HOUR(EV_Data[[#This Row],[Charging Start Time]])</f>
        <v>6</v>
      </c>
      <c r="F872" s="1">
        <v>44963.25</v>
      </c>
      <c r="G872" s="1">
        <v>44963.283333333333</v>
      </c>
      <c r="H872">
        <v>48</v>
      </c>
      <c r="I872">
        <v>17.73</v>
      </c>
      <c r="J872" t="str">
        <f t="shared" si="40"/>
        <v>Low</v>
      </c>
      <c r="K872" t="s">
        <v>55</v>
      </c>
      <c r="L872">
        <v>79</v>
      </c>
      <c r="M872">
        <v>90</v>
      </c>
      <c r="N872" t="str">
        <f t="shared" si="41"/>
        <v>Low Cost</v>
      </c>
      <c r="O872">
        <v>7.43</v>
      </c>
      <c r="P872" t="s">
        <v>23</v>
      </c>
      <c r="Q872" t="s">
        <v>24</v>
      </c>
      <c r="R872" t="s">
        <v>44</v>
      </c>
      <c r="S872" t="s">
        <v>756</v>
      </c>
      <c r="T872" t="s">
        <v>46</v>
      </c>
      <c r="U872">
        <v>11</v>
      </c>
      <c r="V872">
        <v>2.4</v>
      </c>
      <c r="W872" t="s">
        <v>28</v>
      </c>
      <c r="X872" t="s">
        <v>68</v>
      </c>
    </row>
    <row r="873" spans="1:24" x14ac:dyDescent="0.3">
      <c r="A873" t="s">
        <v>2150</v>
      </c>
      <c r="B873" t="s">
        <v>71</v>
      </c>
      <c r="C873" t="s">
        <v>72</v>
      </c>
      <c r="D873" t="str">
        <f t="shared" si="39"/>
        <v>Morning</v>
      </c>
      <c r="E873">
        <f>HOUR(EV_Data[[#This Row],[Charging Start Time]])</f>
        <v>7</v>
      </c>
      <c r="F873" s="1">
        <v>44963.291666666664</v>
      </c>
      <c r="G873" s="1">
        <v>44963.322222222218</v>
      </c>
      <c r="H873">
        <v>44</v>
      </c>
      <c r="I873">
        <v>21.72</v>
      </c>
      <c r="J873" t="str">
        <f t="shared" si="40"/>
        <v>Medium</v>
      </c>
      <c r="K873" t="s">
        <v>22</v>
      </c>
      <c r="L873">
        <v>19</v>
      </c>
      <c r="M873">
        <v>59</v>
      </c>
      <c r="N873" t="str">
        <f t="shared" si="41"/>
        <v>Low Cost</v>
      </c>
      <c r="O873">
        <v>5.9</v>
      </c>
      <c r="P873" t="s">
        <v>23</v>
      </c>
      <c r="Q873" t="s">
        <v>48</v>
      </c>
      <c r="R873" t="s">
        <v>56</v>
      </c>
      <c r="S873" t="s">
        <v>711</v>
      </c>
      <c r="T873" t="s">
        <v>27</v>
      </c>
      <c r="U873">
        <v>33</v>
      </c>
      <c r="V873">
        <v>2.8</v>
      </c>
      <c r="W873" t="s">
        <v>47</v>
      </c>
      <c r="X873" t="s">
        <v>29</v>
      </c>
    </row>
    <row r="874" spans="1:24" x14ac:dyDescent="0.3">
      <c r="A874" t="s">
        <v>2151</v>
      </c>
      <c r="B874" t="s">
        <v>77</v>
      </c>
      <c r="C874" t="s">
        <v>78</v>
      </c>
      <c r="D874" t="str">
        <f t="shared" si="39"/>
        <v>Morning</v>
      </c>
      <c r="E874">
        <f>HOUR(EV_Data[[#This Row],[Charging Start Time]])</f>
        <v>8</v>
      </c>
      <c r="F874" s="1">
        <v>44963.333333333336</v>
      </c>
      <c r="G874" s="1">
        <v>44963.37777777778</v>
      </c>
      <c r="H874">
        <v>64</v>
      </c>
      <c r="I874">
        <v>11.17</v>
      </c>
      <c r="J874" t="str">
        <f t="shared" si="40"/>
        <v>Low</v>
      </c>
      <c r="K874" t="s">
        <v>55</v>
      </c>
      <c r="L874">
        <v>48</v>
      </c>
      <c r="M874">
        <v>58</v>
      </c>
      <c r="N874" t="str">
        <f t="shared" si="41"/>
        <v>Low Cost</v>
      </c>
      <c r="O874">
        <v>3.88</v>
      </c>
      <c r="P874" t="s">
        <v>43</v>
      </c>
      <c r="Q874" t="s">
        <v>34</v>
      </c>
      <c r="R874" t="s">
        <v>35</v>
      </c>
      <c r="S874" t="s">
        <v>757</v>
      </c>
      <c r="T874" t="s">
        <v>60</v>
      </c>
      <c r="U874">
        <v>70</v>
      </c>
      <c r="V874">
        <v>3.2</v>
      </c>
      <c r="W874" t="s">
        <v>28</v>
      </c>
      <c r="X874" t="s">
        <v>68</v>
      </c>
    </row>
    <row r="875" spans="1:24" x14ac:dyDescent="0.3">
      <c r="A875" t="s">
        <v>2152</v>
      </c>
      <c r="B875" t="s">
        <v>30</v>
      </c>
      <c r="C875" t="s">
        <v>102</v>
      </c>
      <c r="D875" t="str">
        <f t="shared" si="39"/>
        <v>Morning</v>
      </c>
      <c r="E875">
        <f>HOUR(EV_Data[[#This Row],[Charging Start Time]])</f>
        <v>9</v>
      </c>
      <c r="F875" s="1">
        <v>44963.375</v>
      </c>
      <c r="G875" s="1">
        <v>44963.375694444447</v>
      </c>
      <c r="H875">
        <v>1</v>
      </c>
      <c r="I875">
        <v>13.22</v>
      </c>
      <c r="J875" t="str">
        <f t="shared" si="40"/>
        <v>Low</v>
      </c>
      <c r="K875" t="s">
        <v>22</v>
      </c>
      <c r="L875">
        <v>36</v>
      </c>
      <c r="M875">
        <v>70</v>
      </c>
      <c r="N875" t="str">
        <f t="shared" si="41"/>
        <v>Low Cost</v>
      </c>
      <c r="O875">
        <v>6.2</v>
      </c>
      <c r="P875" t="s">
        <v>43</v>
      </c>
      <c r="Q875" t="s">
        <v>48</v>
      </c>
      <c r="R875" t="s">
        <v>35</v>
      </c>
      <c r="S875" t="s">
        <v>758</v>
      </c>
      <c r="T875" t="s">
        <v>46</v>
      </c>
      <c r="U875">
        <v>83</v>
      </c>
      <c r="V875">
        <v>4.7</v>
      </c>
      <c r="W875" t="s">
        <v>28</v>
      </c>
      <c r="X875" t="s">
        <v>68</v>
      </c>
    </row>
    <row r="876" spans="1:24" x14ac:dyDescent="0.3">
      <c r="A876" t="s">
        <v>2153</v>
      </c>
      <c r="B876" t="s">
        <v>92</v>
      </c>
      <c r="C876" t="s">
        <v>93</v>
      </c>
      <c r="D876" t="str">
        <f t="shared" si="39"/>
        <v>Morning</v>
      </c>
      <c r="E876">
        <f>HOUR(EV_Data[[#This Row],[Charging Start Time]])</f>
        <v>10</v>
      </c>
      <c r="F876" s="1">
        <v>44963.416666666664</v>
      </c>
      <c r="G876" s="1">
        <v>44963.436805555553</v>
      </c>
      <c r="H876">
        <v>29</v>
      </c>
      <c r="I876">
        <v>8.58</v>
      </c>
      <c r="J876" t="str">
        <f t="shared" si="40"/>
        <v>Low</v>
      </c>
      <c r="K876" t="s">
        <v>32</v>
      </c>
      <c r="L876">
        <v>52</v>
      </c>
      <c r="M876">
        <v>70</v>
      </c>
      <c r="N876" t="str">
        <f t="shared" si="41"/>
        <v>Low Cost</v>
      </c>
      <c r="O876">
        <v>3.66</v>
      </c>
      <c r="P876" t="s">
        <v>23</v>
      </c>
      <c r="Q876" t="s">
        <v>24</v>
      </c>
      <c r="R876" t="s">
        <v>44</v>
      </c>
      <c r="S876" t="s">
        <v>759</v>
      </c>
      <c r="T876" t="s">
        <v>27</v>
      </c>
      <c r="U876">
        <v>73</v>
      </c>
      <c r="V876">
        <v>1.2</v>
      </c>
      <c r="W876" t="s">
        <v>47</v>
      </c>
      <c r="X876" t="s">
        <v>29</v>
      </c>
    </row>
    <row r="877" spans="1:24" x14ac:dyDescent="0.3">
      <c r="A877" t="s">
        <v>2154</v>
      </c>
      <c r="B877" t="s">
        <v>30</v>
      </c>
      <c r="C877" t="s">
        <v>102</v>
      </c>
      <c r="D877" t="str">
        <f t="shared" si="39"/>
        <v>Morning</v>
      </c>
      <c r="E877">
        <f>HOUR(EV_Data[[#This Row],[Charging Start Time]])</f>
        <v>11</v>
      </c>
      <c r="F877" s="1">
        <v>44963.458333333336</v>
      </c>
      <c r="G877" s="1">
        <v>44963.488194444442</v>
      </c>
      <c r="H877">
        <v>43</v>
      </c>
      <c r="I877">
        <v>5.13</v>
      </c>
      <c r="J877" t="str">
        <f t="shared" si="40"/>
        <v>Low</v>
      </c>
      <c r="K877" t="s">
        <v>32</v>
      </c>
      <c r="L877">
        <v>62</v>
      </c>
      <c r="M877">
        <v>75</v>
      </c>
      <c r="N877" t="str">
        <f t="shared" si="41"/>
        <v>Low Cost</v>
      </c>
      <c r="O877">
        <v>1.18</v>
      </c>
      <c r="P877" t="s">
        <v>43</v>
      </c>
      <c r="Q877" t="s">
        <v>48</v>
      </c>
      <c r="R877" t="s">
        <v>44</v>
      </c>
      <c r="S877" t="s">
        <v>760</v>
      </c>
      <c r="T877" t="s">
        <v>27</v>
      </c>
      <c r="U877">
        <v>20</v>
      </c>
      <c r="V877">
        <v>3.7</v>
      </c>
      <c r="W877" t="s">
        <v>28</v>
      </c>
      <c r="X877" t="s">
        <v>68</v>
      </c>
    </row>
    <row r="878" spans="1:24" x14ac:dyDescent="0.3">
      <c r="A878" t="s">
        <v>2155</v>
      </c>
      <c r="B878" t="s">
        <v>20</v>
      </c>
      <c r="C878" t="s">
        <v>21</v>
      </c>
      <c r="D878" t="str">
        <f t="shared" si="39"/>
        <v>Afternoon</v>
      </c>
      <c r="E878">
        <f>HOUR(EV_Data[[#This Row],[Charging Start Time]])</f>
        <v>12</v>
      </c>
      <c r="F878" s="1">
        <v>44963.5</v>
      </c>
      <c r="G878" s="1">
        <v>44963.525694444441</v>
      </c>
      <c r="H878">
        <v>37</v>
      </c>
      <c r="I878">
        <v>8.98</v>
      </c>
      <c r="J878" t="str">
        <f t="shared" si="40"/>
        <v>Low</v>
      </c>
      <c r="K878" t="s">
        <v>55</v>
      </c>
      <c r="L878">
        <v>59</v>
      </c>
      <c r="M878">
        <v>97</v>
      </c>
      <c r="N878" t="str">
        <f t="shared" si="41"/>
        <v>Low Cost</v>
      </c>
      <c r="O878">
        <v>2.0699999999999998</v>
      </c>
      <c r="P878" t="s">
        <v>43</v>
      </c>
      <c r="Q878" t="s">
        <v>34</v>
      </c>
      <c r="R878" t="s">
        <v>25</v>
      </c>
      <c r="S878" t="s">
        <v>761</v>
      </c>
      <c r="T878" t="s">
        <v>60</v>
      </c>
      <c r="U878">
        <v>31</v>
      </c>
      <c r="V878">
        <v>2.2999999999999998</v>
      </c>
      <c r="W878" t="s">
        <v>28</v>
      </c>
      <c r="X878" t="s">
        <v>68</v>
      </c>
    </row>
    <row r="879" spans="1:24" x14ac:dyDescent="0.3">
      <c r="A879" t="s">
        <v>2156</v>
      </c>
      <c r="B879" t="s">
        <v>92</v>
      </c>
      <c r="C879" t="s">
        <v>93</v>
      </c>
      <c r="D879" t="str">
        <f t="shared" si="39"/>
        <v>Afternoon</v>
      </c>
      <c r="E879">
        <f>HOUR(EV_Data[[#This Row],[Charging Start Time]])</f>
        <v>13</v>
      </c>
      <c r="F879" s="1">
        <v>44963.541666666664</v>
      </c>
      <c r="G879" s="1">
        <v>44963.549305555563</v>
      </c>
      <c r="H879">
        <v>11</v>
      </c>
      <c r="I879">
        <v>5.85</v>
      </c>
      <c r="J879" t="str">
        <f t="shared" si="40"/>
        <v>Low</v>
      </c>
      <c r="K879" t="s">
        <v>55</v>
      </c>
      <c r="L879">
        <v>47</v>
      </c>
      <c r="M879">
        <v>64</v>
      </c>
      <c r="N879" t="str">
        <f t="shared" si="41"/>
        <v>Low Cost</v>
      </c>
      <c r="O879">
        <v>2.77</v>
      </c>
      <c r="P879" t="s">
        <v>43</v>
      </c>
      <c r="Q879" t="s">
        <v>34</v>
      </c>
      <c r="R879" t="s">
        <v>44</v>
      </c>
      <c r="S879" t="s">
        <v>762</v>
      </c>
      <c r="T879" t="s">
        <v>37</v>
      </c>
      <c r="U879">
        <v>96</v>
      </c>
      <c r="V879">
        <v>1.7</v>
      </c>
      <c r="W879" t="s">
        <v>38</v>
      </c>
      <c r="X879" t="s">
        <v>39</v>
      </c>
    </row>
    <row r="880" spans="1:24" x14ac:dyDescent="0.3">
      <c r="A880" t="s">
        <v>2157</v>
      </c>
      <c r="B880" t="s">
        <v>77</v>
      </c>
      <c r="C880" t="s">
        <v>78</v>
      </c>
      <c r="D880" t="str">
        <f t="shared" si="39"/>
        <v>Afternoon</v>
      </c>
      <c r="E880">
        <f>HOUR(EV_Data[[#This Row],[Charging Start Time]])</f>
        <v>14</v>
      </c>
      <c r="F880" s="1">
        <v>44963.583333333336</v>
      </c>
      <c r="G880" s="1">
        <v>44963.597916666673</v>
      </c>
      <c r="H880">
        <v>21</v>
      </c>
      <c r="I880">
        <v>14.22</v>
      </c>
      <c r="J880" t="str">
        <f t="shared" si="40"/>
        <v>Low</v>
      </c>
      <c r="K880" t="s">
        <v>22</v>
      </c>
      <c r="L880">
        <v>41</v>
      </c>
      <c r="M880">
        <v>56</v>
      </c>
      <c r="N880" t="str">
        <f t="shared" si="41"/>
        <v>Low Cost</v>
      </c>
      <c r="O880">
        <v>3.67</v>
      </c>
      <c r="P880" t="s">
        <v>64</v>
      </c>
      <c r="Q880" t="s">
        <v>24</v>
      </c>
      <c r="R880" t="s">
        <v>25</v>
      </c>
      <c r="S880" t="s">
        <v>763</v>
      </c>
      <c r="T880" t="s">
        <v>37</v>
      </c>
      <c r="U880">
        <v>29</v>
      </c>
      <c r="V880">
        <v>3</v>
      </c>
      <c r="W880" t="s">
        <v>38</v>
      </c>
      <c r="X880" t="s">
        <v>85</v>
      </c>
    </row>
    <row r="881" spans="1:24" x14ac:dyDescent="0.3">
      <c r="A881" t="s">
        <v>2158</v>
      </c>
      <c r="B881" t="s">
        <v>77</v>
      </c>
      <c r="C881" t="s">
        <v>78</v>
      </c>
      <c r="D881" t="str">
        <f t="shared" si="39"/>
        <v>Afternoon</v>
      </c>
      <c r="E881">
        <f>HOUR(EV_Data[[#This Row],[Charging Start Time]])</f>
        <v>15</v>
      </c>
      <c r="F881" s="1">
        <v>44963.625</v>
      </c>
      <c r="G881" s="1">
        <v>44963.643750000003</v>
      </c>
      <c r="H881">
        <v>27</v>
      </c>
      <c r="I881">
        <v>48.37</v>
      </c>
      <c r="J881" t="str">
        <f t="shared" si="40"/>
        <v>Medium</v>
      </c>
      <c r="K881" t="s">
        <v>22</v>
      </c>
      <c r="L881">
        <v>65</v>
      </c>
      <c r="M881">
        <v>95</v>
      </c>
      <c r="N881" t="str">
        <f t="shared" si="41"/>
        <v>Medium Cost</v>
      </c>
      <c r="O881">
        <v>13.98</v>
      </c>
      <c r="P881" t="s">
        <v>33</v>
      </c>
      <c r="Q881" t="s">
        <v>34</v>
      </c>
      <c r="R881" t="s">
        <v>56</v>
      </c>
      <c r="S881" t="s">
        <v>666</v>
      </c>
      <c r="T881" t="s">
        <v>37</v>
      </c>
      <c r="U881">
        <v>38</v>
      </c>
      <c r="V881">
        <v>5</v>
      </c>
      <c r="W881" t="s">
        <v>38</v>
      </c>
      <c r="X881" t="s">
        <v>62</v>
      </c>
    </row>
    <row r="882" spans="1:24" x14ac:dyDescent="0.3">
      <c r="A882" t="s">
        <v>2159</v>
      </c>
      <c r="B882" t="s">
        <v>126</v>
      </c>
      <c r="C882" t="s">
        <v>31</v>
      </c>
      <c r="D882" t="str">
        <f t="shared" si="39"/>
        <v>Afternoon</v>
      </c>
      <c r="E882">
        <f>HOUR(EV_Data[[#This Row],[Charging Start Time]])</f>
        <v>16</v>
      </c>
      <c r="F882" s="1">
        <v>44963.666666666664</v>
      </c>
      <c r="G882" s="1">
        <v>44963.704861111109</v>
      </c>
      <c r="H882">
        <v>55</v>
      </c>
      <c r="I882">
        <v>26.46</v>
      </c>
      <c r="J882" t="str">
        <f t="shared" si="40"/>
        <v>Medium</v>
      </c>
      <c r="K882" t="s">
        <v>42</v>
      </c>
      <c r="L882">
        <v>79</v>
      </c>
      <c r="M882">
        <v>100</v>
      </c>
      <c r="N882" t="str">
        <f t="shared" si="41"/>
        <v>Medium Cost</v>
      </c>
      <c r="O882">
        <v>8.91</v>
      </c>
      <c r="P882" t="s">
        <v>43</v>
      </c>
      <c r="Q882" t="s">
        <v>24</v>
      </c>
      <c r="R882" t="s">
        <v>44</v>
      </c>
      <c r="S882" t="s">
        <v>26</v>
      </c>
      <c r="T882" t="s">
        <v>37</v>
      </c>
      <c r="U882">
        <v>31</v>
      </c>
      <c r="V882">
        <v>1.9</v>
      </c>
      <c r="W882" t="s">
        <v>28</v>
      </c>
      <c r="X882" t="s">
        <v>68</v>
      </c>
    </row>
    <row r="883" spans="1:24" x14ac:dyDescent="0.3">
      <c r="A883" t="s">
        <v>2160</v>
      </c>
      <c r="B883" t="s">
        <v>92</v>
      </c>
      <c r="C883" t="s">
        <v>93</v>
      </c>
      <c r="D883" t="str">
        <f t="shared" si="39"/>
        <v>Evening</v>
      </c>
      <c r="E883">
        <f>HOUR(EV_Data[[#This Row],[Charging Start Time]])</f>
        <v>17</v>
      </c>
      <c r="F883" s="1">
        <v>44963.708333333336</v>
      </c>
      <c r="G883" s="1">
        <v>44963.736805555563</v>
      </c>
      <c r="H883">
        <v>41</v>
      </c>
      <c r="I883">
        <v>16.579999999999998</v>
      </c>
      <c r="J883" t="str">
        <f t="shared" si="40"/>
        <v>Low</v>
      </c>
      <c r="K883" t="s">
        <v>42</v>
      </c>
      <c r="L883">
        <v>51</v>
      </c>
      <c r="M883">
        <v>84</v>
      </c>
      <c r="N883" t="str">
        <f t="shared" si="41"/>
        <v>Low Cost</v>
      </c>
      <c r="O883">
        <v>5.12</v>
      </c>
      <c r="P883" t="s">
        <v>43</v>
      </c>
      <c r="Q883" t="s">
        <v>48</v>
      </c>
      <c r="R883" t="s">
        <v>44</v>
      </c>
      <c r="S883" t="s">
        <v>697</v>
      </c>
      <c r="T883" t="s">
        <v>46</v>
      </c>
      <c r="U883">
        <v>86</v>
      </c>
      <c r="V883">
        <v>3</v>
      </c>
      <c r="W883" t="s">
        <v>38</v>
      </c>
      <c r="X883" t="s">
        <v>62</v>
      </c>
    </row>
    <row r="884" spans="1:24" x14ac:dyDescent="0.3">
      <c r="A884" t="s">
        <v>2161</v>
      </c>
      <c r="B884" t="s">
        <v>77</v>
      </c>
      <c r="C884" t="s">
        <v>78</v>
      </c>
      <c r="D884" t="str">
        <f t="shared" si="39"/>
        <v>Evening</v>
      </c>
      <c r="E884">
        <f>HOUR(EV_Data[[#This Row],[Charging Start Time]])</f>
        <v>18</v>
      </c>
      <c r="F884" s="1">
        <v>44963.75</v>
      </c>
      <c r="G884" s="1">
        <v>44963.784722222219</v>
      </c>
      <c r="H884">
        <v>50</v>
      </c>
      <c r="I884">
        <v>42.42</v>
      </c>
      <c r="J884" t="str">
        <f t="shared" si="40"/>
        <v>Medium</v>
      </c>
      <c r="K884" t="s">
        <v>32</v>
      </c>
      <c r="L884">
        <v>64</v>
      </c>
      <c r="M884">
        <v>97</v>
      </c>
      <c r="N884" t="str">
        <f t="shared" si="41"/>
        <v>High Cost</v>
      </c>
      <c r="O884">
        <v>18.86</v>
      </c>
      <c r="P884" t="s">
        <v>64</v>
      </c>
      <c r="Q884" t="s">
        <v>48</v>
      </c>
      <c r="R884" t="s">
        <v>44</v>
      </c>
      <c r="S884" t="s">
        <v>764</v>
      </c>
      <c r="T884" t="s">
        <v>46</v>
      </c>
      <c r="U884">
        <v>41</v>
      </c>
      <c r="V884">
        <v>3.3</v>
      </c>
      <c r="W884" t="s">
        <v>28</v>
      </c>
      <c r="X884" t="s">
        <v>68</v>
      </c>
    </row>
    <row r="885" spans="1:24" x14ac:dyDescent="0.3">
      <c r="A885" t="s">
        <v>2162</v>
      </c>
      <c r="B885" t="s">
        <v>40</v>
      </c>
      <c r="C885" t="s">
        <v>41</v>
      </c>
      <c r="D885" t="str">
        <f t="shared" si="39"/>
        <v>Evening</v>
      </c>
      <c r="E885">
        <f>HOUR(EV_Data[[#This Row],[Charging Start Time]])</f>
        <v>19</v>
      </c>
      <c r="F885" s="1">
        <v>44963.791666666664</v>
      </c>
      <c r="G885" s="1">
        <v>44963.792361111111</v>
      </c>
      <c r="H885">
        <v>1</v>
      </c>
      <c r="I885">
        <v>6.5</v>
      </c>
      <c r="J885" t="str">
        <f t="shared" si="40"/>
        <v>Low</v>
      </c>
      <c r="K885" t="s">
        <v>69</v>
      </c>
      <c r="L885">
        <v>12</v>
      </c>
      <c r="M885">
        <v>25</v>
      </c>
      <c r="N885" t="str">
        <f t="shared" si="41"/>
        <v>Low Cost</v>
      </c>
      <c r="O885">
        <v>1.76</v>
      </c>
      <c r="P885" t="s">
        <v>51</v>
      </c>
      <c r="Q885" t="s">
        <v>24</v>
      </c>
      <c r="R885" t="s">
        <v>35</v>
      </c>
      <c r="S885" t="s">
        <v>175</v>
      </c>
      <c r="T885" t="s">
        <v>37</v>
      </c>
      <c r="U885">
        <v>8</v>
      </c>
      <c r="V885">
        <v>2.6</v>
      </c>
      <c r="W885" t="s">
        <v>38</v>
      </c>
      <c r="X885" t="s">
        <v>85</v>
      </c>
    </row>
    <row r="886" spans="1:24" x14ac:dyDescent="0.3">
      <c r="A886" t="s">
        <v>2163</v>
      </c>
      <c r="B886" t="s">
        <v>71</v>
      </c>
      <c r="C886" t="s">
        <v>72</v>
      </c>
      <c r="D886" t="str">
        <f t="shared" si="39"/>
        <v>Evening</v>
      </c>
      <c r="E886">
        <f>HOUR(EV_Data[[#This Row],[Charging Start Time]])</f>
        <v>20</v>
      </c>
      <c r="F886" s="1">
        <v>44963.833333333336</v>
      </c>
      <c r="G886" s="1">
        <v>44963.865277777782</v>
      </c>
      <c r="H886">
        <v>46</v>
      </c>
      <c r="I886">
        <v>17.559999999999999</v>
      </c>
      <c r="J886" t="str">
        <f t="shared" si="40"/>
        <v>Low</v>
      </c>
      <c r="K886" t="s">
        <v>69</v>
      </c>
      <c r="L886">
        <v>44</v>
      </c>
      <c r="M886">
        <v>78</v>
      </c>
      <c r="N886" t="str">
        <f t="shared" si="41"/>
        <v>Medium Cost</v>
      </c>
      <c r="O886">
        <v>8.01</v>
      </c>
      <c r="P886" t="s">
        <v>33</v>
      </c>
      <c r="Q886" t="s">
        <v>58</v>
      </c>
      <c r="R886" t="s">
        <v>44</v>
      </c>
      <c r="S886" t="s">
        <v>311</v>
      </c>
      <c r="T886" t="s">
        <v>37</v>
      </c>
      <c r="U886">
        <v>32</v>
      </c>
      <c r="V886">
        <v>2.2000000000000002</v>
      </c>
      <c r="W886" t="s">
        <v>28</v>
      </c>
      <c r="X886" t="s">
        <v>68</v>
      </c>
    </row>
    <row r="887" spans="1:24" x14ac:dyDescent="0.3">
      <c r="A887" t="s">
        <v>2164</v>
      </c>
      <c r="B887" t="s">
        <v>40</v>
      </c>
      <c r="C887" t="s">
        <v>41</v>
      </c>
      <c r="D887" t="str">
        <f t="shared" si="39"/>
        <v>Evening</v>
      </c>
      <c r="E887">
        <f>HOUR(EV_Data[[#This Row],[Charging Start Time]])</f>
        <v>21</v>
      </c>
      <c r="F887" s="1">
        <v>44963.875</v>
      </c>
      <c r="G887" s="1">
        <v>44963.914583333331</v>
      </c>
      <c r="H887">
        <v>57</v>
      </c>
      <c r="I887">
        <v>16.32</v>
      </c>
      <c r="J887" t="str">
        <f t="shared" si="40"/>
        <v>Low</v>
      </c>
      <c r="K887" t="s">
        <v>32</v>
      </c>
      <c r="L887">
        <v>67</v>
      </c>
      <c r="M887">
        <v>95</v>
      </c>
      <c r="N887" t="str">
        <f t="shared" si="41"/>
        <v>Low Cost</v>
      </c>
      <c r="O887">
        <v>4.1100000000000003</v>
      </c>
      <c r="P887" t="s">
        <v>43</v>
      </c>
      <c r="Q887" t="s">
        <v>34</v>
      </c>
      <c r="R887" t="s">
        <v>25</v>
      </c>
      <c r="S887" t="s">
        <v>765</v>
      </c>
      <c r="T887" t="s">
        <v>37</v>
      </c>
      <c r="U887">
        <v>58</v>
      </c>
      <c r="V887">
        <v>1</v>
      </c>
      <c r="W887" t="s">
        <v>47</v>
      </c>
      <c r="X887" t="s">
        <v>29</v>
      </c>
    </row>
    <row r="888" spans="1:24" x14ac:dyDescent="0.3">
      <c r="A888" t="s">
        <v>2165</v>
      </c>
      <c r="B888" t="s">
        <v>30</v>
      </c>
      <c r="C888" t="s">
        <v>102</v>
      </c>
      <c r="D888" t="str">
        <f t="shared" si="39"/>
        <v>Evening</v>
      </c>
      <c r="E888">
        <f>HOUR(EV_Data[[#This Row],[Charging Start Time]])</f>
        <v>22</v>
      </c>
      <c r="F888" s="1">
        <v>44963.916666666664</v>
      </c>
      <c r="G888" s="1">
        <v>44963.99722222222</v>
      </c>
      <c r="H888">
        <v>116</v>
      </c>
      <c r="I888">
        <v>44.86</v>
      </c>
      <c r="J888" t="str">
        <f t="shared" si="40"/>
        <v>Medium</v>
      </c>
      <c r="K888" t="s">
        <v>42</v>
      </c>
      <c r="L888">
        <v>72</v>
      </c>
      <c r="M888">
        <v>82</v>
      </c>
      <c r="N888" t="str">
        <f t="shared" si="41"/>
        <v>Medium Cost</v>
      </c>
      <c r="O888">
        <v>15.68</v>
      </c>
      <c r="P888" t="s">
        <v>33</v>
      </c>
      <c r="Q888" t="s">
        <v>34</v>
      </c>
      <c r="R888" t="s">
        <v>56</v>
      </c>
      <c r="S888" t="s">
        <v>641</v>
      </c>
      <c r="T888" t="s">
        <v>37</v>
      </c>
      <c r="U888">
        <v>46</v>
      </c>
      <c r="V888">
        <v>4.0999999999999996</v>
      </c>
      <c r="W888" t="s">
        <v>47</v>
      </c>
      <c r="X888" t="s">
        <v>29</v>
      </c>
    </row>
    <row r="889" spans="1:24" x14ac:dyDescent="0.3">
      <c r="A889" t="s">
        <v>2166</v>
      </c>
      <c r="B889" t="s">
        <v>92</v>
      </c>
      <c r="C889" t="s">
        <v>93</v>
      </c>
      <c r="D889" t="str">
        <f t="shared" si="39"/>
        <v>Evening</v>
      </c>
      <c r="E889">
        <f>HOUR(EV_Data[[#This Row],[Charging Start Time]])</f>
        <v>23</v>
      </c>
      <c r="F889" s="1">
        <v>44963.958333333336</v>
      </c>
      <c r="G889" s="1">
        <v>44964.011111111111</v>
      </c>
      <c r="H889">
        <v>76</v>
      </c>
      <c r="I889">
        <v>8.6</v>
      </c>
      <c r="J889" t="str">
        <f t="shared" si="40"/>
        <v>Low</v>
      </c>
      <c r="K889" t="s">
        <v>32</v>
      </c>
      <c r="L889">
        <v>11</v>
      </c>
      <c r="M889">
        <v>26</v>
      </c>
      <c r="N889" t="str">
        <f t="shared" si="41"/>
        <v>Low Cost</v>
      </c>
      <c r="O889">
        <v>2.92</v>
      </c>
      <c r="P889" t="s">
        <v>43</v>
      </c>
      <c r="Q889" t="s">
        <v>58</v>
      </c>
      <c r="R889" t="s">
        <v>35</v>
      </c>
      <c r="S889" t="s">
        <v>766</v>
      </c>
      <c r="T889" t="s">
        <v>46</v>
      </c>
      <c r="U889">
        <v>23</v>
      </c>
      <c r="V889">
        <v>4</v>
      </c>
      <c r="W889" t="s">
        <v>28</v>
      </c>
      <c r="X889" t="s">
        <v>68</v>
      </c>
    </row>
    <row r="890" spans="1:24" x14ac:dyDescent="0.3">
      <c r="A890" t="s">
        <v>2167</v>
      </c>
      <c r="B890" t="s">
        <v>53</v>
      </c>
      <c r="C890" t="s">
        <v>54</v>
      </c>
      <c r="D890" t="str">
        <f t="shared" si="39"/>
        <v>Morning</v>
      </c>
      <c r="E890">
        <f>HOUR(EV_Data[[#This Row],[Charging Start Time]])</f>
        <v>0</v>
      </c>
      <c r="F890" s="1">
        <v>44964</v>
      </c>
      <c r="G890" s="1">
        <v>44964.055555555547</v>
      </c>
      <c r="H890">
        <v>80</v>
      </c>
      <c r="I890">
        <v>46.42</v>
      </c>
      <c r="J890" t="str">
        <f t="shared" si="40"/>
        <v>Medium</v>
      </c>
      <c r="K890" t="s">
        <v>32</v>
      </c>
      <c r="L890">
        <v>51</v>
      </c>
      <c r="M890">
        <v>80</v>
      </c>
      <c r="N890" t="str">
        <f t="shared" si="41"/>
        <v>High Cost</v>
      </c>
      <c r="O890">
        <v>22.11</v>
      </c>
      <c r="P890" t="s">
        <v>64</v>
      </c>
      <c r="Q890" t="s">
        <v>48</v>
      </c>
      <c r="R890" t="s">
        <v>35</v>
      </c>
      <c r="S890" t="s">
        <v>767</v>
      </c>
      <c r="T890" t="s">
        <v>60</v>
      </c>
      <c r="U890">
        <v>6</v>
      </c>
      <c r="V890">
        <v>1.8</v>
      </c>
      <c r="W890" t="s">
        <v>47</v>
      </c>
      <c r="X890" t="s">
        <v>29</v>
      </c>
    </row>
    <row r="891" spans="1:24" x14ac:dyDescent="0.3">
      <c r="A891" t="s">
        <v>2168</v>
      </c>
      <c r="B891" t="s">
        <v>20</v>
      </c>
      <c r="C891" t="s">
        <v>21</v>
      </c>
      <c r="D891" t="str">
        <f t="shared" si="39"/>
        <v>Morning</v>
      </c>
      <c r="E891">
        <f>HOUR(EV_Data[[#This Row],[Charging Start Time]])</f>
        <v>1</v>
      </c>
      <c r="F891" s="1">
        <v>44964.041666666664</v>
      </c>
      <c r="G891" s="1">
        <v>44964.072916666657</v>
      </c>
      <c r="H891">
        <v>45</v>
      </c>
      <c r="I891">
        <v>17.41</v>
      </c>
      <c r="J891" t="str">
        <f t="shared" si="40"/>
        <v>Low</v>
      </c>
      <c r="K891" t="s">
        <v>50</v>
      </c>
      <c r="L891">
        <v>71</v>
      </c>
      <c r="M891">
        <v>93</v>
      </c>
      <c r="N891" t="str">
        <f t="shared" si="41"/>
        <v>Low Cost</v>
      </c>
      <c r="O891">
        <v>5.3</v>
      </c>
      <c r="P891" t="s">
        <v>33</v>
      </c>
      <c r="Q891" t="s">
        <v>58</v>
      </c>
      <c r="R891" t="s">
        <v>44</v>
      </c>
      <c r="S891" t="s">
        <v>768</v>
      </c>
      <c r="T891" t="s">
        <v>27</v>
      </c>
      <c r="U891">
        <v>6</v>
      </c>
      <c r="V891">
        <v>4.5</v>
      </c>
      <c r="W891" t="s">
        <v>47</v>
      </c>
      <c r="X891" t="s">
        <v>29</v>
      </c>
    </row>
    <row r="892" spans="1:24" x14ac:dyDescent="0.3">
      <c r="A892" t="s">
        <v>2169</v>
      </c>
      <c r="B892" t="s">
        <v>71</v>
      </c>
      <c r="C892" t="s">
        <v>72</v>
      </c>
      <c r="D892" t="str">
        <f t="shared" si="39"/>
        <v>Morning</v>
      </c>
      <c r="E892">
        <f>HOUR(EV_Data[[#This Row],[Charging Start Time]])</f>
        <v>2</v>
      </c>
      <c r="F892" s="1">
        <v>44964.083333333336</v>
      </c>
      <c r="G892" s="1">
        <v>44964.121527777781</v>
      </c>
      <c r="H892">
        <v>55</v>
      </c>
      <c r="I892">
        <v>17.54</v>
      </c>
      <c r="J892" t="str">
        <f t="shared" si="40"/>
        <v>Low</v>
      </c>
      <c r="K892" t="s">
        <v>42</v>
      </c>
      <c r="L892">
        <v>36</v>
      </c>
      <c r="M892">
        <v>52</v>
      </c>
      <c r="N892" t="str">
        <f t="shared" si="41"/>
        <v>Low Cost</v>
      </c>
      <c r="O892">
        <v>5.98</v>
      </c>
      <c r="P892" t="s">
        <v>64</v>
      </c>
      <c r="Q892" t="s">
        <v>24</v>
      </c>
      <c r="R892" t="s">
        <v>44</v>
      </c>
      <c r="S892" t="s">
        <v>769</v>
      </c>
      <c r="T892" t="s">
        <v>27</v>
      </c>
      <c r="U892">
        <v>45</v>
      </c>
      <c r="V892">
        <v>1.5</v>
      </c>
      <c r="W892" t="s">
        <v>28</v>
      </c>
      <c r="X892" t="s">
        <v>68</v>
      </c>
    </row>
    <row r="893" spans="1:24" x14ac:dyDescent="0.3">
      <c r="A893" t="s">
        <v>2170</v>
      </c>
      <c r="B893" t="s">
        <v>77</v>
      </c>
      <c r="C893" t="s">
        <v>78</v>
      </c>
      <c r="D893" t="str">
        <f t="shared" si="39"/>
        <v>Morning</v>
      </c>
      <c r="E893">
        <f>HOUR(EV_Data[[#This Row],[Charging Start Time]])</f>
        <v>3</v>
      </c>
      <c r="F893" s="1">
        <v>44964.125</v>
      </c>
      <c r="G893" s="1">
        <v>44964.175000000003</v>
      </c>
      <c r="H893">
        <v>72</v>
      </c>
      <c r="I893">
        <v>13.56</v>
      </c>
      <c r="J893" t="str">
        <f t="shared" si="40"/>
        <v>Low</v>
      </c>
      <c r="K893" t="s">
        <v>42</v>
      </c>
      <c r="L893">
        <v>10</v>
      </c>
      <c r="M893">
        <v>21</v>
      </c>
      <c r="N893" t="str">
        <f t="shared" si="41"/>
        <v>Low Cost</v>
      </c>
      <c r="O893">
        <v>5.53</v>
      </c>
      <c r="P893" t="s">
        <v>64</v>
      </c>
      <c r="Q893" t="s">
        <v>24</v>
      </c>
      <c r="R893" t="s">
        <v>25</v>
      </c>
      <c r="S893" t="s">
        <v>770</v>
      </c>
      <c r="T893" t="s">
        <v>37</v>
      </c>
      <c r="U893">
        <v>29</v>
      </c>
      <c r="V893">
        <v>4.0999999999999996</v>
      </c>
      <c r="W893" t="s">
        <v>28</v>
      </c>
      <c r="X893" t="s">
        <v>68</v>
      </c>
    </row>
    <row r="894" spans="1:24" x14ac:dyDescent="0.3">
      <c r="A894" t="s">
        <v>2171</v>
      </c>
      <c r="B894" t="s">
        <v>30</v>
      </c>
      <c r="C894" t="s">
        <v>102</v>
      </c>
      <c r="D894" t="str">
        <f t="shared" si="39"/>
        <v>Morning</v>
      </c>
      <c r="E894">
        <f>HOUR(EV_Data[[#This Row],[Charging Start Time]])</f>
        <v>4</v>
      </c>
      <c r="F894" s="1">
        <v>44964.166666666664</v>
      </c>
      <c r="G894" s="1">
        <v>44964.213888888888</v>
      </c>
      <c r="H894">
        <v>68</v>
      </c>
      <c r="I894">
        <v>16.95</v>
      </c>
      <c r="J894" t="str">
        <f t="shared" si="40"/>
        <v>Low</v>
      </c>
      <c r="K894" t="s">
        <v>50</v>
      </c>
      <c r="L894">
        <v>47</v>
      </c>
      <c r="M894">
        <v>83</v>
      </c>
      <c r="N894" t="str">
        <f t="shared" si="41"/>
        <v>Medium Cost</v>
      </c>
      <c r="O894">
        <v>8.41</v>
      </c>
      <c r="P894" t="s">
        <v>23</v>
      </c>
      <c r="Q894" t="s">
        <v>24</v>
      </c>
      <c r="R894" t="s">
        <v>44</v>
      </c>
      <c r="S894" t="s">
        <v>771</v>
      </c>
      <c r="T894" t="s">
        <v>46</v>
      </c>
      <c r="U894">
        <v>97</v>
      </c>
      <c r="V894">
        <v>1.6</v>
      </c>
      <c r="W894" t="s">
        <v>38</v>
      </c>
      <c r="X894" t="s">
        <v>83</v>
      </c>
    </row>
    <row r="895" spans="1:24" x14ac:dyDescent="0.3">
      <c r="A895" t="s">
        <v>2172</v>
      </c>
      <c r="B895" t="s">
        <v>30</v>
      </c>
      <c r="C895" t="s">
        <v>102</v>
      </c>
      <c r="D895" t="str">
        <f t="shared" si="39"/>
        <v>Morning</v>
      </c>
      <c r="E895">
        <f>HOUR(EV_Data[[#This Row],[Charging Start Time]])</f>
        <v>5</v>
      </c>
      <c r="F895" s="1">
        <v>44964.208333333336</v>
      </c>
      <c r="G895" s="1">
        <v>44964.259027777778</v>
      </c>
      <c r="H895">
        <v>73</v>
      </c>
      <c r="I895">
        <v>47.45</v>
      </c>
      <c r="J895" t="str">
        <f t="shared" si="40"/>
        <v>Medium</v>
      </c>
      <c r="K895" t="s">
        <v>42</v>
      </c>
      <c r="L895">
        <v>31</v>
      </c>
      <c r="M895">
        <v>58</v>
      </c>
      <c r="N895" t="str">
        <f t="shared" si="41"/>
        <v>High Cost</v>
      </c>
      <c r="O895">
        <v>19.079999999999998</v>
      </c>
      <c r="P895" t="s">
        <v>43</v>
      </c>
      <c r="Q895" t="s">
        <v>58</v>
      </c>
      <c r="R895" t="s">
        <v>25</v>
      </c>
      <c r="S895" t="s">
        <v>26</v>
      </c>
      <c r="T895" t="s">
        <v>46</v>
      </c>
      <c r="U895">
        <v>60</v>
      </c>
      <c r="V895">
        <v>2.1</v>
      </c>
      <c r="W895" t="s">
        <v>38</v>
      </c>
      <c r="X895" t="s">
        <v>83</v>
      </c>
    </row>
    <row r="896" spans="1:24" x14ac:dyDescent="0.3">
      <c r="A896" t="s">
        <v>2173</v>
      </c>
      <c r="B896" t="s">
        <v>77</v>
      </c>
      <c r="C896" t="s">
        <v>78</v>
      </c>
      <c r="D896" t="str">
        <f t="shared" si="39"/>
        <v>Morning</v>
      </c>
      <c r="E896">
        <f>HOUR(EV_Data[[#This Row],[Charging Start Time]])</f>
        <v>6</v>
      </c>
      <c r="F896" s="1">
        <v>44964.25</v>
      </c>
      <c r="G896" s="1">
        <v>44964.265972222223</v>
      </c>
      <c r="H896">
        <v>23</v>
      </c>
      <c r="I896">
        <v>22.7</v>
      </c>
      <c r="J896" t="str">
        <f t="shared" si="40"/>
        <v>Medium</v>
      </c>
      <c r="K896" t="s">
        <v>22</v>
      </c>
      <c r="L896">
        <v>51</v>
      </c>
      <c r="M896">
        <v>73</v>
      </c>
      <c r="N896" t="str">
        <f t="shared" si="41"/>
        <v>Low Cost</v>
      </c>
      <c r="O896">
        <v>6.03</v>
      </c>
      <c r="P896" t="s">
        <v>43</v>
      </c>
      <c r="Q896" t="s">
        <v>34</v>
      </c>
      <c r="R896" t="s">
        <v>25</v>
      </c>
      <c r="S896" t="s">
        <v>591</v>
      </c>
      <c r="T896" t="s">
        <v>27</v>
      </c>
      <c r="U896">
        <v>32</v>
      </c>
      <c r="V896">
        <v>3.8</v>
      </c>
      <c r="W896" t="s">
        <v>28</v>
      </c>
      <c r="X896" t="s">
        <v>68</v>
      </c>
    </row>
    <row r="897" spans="1:24" x14ac:dyDescent="0.3">
      <c r="A897" t="s">
        <v>2174</v>
      </c>
      <c r="B897" t="s">
        <v>30</v>
      </c>
      <c r="C897" t="s">
        <v>102</v>
      </c>
      <c r="D897" t="str">
        <f t="shared" si="39"/>
        <v>Morning</v>
      </c>
      <c r="E897">
        <f>HOUR(EV_Data[[#This Row],[Charging Start Time]])</f>
        <v>7</v>
      </c>
      <c r="F897" s="1">
        <v>44964.291666666664</v>
      </c>
      <c r="G897" s="1">
        <v>44964.367361111108</v>
      </c>
      <c r="H897">
        <v>109</v>
      </c>
      <c r="I897">
        <v>47.82</v>
      </c>
      <c r="J897" t="str">
        <f t="shared" si="40"/>
        <v>Medium</v>
      </c>
      <c r="K897" t="s">
        <v>55</v>
      </c>
      <c r="L897">
        <v>70</v>
      </c>
      <c r="M897">
        <v>100</v>
      </c>
      <c r="N897" t="str">
        <f t="shared" si="41"/>
        <v>High Cost</v>
      </c>
      <c r="O897">
        <v>17.38</v>
      </c>
      <c r="P897" t="s">
        <v>64</v>
      </c>
      <c r="Q897" t="s">
        <v>24</v>
      </c>
      <c r="R897" t="s">
        <v>56</v>
      </c>
      <c r="S897" t="s">
        <v>772</v>
      </c>
      <c r="T897" t="s">
        <v>60</v>
      </c>
      <c r="U897">
        <v>85</v>
      </c>
      <c r="V897">
        <v>4.9000000000000004</v>
      </c>
      <c r="W897" t="s">
        <v>38</v>
      </c>
      <c r="X897" t="s">
        <v>39</v>
      </c>
    </row>
    <row r="898" spans="1:24" x14ac:dyDescent="0.3">
      <c r="A898" t="s">
        <v>2175</v>
      </c>
      <c r="B898" t="s">
        <v>92</v>
      </c>
      <c r="C898" t="s">
        <v>93</v>
      </c>
      <c r="D898" t="str">
        <f t="shared" ref="D898:D961" si="42">IF(E898&lt;12,"Morning",IF(E898&lt;17,"Afternoon","Evening"))</f>
        <v>Morning</v>
      </c>
      <c r="E898">
        <f>HOUR(EV_Data[[#This Row],[Charging Start Time]])</f>
        <v>8</v>
      </c>
      <c r="F898" s="1">
        <v>44964.333333333336</v>
      </c>
      <c r="G898" s="1">
        <v>44964.368055555547</v>
      </c>
      <c r="H898">
        <v>50</v>
      </c>
      <c r="I898">
        <v>46.86</v>
      </c>
      <c r="J898" t="str">
        <f t="shared" ref="J898:J961" si="43">IF(I898&lt;20,"Low",IF(I898&lt;50,"Medium","High"))</f>
        <v>Medium</v>
      </c>
      <c r="K898" t="s">
        <v>42</v>
      </c>
      <c r="L898">
        <v>6</v>
      </c>
      <c r="M898">
        <v>35</v>
      </c>
      <c r="N898" t="str">
        <f t="shared" ref="N898:N961" si="44">IF(O898&lt;8,"Low Cost",IF(O898&lt;17,"Medium Cost","High Cost"))</f>
        <v>Medium Cost</v>
      </c>
      <c r="O898">
        <v>14.87</v>
      </c>
      <c r="P898" t="s">
        <v>33</v>
      </c>
      <c r="Q898" t="s">
        <v>58</v>
      </c>
      <c r="R898" t="s">
        <v>56</v>
      </c>
      <c r="S898" t="s">
        <v>773</v>
      </c>
      <c r="T898" t="s">
        <v>60</v>
      </c>
      <c r="U898">
        <v>32</v>
      </c>
      <c r="V898">
        <v>2.9</v>
      </c>
      <c r="W898" t="s">
        <v>38</v>
      </c>
      <c r="X898" t="s">
        <v>85</v>
      </c>
    </row>
    <row r="899" spans="1:24" x14ac:dyDescent="0.3">
      <c r="A899" t="s">
        <v>2176</v>
      </c>
      <c r="B899" t="s">
        <v>92</v>
      </c>
      <c r="C899" t="s">
        <v>93</v>
      </c>
      <c r="D899" t="str">
        <f t="shared" si="42"/>
        <v>Morning</v>
      </c>
      <c r="E899">
        <f>HOUR(EV_Data[[#This Row],[Charging Start Time]])</f>
        <v>9</v>
      </c>
      <c r="F899" s="1">
        <v>44964.375</v>
      </c>
      <c r="G899" s="1">
        <v>44964.385416666657</v>
      </c>
      <c r="H899">
        <v>15</v>
      </c>
      <c r="I899">
        <v>39.76</v>
      </c>
      <c r="J899" t="str">
        <f t="shared" si="43"/>
        <v>Medium</v>
      </c>
      <c r="K899" t="s">
        <v>32</v>
      </c>
      <c r="L899">
        <v>37</v>
      </c>
      <c r="M899">
        <v>54</v>
      </c>
      <c r="N899" t="str">
        <f t="shared" si="44"/>
        <v>Medium Cost</v>
      </c>
      <c r="O899">
        <v>13.17</v>
      </c>
      <c r="P899" t="s">
        <v>64</v>
      </c>
      <c r="Q899" t="s">
        <v>34</v>
      </c>
      <c r="R899" t="s">
        <v>25</v>
      </c>
      <c r="S899" t="s">
        <v>774</v>
      </c>
      <c r="T899" t="s">
        <v>46</v>
      </c>
      <c r="U899">
        <v>2</v>
      </c>
      <c r="V899">
        <v>4.2</v>
      </c>
      <c r="W899" t="s">
        <v>38</v>
      </c>
      <c r="X899" t="s">
        <v>83</v>
      </c>
    </row>
    <row r="900" spans="1:24" x14ac:dyDescent="0.3">
      <c r="A900" t="s">
        <v>2177</v>
      </c>
      <c r="B900" t="s">
        <v>92</v>
      </c>
      <c r="C900" t="s">
        <v>93</v>
      </c>
      <c r="D900" t="str">
        <f t="shared" si="42"/>
        <v>Morning</v>
      </c>
      <c r="E900">
        <f>HOUR(EV_Data[[#This Row],[Charging Start Time]])</f>
        <v>10</v>
      </c>
      <c r="F900" s="1">
        <v>44964.416666666664</v>
      </c>
      <c r="G900" s="1">
        <v>44964.463194444441</v>
      </c>
      <c r="H900">
        <v>67</v>
      </c>
      <c r="I900">
        <v>5.98</v>
      </c>
      <c r="J900" t="str">
        <f t="shared" si="43"/>
        <v>Low</v>
      </c>
      <c r="K900" t="s">
        <v>69</v>
      </c>
      <c r="L900">
        <v>70</v>
      </c>
      <c r="M900">
        <v>100</v>
      </c>
      <c r="N900" t="str">
        <f t="shared" si="44"/>
        <v>Low Cost</v>
      </c>
      <c r="O900">
        <v>1.36</v>
      </c>
      <c r="P900" t="s">
        <v>23</v>
      </c>
      <c r="Q900" t="s">
        <v>48</v>
      </c>
      <c r="R900" t="s">
        <v>44</v>
      </c>
      <c r="S900" t="s">
        <v>775</v>
      </c>
      <c r="T900" t="s">
        <v>46</v>
      </c>
      <c r="U900">
        <v>50</v>
      </c>
      <c r="V900">
        <v>3.2</v>
      </c>
      <c r="W900" t="s">
        <v>28</v>
      </c>
      <c r="X900" t="s">
        <v>68</v>
      </c>
    </row>
    <row r="901" spans="1:24" x14ac:dyDescent="0.3">
      <c r="A901" t="s">
        <v>2178</v>
      </c>
      <c r="B901" t="s">
        <v>20</v>
      </c>
      <c r="C901" t="s">
        <v>21</v>
      </c>
      <c r="D901" t="str">
        <f t="shared" si="42"/>
        <v>Morning</v>
      </c>
      <c r="E901">
        <f>HOUR(EV_Data[[#This Row],[Charging Start Time]])</f>
        <v>11</v>
      </c>
      <c r="F901" s="1">
        <v>44964.458333333336</v>
      </c>
      <c r="G901" s="1">
        <v>44964.478472222218</v>
      </c>
      <c r="H901">
        <v>29</v>
      </c>
      <c r="I901">
        <v>17.46</v>
      </c>
      <c r="J901" t="str">
        <f t="shared" si="43"/>
        <v>Low</v>
      </c>
      <c r="K901" t="s">
        <v>50</v>
      </c>
      <c r="L901">
        <v>18</v>
      </c>
      <c r="M901">
        <v>32</v>
      </c>
      <c r="N901" t="str">
        <f t="shared" si="44"/>
        <v>Low Cost</v>
      </c>
      <c r="O901">
        <v>5.14</v>
      </c>
      <c r="P901" t="s">
        <v>43</v>
      </c>
      <c r="Q901" t="s">
        <v>24</v>
      </c>
      <c r="R901" t="s">
        <v>25</v>
      </c>
      <c r="S901" t="s">
        <v>776</v>
      </c>
      <c r="T901" t="s">
        <v>27</v>
      </c>
      <c r="U901">
        <v>90</v>
      </c>
      <c r="V901">
        <v>2.8</v>
      </c>
      <c r="W901" t="s">
        <v>38</v>
      </c>
      <c r="X901" t="s">
        <v>39</v>
      </c>
    </row>
    <row r="902" spans="1:24" x14ac:dyDescent="0.3">
      <c r="A902" t="s">
        <v>2179</v>
      </c>
      <c r="B902" t="s">
        <v>53</v>
      </c>
      <c r="C902" t="s">
        <v>54</v>
      </c>
      <c r="D902" t="str">
        <f t="shared" si="42"/>
        <v>Afternoon</v>
      </c>
      <c r="E902">
        <f>HOUR(EV_Data[[#This Row],[Charging Start Time]])</f>
        <v>12</v>
      </c>
      <c r="F902" s="1">
        <v>44964.5</v>
      </c>
      <c r="G902" s="1">
        <v>44964.53402777778</v>
      </c>
      <c r="H902">
        <v>49</v>
      </c>
      <c r="I902">
        <v>20.309999999999999</v>
      </c>
      <c r="J902" t="str">
        <f t="shared" si="43"/>
        <v>Medium</v>
      </c>
      <c r="K902" t="s">
        <v>32</v>
      </c>
      <c r="L902">
        <v>37</v>
      </c>
      <c r="M902">
        <v>69</v>
      </c>
      <c r="N902" t="str">
        <f t="shared" si="44"/>
        <v>Low Cost</v>
      </c>
      <c r="O902">
        <v>6.24</v>
      </c>
      <c r="P902" t="s">
        <v>51</v>
      </c>
      <c r="Q902" t="s">
        <v>24</v>
      </c>
      <c r="R902" t="s">
        <v>35</v>
      </c>
      <c r="S902" t="s">
        <v>504</v>
      </c>
      <c r="T902" t="s">
        <v>46</v>
      </c>
      <c r="U902">
        <v>34</v>
      </c>
      <c r="V902">
        <v>1.8</v>
      </c>
      <c r="W902" t="s">
        <v>47</v>
      </c>
      <c r="X902" t="s">
        <v>29</v>
      </c>
    </row>
    <row r="903" spans="1:24" x14ac:dyDescent="0.3">
      <c r="A903" t="s">
        <v>2180</v>
      </c>
      <c r="B903" t="s">
        <v>92</v>
      </c>
      <c r="C903" t="s">
        <v>93</v>
      </c>
      <c r="D903" t="str">
        <f t="shared" si="42"/>
        <v>Afternoon</v>
      </c>
      <c r="E903">
        <f>HOUR(EV_Data[[#This Row],[Charging Start Time]])</f>
        <v>13</v>
      </c>
      <c r="F903" s="1">
        <v>44964.541666666664</v>
      </c>
      <c r="G903" s="1">
        <v>44964.617361111108</v>
      </c>
      <c r="H903">
        <v>109</v>
      </c>
      <c r="I903">
        <v>37.36</v>
      </c>
      <c r="J903" t="str">
        <f t="shared" si="43"/>
        <v>Medium</v>
      </c>
      <c r="K903" t="s">
        <v>42</v>
      </c>
      <c r="L903">
        <v>9</v>
      </c>
      <c r="M903">
        <v>30</v>
      </c>
      <c r="N903" t="str">
        <f t="shared" si="44"/>
        <v>Medium Cost</v>
      </c>
      <c r="O903">
        <v>13.93</v>
      </c>
      <c r="P903" t="s">
        <v>43</v>
      </c>
      <c r="Q903" t="s">
        <v>34</v>
      </c>
      <c r="R903" t="s">
        <v>56</v>
      </c>
      <c r="S903" t="s">
        <v>696</v>
      </c>
      <c r="T903" t="s">
        <v>27</v>
      </c>
      <c r="U903">
        <v>69</v>
      </c>
      <c r="V903">
        <v>4.5999999999999996</v>
      </c>
      <c r="W903" t="s">
        <v>28</v>
      </c>
      <c r="X903" t="s">
        <v>68</v>
      </c>
    </row>
    <row r="904" spans="1:24" x14ac:dyDescent="0.3">
      <c r="A904" t="s">
        <v>2181</v>
      </c>
      <c r="B904" t="s">
        <v>20</v>
      </c>
      <c r="C904" t="s">
        <v>21</v>
      </c>
      <c r="D904" t="str">
        <f t="shared" si="42"/>
        <v>Afternoon</v>
      </c>
      <c r="E904">
        <f>HOUR(EV_Data[[#This Row],[Charging Start Time]])</f>
        <v>14</v>
      </c>
      <c r="F904" s="1">
        <v>44964.583333333336</v>
      </c>
      <c r="G904" s="1">
        <v>44964.617361111108</v>
      </c>
      <c r="H904">
        <v>49</v>
      </c>
      <c r="I904">
        <v>21.56</v>
      </c>
      <c r="J904" t="str">
        <f t="shared" si="43"/>
        <v>Medium</v>
      </c>
      <c r="K904" t="s">
        <v>69</v>
      </c>
      <c r="L904">
        <v>71</v>
      </c>
      <c r="M904">
        <v>90</v>
      </c>
      <c r="N904" t="str">
        <f t="shared" si="44"/>
        <v>Low Cost</v>
      </c>
      <c r="O904">
        <v>7.79</v>
      </c>
      <c r="P904" t="s">
        <v>23</v>
      </c>
      <c r="Q904" t="s">
        <v>24</v>
      </c>
      <c r="R904" t="s">
        <v>35</v>
      </c>
      <c r="S904" t="s">
        <v>777</v>
      </c>
      <c r="T904" t="s">
        <v>27</v>
      </c>
      <c r="U904">
        <v>76</v>
      </c>
      <c r="V904">
        <v>1.7</v>
      </c>
      <c r="W904" t="s">
        <v>47</v>
      </c>
      <c r="X904" t="s">
        <v>29</v>
      </c>
    </row>
    <row r="905" spans="1:24" x14ac:dyDescent="0.3">
      <c r="A905" t="s">
        <v>2182</v>
      </c>
      <c r="B905" t="s">
        <v>92</v>
      </c>
      <c r="C905" t="s">
        <v>93</v>
      </c>
      <c r="D905" t="str">
        <f t="shared" si="42"/>
        <v>Afternoon</v>
      </c>
      <c r="E905">
        <f>HOUR(EV_Data[[#This Row],[Charging Start Time]])</f>
        <v>15</v>
      </c>
      <c r="F905" s="1">
        <v>44964.625</v>
      </c>
      <c r="G905" s="1">
        <v>44964.688888888893</v>
      </c>
      <c r="H905">
        <v>92</v>
      </c>
      <c r="I905">
        <v>39.5</v>
      </c>
      <c r="J905" t="str">
        <f t="shared" si="43"/>
        <v>Medium</v>
      </c>
      <c r="K905" t="s">
        <v>42</v>
      </c>
      <c r="L905">
        <v>6</v>
      </c>
      <c r="M905">
        <v>26</v>
      </c>
      <c r="N905" t="str">
        <f t="shared" si="44"/>
        <v>High Cost</v>
      </c>
      <c r="O905">
        <v>18.46</v>
      </c>
      <c r="P905" t="s">
        <v>23</v>
      </c>
      <c r="Q905" t="s">
        <v>34</v>
      </c>
      <c r="R905" t="s">
        <v>25</v>
      </c>
      <c r="S905" t="s">
        <v>778</v>
      </c>
      <c r="T905" t="s">
        <v>60</v>
      </c>
      <c r="U905">
        <v>81</v>
      </c>
      <c r="V905">
        <v>5</v>
      </c>
      <c r="W905" t="s">
        <v>28</v>
      </c>
      <c r="X905" t="s">
        <v>68</v>
      </c>
    </row>
    <row r="906" spans="1:24" x14ac:dyDescent="0.3">
      <c r="A906" t="s">
        <v>2183</v>
      </c>
      <c r="B906" t="s">
        <v>40</v>
      </c>
      <c r="C906" t="s">
        <v>41</v>
      </c>
      <c r="D906" t="str">
        <f t="shared" si="42"/>
        <v>Afternoon</v>
      </c>
      <c r="E906">
        <f>HOUR(EV_Data[[#This Row],[Charging Start Time]])</f>
        <v>16</v>
      </c>
      <c r="F906" s="1">
        <v>44964.666666666664</v>
      </c>
      <c r="G906" s="1">
        <v>44964.710416666669</v>
      </c>
      <c r="H906">
        <v>63</v>
      </c>
      <c r="I906">
        <v>46.38</v>
      </c>
      <c r="J906" t="str">
        <f t="shared" si="43"/>
        <v>Medium</v>
      </c>
      <c r="K906" t="s">
        <v>55</v>
      </c>
      <c r="L906">
        <v>71</v>
      </c>
      <c r="M906">
        <v>100</v>
      </c>
      <c r="N906" t="str">
        <f t="shared" si="44"/>
        <v>Medium Cost</v>
      </c>
      <c r="O906">
        <v>15.58</v>
      </c>
      <c r="P906" t="s">
        <v>23</v>
      </c>
      <c r="Q906" t="s">
        <v>24</v>
      </c>
      <c r="R906" t="s">
        <v>25</v>
      </c>
      <c r="S906" t="s">
        <v>779</v>
      </c>
      <c r="T906" t="s">
        <v>60</v>
      </c>
      <c r="U906">
        <v>74</v>
      </c>
      <c r="V906">
        <v>2.4</v>
      </c>
      <c r="W906" t="s">
        <v>28</v>
      </c>
      <c r="X906" t="s">
        <v>68</v>
      </c>
    </row>
    <row r="907" spans="1:24" x14ac:dyDescent="0.3">
      <c r="A907" t="s">
        <v>2184</v>
      </c>
      <c r="B907" t="s">
        <v>126</v>
      </c>
      <c r="C907" t="s">
        <v>31</v>
      </c>
      <c r="D907" t="str">
        <f t="shared" si="42"/>
        <v>Evening</v>
      </c>
      <c r="E907">
        <f>HOUR(EV_Data[[#This Row],[Charging Start Time]])</f>
        <v>17</v>
      </c>
      <c r="F907" s="1">
        <v>44964.708333333336</v>
      </c>
      <c r="G907" s="1">
        <v>44964.709027777782</v>
      </c>
      <c r="H907">
        <v>1</v>
      </c>
      <c r="I907">
        <v>14.64</v>
      </c>
      <c r="J907" t="str">
        <f t="shared" si="43"/>
        <v>Low</v>
      </c>
      <c r="K907" t="s">
        <v>42</v>
      </c>
      <c r="L907">
        <v>49</v>
      </c>
      <c r="M907">
        <v>83</v>
      </c>
      <c r="N907" t="str">
        <f t="shared" si="44"/>
        <v>Low Cost</v>
      </c>
      <c r="O907">
        <v>6.99</v>
      </c>
      <c r="P907" t="s">
        <v>51</v>
      </c>
      <c r="Q907" t="s">
        <v>58</v>
      </c>
      <c r="R907" t="s">
        <v>35</v>
      </c>
      <c r="S907" t="s">
        <v>780</v>
      </c>
      <c r="T907" t="s">
        <v>60</v>
      </c>
      <c r="U907">
        <v>72</v>
      </c>
      <c r="V907">
        <v>3.6</v>
      </c>
      <c r="W907" t="s">
        <v>28</v>
      </c>
      <c r="X907" t="s">
        <v>68</v>
      </c>
    </row>
    <row r="908" spans="1:24" x14ac:dyDescent="0.3">
      <c r="A908" t="s">
        <v>2185</v>
      </c>
      <c r="B908" t="s">
        <v>126</v>
      </c>
      <c r="C908" t="s">
        <v>31</v>
      </c>
      <c r="D908" t="str">
        <f t="shared" si="42"/>
        <v>Evening</v>
      </c>
      <c r="E908">
        <f>HOUR(EV_Data[[#This Row],[Charging Start Time]])</f>
        <v>18</v>
      </c>
      <c r="F908" s="1">
        <v>44964.75</v>
      </c>
      <c r="G908" s="1">
        <v>44964.787499999999</v>
      </c>
      <c r="H908">
        <v>54</v>
      </c>
      <c r="I908">
        <v>39.840000000000003</v>
      </c>
      <c r="J908" t="str">
        <f t="shared" si="43"/>
        <v>Medium</v>
      </c>
      <c r="K908" t="s">
        <v>50</v>
      </c>
      <c r="L908">
        <v>17</v>
      </c>
      <c r="M908">
        <v>38</v>
      </c>
      <c r="N908" t="str">
        <f t="shared" si="44"/>
        <v>Medium Cost</v>
      </c>
      <c r="O908">
        <v>12.36</v>
      </c>
      <c r="P908" t="s">
        <v>23</v>
      </c>
      <c r="Q908" t="s">
        <v>24</v>
      </c>
      <c r="R908" t="s">
        <v>56</v>
      </c>
      <c r="S908" t="s">
        <v>781</v>
      </c>
      <c r="T908" t="s">
        <v>27</v>
      </c>
      <c r="U908">
        <v>29</v>
      </c>
      <c r="V908">
        <v>3.1</v>
      </c>
      <c r="W908" t="s">
        <v>28</v>
      </c>
      <c r="X908" t="s">
        <v>68</v>
      </c>
    </row>
    <row r="909" spans="1:24" x14ac:dyDescent="0.3">
      <c r="A909" t="s">
        <v>2186</v>
      </c>
      <c r="B909" t="s">
        <v>71</v>
      </c>
      <c r="C909" t="s">
        <v>72</v>
      </c>
      <c r="D909" t="str">
        <f t="shared" si="42"/>
        <v>Evening</v>
      </c>
      <c r="E909">
        <f>HOUR(EV_Data[[#This Row],[Charging Start Time]])</f>
        <v>19</v>
      </c>
      <c r="F909" s="1">
        <v>44964.791666666664</v>
      </c>
      <c r="G909" s="1">
        <v>44964.81527777778</v>
      </c>
      <c r="H909">
        <v>34</v>
      </c>
      <c r="I909">
        <v>43.54</v>
      </c>
      <c r="J909" t="str">
        <f t="shared" si="43"/>
        <v>Medium</v>
      </c>
      <c r="K909" t="s">
        <v>69</v>
      </c>
      <c r="L909">
        <v>13</v>
      </c>
      <c r="M909">
        <v>35</v>
      </c>
      <c r="N909" t="str">
        <f t="shared" si="44"/>
        <v>High Cost</v>
      </c>
      <c r="O909">
        <v>19.329999999999998</v>
      </c>
      <c r="P909" t="s">
        <v>64</v>
      </c>
      <c r="Q909" t="s">
        <v>34</v>
      </c>
      <c r="R909" t="s">
        <v>25</v>
      </c>
      <c r="S909" t="s">
        <v>782</v>
      </c>
      <c r="T909" t="s">
        <v>37</v>
      </c>
      <c r="U909">
        <v>85</v>
      </c>
      <c r="V909">
        <v>1</v>
      </c>
      <c r="W909" t="s">
        <v>38</v>
      </c>
      <c r="X909" t="s">
        <v>83</v>
      </c>
    </row>
    <row r="910" spans="1:24" x14ac:dyDescent="0.3">
      <c r="A910" t="s">
        <v>2187</v>
      </c>
      <c r="B910" t="s">
        <v>20</v>
      </c>
      <c r="C910" t="s">
        <v>21</v>
      </c>
      <c r="D910" t="str">
        <f t="shared" si="42"/>
        <v>Evening</v>
      </c>
      <c r="E910">
        <f>HOUR(EV_Data[[#This Row],[Charging Start Time]])</f>
        <v>20</v>
      </c>
      <c r="F910" s="1">
        <v>44964.833333333336</v>
      </c>
      <c r="G910" s="1">
        <v>44964.87777777778</v>
      </c>
      <c r="H910">
        <v>64</v>
      </c>
      <c r="I910">
        <v>16.309999999999999</v>
      </c>
      <c r="J910" t="str">
        <f t="shared" si="43"/>
        <v>Low</v>
      </c>
      <c r="K910" t="s">
        <v>55</v>
      </c>
      <c r="L910">
        <v>76</v>
      </c>
      <c r="M910">
        <v>96</v>
      </c>
      <c r="N910" t="str">
        <f t="shared" si="44"/>
        <v>Low Cost</v>
      </c>
      <c r="O910">
        <v>7.02</v>
      </c>
      <c r="P910" t="s">
        <v>43</v>
      </c>
      <c r="Q910" t="s">
        <v>58</v>
      </c>
      <c r="R910" t="s">
        <v>44</v>
      </c>
      <c r="S910" t="s">
        <v>783</v>
      </c>
      <c r="T910" t="s">
        <v>37</v>
      </c>
      <c r="U910">
        <v>73</v>
      </c>
      <c r="V910">
        <v>1.3</v>
      </c>
      <c r="W910" t="s">
        <v>28</v>
      </c>
      <c r="X910" t="s">
        <v>68</v>
      </c>
    </row>
    <row r="911" spans="1:24" x14ac:dyDescent="0.3">
      <c r="A911" t="s">
        <v>2188</v>
      </c>
      <c r="B911" t="s">
        <v>40</v>
      </c>
      <c r="C911" t="s">
        <v>41</v>
      </c>
      <c r="D911" t="str">
        <f t="shared" si="42"/>
        <v>Evening</v>
      </c>
      <c r="E911">
        <f>HOUR(EV_Data[[#This Row],[Charging Start Time]])</f>
        <v>21</v>
      </c>
      <c r="F911" s="1">
        <v>44964.875</v>
      </c>
      <c r="G911" s="1">
        <v>44964.887499999997</v>
      </c>
      <c r="H911">
        <v>18</v>
      </c>
      <c r="I911">
        <v>18.440000000000001</v>
      </c>
      <c r="J911" t="str">
        <f t="shared" si="43"/>
        <v>Low</v>
      </c>
      <c r="K911" t="s">
        <v>69</v>
      </c>
      <c r="L911">
        <v>61</v>
      </c>
      <c r="M911">
        <v>99</v>
      </c>
      <c r="N911" t="str">
        <f t="shared" si="44"/>
        <v>Low Cost</v>
      </c>
      <c r="O911">
        <v>3.77</v>
      </c>
      <c r="P911" t="s">
        <v>64</v>
      </c>
      <c r="Q911" t="s">
        <v>24</v>
      </c>
      <c r="R911" t="s">
        <v>44</v>
      </c>
      <c r="S911" t="s">
        <v>367</v>
      </c>
      <c r="T911" t="s">
        <v>60</v>
      </c>
      <c r="U911">
        <v>9</v>
      </c>
      <c r="V911">
        <v>2.8</v>
      </c>
      <c r="W911" t="s">
        <v>38</v>
      </c>
      <c r="X911" t="s">
        <v>39</v>
      </c>
    </row>
    <row r="912" spans="1:24" x14ac:dyDescent="0.3">
      <c r="A912" t="s">
        <v>2189</v>
      </c>
      <c r="B912" t="s">
        <v>77</v>
      </c>
      <c r="C912" t="s">
        <v>78</v>
      </c>
      <c r="D912" t="str">
        <f t="shared" si="42"/>
        <v>Evening</v>
      </c>
      <c r="E912">
        <f>HOUR(EV_Data[[#This Row],[Charging Start Time]])</f>
        <v>22</v>
      </c>
      <c r="F912" s="1">
        <v>44964.916666666664</v>
      </c>
      <c r="G912" s="1">
        <v>44964.943749999999</v>
      </c>
      <c r="H912">
        <v>39</v>
      </c>
      <c r="I912">
        <v>28.32</v>
      </c>
      <c r="J912" t="str">
        <f t="shared" si="43"/>
        <v>Medium</v>
      </c>
      <c r="K912" t="s">
        <v>55</v>
      </c>
      <c r="L912">
        <v>68</v>
      </c>
      <c r="M912">
        <v>88</v>
      </c>
      <c r="N912" t="str">
        <f t="shared" si="44"/>
        <v>Low Cost</v>
      </c>
      <c r="O912">
        <v>6.17</v>
      </c>
      <c r="P912" t="s">
        <v>51</v>
      </c>
      <c r="Q912" t="s">
        <v>24</v>
      </c>
      <c r="R912" t="s">
        <v>25</v>
      </c>
      <c r="S912" t="s">
        <v>450</v>
      </c>
      <c r="T912" t="s">
        <v>27</v>
      </c>
      <c r="U912">
        <v>76</v>
      </c>
      <c r="V912">
        <v>4.0999999999999996</v>
      </c>
      <c r="W912" t="s">
        <v>38</v>
      </c>
      <c r="X912" t="s">
        <v>85</v>
      </c>
    </row>
    <row r="913" spans="1:24" x14ac:dyDescent="0.3">
      <c r="A913" t="s">
        <v>2190</v>
      </c>
      <c r="B913" t="s">
        <v>126</v>
      </c>
      <c r="C913" t="s">
        <v>31</v>
      </c>
      <c r="D913" t="str">
        <f t="shared" si="42"/>
        <v>Evening</v>
      </c>
      <c r="E913">
        <f>HOUR(EV_Data[[#This Row],[Charging Start Time]])</f>
        <v>23</v>
      </c>
      <c r="F913" s="1">
        <v>44964.958333333336</v>
      </c>
      <c r="G913" s="1">
        <v>44965.017361111109</v>
      </c>
      <c r="H913">
        <v>85</v>
      </c>
      <c r="I913">
        <v>35.39</v>
      </c>
      <c r="J913" t="str">
        <f t="shared" si="43"/>
        <v>Medium</v>
      </c>
      <c r="K913" t="s">
        <v>50</v>
      </c>
      <c r="L913">
        <v>50</v>
      </c>
      <c r="M913">
        <v>81</v>
      </c>
      <c r="N913" t="str">
        <f t="shared" si="44"/>
        <v>Medium Cost</v>
      </c>
      <c r="O913">
        <v>15.63</v>
      </c>
      <c r="P913" t="s">
        <v>23</v>
      </c>
      <c r="Q913" t="s">
        <v>48</v>
      </c>
      <c r="R913" t="s">
        <v>25</v>
      </c>
      <c r="S913" t="s">
        <v>220</v>
      </c>
      <c r="T913" t="s">
        <v>46</v>
      </c>
      <c r="U913">
        <v>49</v>
      </c>
      <c r="V913">
        <v>1.8</v>
      </c>
      <c r="W913" t="s">
        <v>47</v>
      </c>
      <c r="X913" t="s">
        <v>29</v>
      </c>
    </row>
    <row r="914" spans="1:24" x14ac:dyDescent="0.3">
      <c r="A914" t="s">
        <v>2191</v>
      </c>
      <c r="B914" t="s">
        <v>71</v>
      </c>
      <c r="C914" t="s">
        <v>72</v>
      </c>
      <c r="D914" t="str">
        <f t="shared" si="42"/>
        <v>Morning</v>
      </c>
      <c r="E914">
        <f>HOUR(EV_Data[[#This Row],[Charging Start Time]])</f>
        <v>0</v>
      </c>
      <c r="F914" s="1">
        <v>44965</v>
      </c>
      <c r="G914" s="1">
        <v>44965.069444444453</v>
      </c>
      <c r="H914">
        <v>100</v>
      </c>
      <c r="I914">
        <v>6.47</v>
      </c>
      <c r="J914" t="str">
        <f t="shared" si="43"/>
        <v>Low</v>
      </c>
      <c r="K914" t="s">
        <v>32</v>
      </c>
      <c r="L914">
        <v>78</v>
      </c>
      <c r="M914">
        <v>90</v>
      </c>
      <c r="N914" t="str">
        <f t="shared" si="44"/>
        <v>Low Cost</v>
      </c>
      <c r="O914">
        <v>1.49</v>
      </c>
      <c r="P914" t="s">
        <v>23</v>
      </c>
      <c r="Q914" t="s">
        <v>34</v>
      </c>
      <c r="R914" t="s">
        <v>56</v>
      </c>
      <c r="S914" t="s">
        <v>784</v>
      </c>
      <c r="T914" t="s">
        <v>37</v>
      </c>
      <c r="U914">
        <v>38</v>
      </c>
      <c r="V914">
        <v>1.2</v>
      </c>
      <c r="W914" t="s">
        <v>47</v>
      </c>
      <c r="X914" t="s">
        <v>29</v>
      </c>
    </row>
    <row r="915" spans="1:24" x14ac:dyDescent="0.3">
      <c r="A915" t="s">
        <v>2192</v>
      </c>
      <c r="B915" t="s">
        <v>40</v>
      </c>
      <c r="C915" t="s">
        <v>41</v>
      </c>
      <c r="D915" t="str">
        <f t="shared" si="42"/>
        <v>Morning</v>
      </c>
      <c r="E915">
        <f>HOUR(EV_Data[[#This Row],[Charging Start Time]])</f>
        <v>1</v>
      </c>
      <c r="F915" s="1">
        <v>44965.041666666664</v>
      </c>
      <c r="G915" s="1">
        <v>44965.097222222219</v>
      </c>
      <c r="H915">
        <v>80</v>
      </c>
      <c r="I915">
        <v>46.03</v>
      </c>
      <c r="J915" t="str">
        <f t="shared" si="43"/>
        <v>Medium</v>
      </c>
      <c r="K915" t="s">
        <v>22</v>
      </c>
      <c r="L915">
        <v>73</v>
      </c>
      <c r="M915">
        <v>100</v>
      </c>
      <c r="N915" t="str">
        <f t="shared" si="44"/>
        <v>Medium Cost</v>
      </c>
      <c r="O915">
        <v>12.01</v>
      </c>
      <c r="P915" t="s">
        <v>43</v>
      </c>
      <c r="Q915" t="s">
        <v>34</v>
      </c>
      <c r="R915" t="s">
        <v>56</v>
      </c>
      <c r="S915" t="s">
        <v>785</v>
      </c>
      <c r="T915" t="s">
        <v>37</v>
      </c>
      <c r="U915">
        <v>7</v>
      </c>
      <c r="V915">
        <v>3.5</v>
      </c>
      <c r="W915" t="s">
        <v>38</v>
      </c>
      <c r="X915" t="s">
        <v>85</v>
      </c>
    </row>
    <row r="916" spans="1:24" x14ac:dyDescent="0.3">
      <c r="A916" t="s">
        <v>2193</v>
      </c>
      <c r="B916" t="s">
        <v>20</v>
      </c>
      <c r="C916" t="s">
        <v>21</v>
      </c>
      <c r="D916" t="str">
        <f t="shared" si="42"/>
        <v>Morning</v>
      </c>
      <c r="E916">
        <f>HOUR(EV_Data[[#This Row],[Charging Start Time]])</f>
        <v>2</v>
      </c>
      <c r="F916" s="1">
        <v>44965.083333333336</v>
      </c>
      <c r="G916" s="1">
        <v>44965.098611111112</v>
      </c>
      <c r="H916">
        <v>22</v>
      </c>
      <c r="I916">
        <v>10.57</v>
      </c>
      <c r="J916" t="str">
        <f t="shared" si="43"/>
        <v>Low</v>
      </c>
      <c r="K916" t="s">
        <v>42</v>
      </c>
      <c r="L916">
        <v>22</v>
      </c>
      <c r="M916">
        <v>46</v>
      </c>
      <c r="N916" t="str">
        <f t="shared" si="44"/>
        <v>Low Cost</v>
      </c>
      <c r="O916">
        <v>4.99</v>
      </c>
      <c r="P916" t="s">
        <v>43</v>
      </c>
      <c r="Q916" t="s">
        <v>48</v>
      </c>
      <c r="R916" t="s">
        <v>44</v>
      </c>
      <c r="S916" t="s">
        <v>176</v>
      </c>
      <c r="T916" t="s">
        <v>27</v>
      </c>
      <c r="U916">
        <v>88</v>
      </c>
      <c r="V916">
        <v>2.2000000000000002</v>
      </c>
      <c r="W916" t="s">
        <v>47</v>
      </c>
      <c r="X916" t="s">
        <v>29</v>
      </c>
    </row>
    <row r="917" spans="1:24" x14ac:dyDescent="0.3">
      <c r="A917" t="s">
        <v>2194</v>
      </c>
      <c r="B917" t="s">
        <v>126</v>
      </c>
      <c r="C917" t="s">
        <v>31</v>
      </c>
      <c r="D917" t="str">
        <f t="shared" si="42"/>
        <v>Morning</v>
      </c>
      <c r="E917">
        <f>HOUR(EV_Data[[#This Row],[Charging Start Time]])</f>
        <v>3</v>
      </c>
      <c r="F917" s="1">
        <v>44965.125</v>
      </c>
      <c r="G917" s="1">
        <v>44965.163888888892</v>
      </c>
      <c r="H917">
        <v>56</v>
      </c>
      <c r="I917">
        <v>7.36</v>
      </c>
      <c r="J917" t="str">
        <f t="shared" si="43"/>
        <v>Low</v>
      </c>
      <c r="K917" t="s">
        <v>69</v>
      </c>
      <c r="L917">
        <v>53</v>
      </c>
      <c r="M917">
        <v>80</v>
      </c>
      <c r="N917" t="str">
        <f t="shared" si="44"/>
        <v>Low Cost</v>
      </c>
      <c r="O917">
        <v>2.46</v>
      </c>
      <c r="P917" t="s">
        <v>43</v>
      </c>
      <c r="Q917" t="s">
        <v>48</v>
      </c>
      <c r="R917" t="s">
        <v>35</v>
      </c>
      <c r="S917" t="s">
        <v>786</v>
      </c>
      <c r="T917" t="s">
        <v>37</v>
      </c>
      <c r="U917">
        <v>81</v>
      </c>
      <c r="V917">
        <v>1.7</v>
      </c>
      <c r="W917" t="s">
        <v>47</v>
      </c>
      <c r="X917" t="s">
        <v>29</v>
      </c>
    </row>
    <row r="918" spans="1:24" x14ac:dyDescent="0.3">
      <c r="A918" t="s">
        <v>2195</v>
      </c>
      <c r="B918" t="s">
        <v>77</v>
      </c>
      <c r="C918" t="s">
        <v>78</v>
      </c>
      <c r="D918" t="str">
        <f t="shared" si="42"/>
        <v>Morning</v>
      </c>
      <c r="E918">
        <f>HOUR(EV_Data[[#This Row],[Charging Start Time]])</f>
        <v>4</v>
      </c>
      <c r="F918" s="1">
        <v>44965.166666666664</v>
      </c>
      <c r="G918" s="1">
        <v>44965.213888888888</v>
      </c>
      <c r="H918">
        <v>68</v>
      </c>
      <c r="I918">
        <v>27.49</v>
      </c>
      <c r="J918" t="str">
        <f t="shared" si="43"/>
        <v>Medium</v>
      </c>
      <c r="K918" t="s">
        <v>42</v>
      </c>
      <c r="L918">
        <v>8</v>
      </c>
      <c r="M918">
        <v>38</v>
      </c>
      <c r="N918" t="str">
        <f t="shared" si="44"/>
        <v>Medium Cost</v>
      </c>
      <c r="O918">
        <v>12.29</v>
      </c>
      <c r="P918" t="s">
        <v>23</v>
      </c>
      <c r="Q918" t="s">
        <v>58</v>
      </c>
      <c r="R918" t="s">
        <v>25</v>
      </c>
      <c r="S918" t="s">
        <v>636</v>
      </c>
      <c r="T918" t="s">
        <v>60</v>
      </c>
      <c r="U918">
        <v>53</v>
      </c>
      <c r="V918">
        <v>4.0999999999999996</v>
      </c>
      <c r="W918" t="s">
        <v>47</v>
      </c>
      <c r="X918" t="s">
        <v>29</v>
      </c>
    </row>
    <row r="919" spans="1:24" x14ac:dyDescent="0.3">
      <c r="A919" t="s">
        <v>2196</v>
      </c>
      <c r="B919" t="s">
        <v>126</v>
      </c>
      <c r="C919" t="s">
        <v>31</v>
      </c>
      <c r="D919" t="str">
        <f t="shared" si="42"/>
        <v>Morning</v>
      </c>
      <c r="E919">
        <f>HOUR(EV_Data[[#This Row],[Charging Start Time]])</f>
        <v>5</v>
      </c>
      <c r="F919" s="1">
        <v>44965.208333333336</v>
      </c>
      <c r="G919" s="1">
        <v>44965.232638888891</v>
      </c>
      <c r="H919">
        <v>35</v>
      </c>
      <c r="I919">
        <v>5.64</v>
      </c>
      <c r="J919" t="str">
        <f t="shared" si="43"/>
        <v>Low</v>
      </c>
      <c r="K919" t="s">
        <v>42</v>
      </c>
      <c r="L919">
        <v>70</v>
      </c>
      <c r="M919">
        <v>87</v>
      </c>
      <c r="N919" t="str">
        <f t="shared" si="44"/>
        <v>Low Cost</v>
      </c>
      <c r="O919">
        <v>2.2999999999999998</v>
      </c>
      <c r="P919" t="s">
        <v>33</v>
      </c>
      <c r="Q919" t="s">
        <v>24</v>
      </c>
      <c r="R919" t="s">
        <v>56</v>
      </c>
      <c r="S919" t="s">
        <v>787</v>
      </c>
      <c r="T919" t="s">
        <v>46</v>
      </c>
      <c r="U919">
        <v>32</v>
      </c>
      <c r="V919">
        <v>3.2</v>
      </c>
      <c r="W919" t="s">
        <v>47</v>
      </c>
      <c r="X919" t="s">
        <v>29</v>
      </c>
    </row>
    <row r="920" spans="1:24" x14ac:dyDescent="0.3">
      <c r="A920" t="s">
        <v>2197</v>
      </c>
      <c r="B920" t="s">
        <v>20</v>
      </c>
      <c r="C920" t="s">
        <v>21</v>
      </c>
      <c r="D920" t="str">
        <f t="shared" si="42"/>
        <v>Morning</v>
      </c>
      <c r="E920">
        <f>HOUR(EV_Data[[#This Row],[Charging Start Time]])</f>
        <v>6</v>
      </c>
      <c r="F920" s="1">
        <v>44965.25</v>
      </c>
      <c r="G920" s="1">
        <v>44965.285416666673</v>
      </c>
      <c r="H920">
        <v>51</v>
      </c>
      <c r="I920">
        <v>19.260000000000002</v>
      </c>
      <c r="J920" t="str">
        <f t="shared" si="43"/>
        <v>Low</v>
      </c>
      <c r="K920" t="s">
        <v>50</v>
      </c>
      <c r="L920">
        <v>29</v>
      </c>
      <c r="M920">
        <v>58</v>
      </c>
      <c r="N920" t="str">
        <f t="shared" si="44"/>
        <v>Low Cost</v>
      </c>
      <c r="O920">
        <v>7.79</v>
      </c>
      <c r="P920" t="s">
        <v>51</v>
      </c>
      <c r="Q920" t="s">
        <v>24</v>
      </c>
      <c r="R920" t="s">
        <v>25</v>
      </c>
      <c r="S920" t="s">
        <v>788</v>
      </c>
      <c r="T920" t="s">
        <v>46</v>
      </c>
      <c r="U920">
        <v>18</v>
      </c>
      <c r="V920">
        <v>1.7</v>
      </c>
      <c r="W920" t="s">
        <v>28</v>
      </c>
      <c r="X920" t="s">
        <v>68</v>
      </c>
    </row>
    <row r="921" spans="1:24" x14ac:dyDescent="0.3">
      <c r="A921" t="s">
        <v>2198</v>
      </c>
      <c r="B921" t="s">
        <v>126</v>
      </c>
      <c r="C921" t="s">
        <v>31</v>
      </c>
      <c r="D921" t="str">
        <f t="shared" si="42"/>
        <v>Morning</v>
      </c>
      <c r="E921">
        <f>HOUR(EV_Data[[#This Row],[Charging Start Time]])</f>
        <v>7</v>
      </c>
      <c r="F921" s="1">
        <v>44965.291666666664</v>
      </c>
      <c r="G921" s="1">
        <v>44965.309027777781</v>
      </c>
      <c r="H921">
        <v>25</v>
      </c>
      <c r="I921">
        <v>10.82</v>
      </c>
      <c r="J921" t="str">
        <f t="shared" si="43"/>
        <v>Low</v>
      </c>
      <c r="K921" t="s">
        <v>42</v>
      </c>
      <c r="L921">
        <v>22</v>
      </c>
      <c r="M921">
        <v>60</v>
      </c>
      <c r="N921" t="str">
        <f t="shared" si="44"/>
        <v>Low Cost</v>
      </c>
      <c r="O921">
        <v>4.09</v>
      </c>
      <c r="P921" t="s">
        <v>64</v>
      </c>
      <c r="Q921" t="s">
        <v>34</v>
      </c>
      <c r="R921" t="s">
        <v>35</v>
      </c>
      <c r="S921" t="s">
        <v>789</v>
      </c>
      <c r="T921" t="s">
        <v>37</v>
      </c>
      <c r="U921">
        <v>53</v>
      </c>
      <c r="V921">
        <v>3.2</v>
      </c>
      <c r="W921" t="s">
        <v>38</v>
      </c>
      <c r="X921" t="s">
        <v>39</v>
      </c>
    </row>
    <row r="922" spans="1:24" x14ac:dyDescent="0.3">
      <c r="A922" t="s">
        <v>2199</v>
      </c>
      <c r="B922" t="s">
        <v>71</v>
      </c>
      <c r="C922" t="s">
        <v>72</v>
      </c>
      <c r="D922" t="str">
        <f t="shared" si="42"/>
        <v>Morning</v>
      </c>
      <c r="E922">
        <f>HOUR(EV_Data[[#This Row],[Charging Start Time]])</f>
        <v>8</v>
      </c>
      <c r="F922" s="1">
        <v>44965.333333333336</v>
      </c>
      <c r="G922" s="1">
        <v>44965.370833333327</v>
      </c>
      <c r="H922">
        <v>54</v>
      </c>
      <c r="I922">
        <v>36.549999999999997</v>
      </c>
      <c r="J922" t="str">
        <f t="shared" si="43"/>
        <v>Medium</v>
      </c>
      <c r="K922" t="s">
        <v>42</v>
      </c>
      <c r="L922">
        <v>77</v>
      </c>
      <c r="M922">
        <v>100</v>
      </c>
      <c r="N922" t="str">
        <f t="shared" si="44"/>
        <v>Low Cost</v>
      </c>
      <c r="O922">
        <v>7.39</v>
      </c>
      <c r="P922" t="s">
        <v>51</v>
      </c>
      <c r="Q922" t="s">
        <v>48</v>
      </c>
      <c r="R922" t="s">
        <v>44</v>
      </c>
      <c r="S922" t="s">
        <v>790</v>
      </c>
      <c r="T922" t="s">
        <v>27</v>
      </c>
      <c r="U922">
        <v>85</v>
      </c>
      <c r="V922">
        <v>3.1</v>
      </c>
      <c r="W922" t="s">
        <v>38</v>
      </c>
      <c r="X922" t="s">
        <v>62</v>
      </c>
    </row>
    <row r="923" spans="1:24" x14ac:dyDescent="0.3">
      <c r="A923" t="s">
        <v>2200</v>
      </c>
      <c r="B923" t="s">
        <v>30</v>
      </c>
      <c r="C923" t="s">
        <v>102</v>
      </c>
      <c r="D923" t="str">
        <f t="shared" si="42"/>
        <v>Morning</v>
      </c>
      <c r="E923">
        <f>HOUR(EV_Data[[#This Row],[Charging Start Time]])</f>
        <v>9</v>
      </c>
      <c r="F923" s="1">
        <v>44965.375</v>
      </c>
      <c r="G923" s="1">
        <v>44965.409722222219</v>
      </c>
      <c r="H923">
        <v>50</v>
      </c>
      <c r="I923">
        <v>16.59</v>
      </c>
      <c r="J923" t="str">
        <f t="shared" si="43"/>
        <v>Low</v>
      </c>
      <c r="K923" t="s">
        <v>69</v>
      </c>
      <c r="L923">
        <v>33</v>
      </c>
      <c r="M923">
        <v>44</v>
      </c>
      <c r="N923" t="str">
        <f t="shared" si="44"/>
        <v>Low Cost</v>
      </c>
      <c r="O923">
        <v>5.1100000000000003</v>
      </c>
      <c r="P923" t="s">
        <v>23</v>
      </c>
      <c r="Q923" t="s">
        <v>48</v>
      </c>
      <c r="R923" t="s">
        <v>25</v>
      </c>
      <c r="S923" t="s">
        <v>376</v>
      </c>
      <c r="T923" t="s">
        <v>27</v>
      </c>
      <c r="U923">
        <v>87</v>
      </c>
      <c r="V923">
        <v>1.4</v>
      </c>
      <c r="W923" t="s">
        <v>47</v>
      </c>
      <c r="X923" t="s">
        <v>29</v>
      </c>
    </row>
    <row r="924" spans="1:24" x14ac:dyDescent="0.3">
      <c r="A924" t="s">
        <v>2201</v>
      </c>
      <c r="B924" t="s">
        <v>40</v>
      </c>
      <c r="C924" t="s">
        <v>41</v>
      </c>
      <c r="D924" t="str">
        <f t="shared" si="42"/>
        <v>Morning</v>
      </c>
      <c r="E924">
        <f>HOUR(EV_Data[[#This Row],[Charging Start Time]])</f>
        <v>10</v>
      </c>
      <c r="F924" s="1">
        <v>44965.416666666664</v>
      </c>
      <c r="G924" s="1">
        <v>44965.497916666667</v>
      </c>
      <c r="H924">
        <v>117</v>
      </c>
      <c r="I924">
        <v>11.75</v>
      </c>
      <c r="J924" t="str">
        <f t="shared" si="43"/>
        <v>Low</v>
      </c>
      <c r="K924" t="s">
        <v>50</v>
      </c>
      <c r="L924">
        <v>24</v>
      </c>
      <c r="M924">
        <v>50</v>
      </c>
      <c r="N924" t="str">
        <f t="shared" si="44"/>
        <v>Low Cost</v>
      </c>
      <c r="O924">
        <v>4.3600000000000003</v>
      </c>
      <c r="P924" t="s">
        <v>51</v>
      </c>
      <c r="Q924" t="s">
        <v>34</v>
      </c>
      <c r="R924" t="s">
        <v>56</v>
      </c>
      <c r="S924" t="s">
        <v>440</v>
      </c>
      <c r="T924" t="s">
        <v>60</v>
      </c>
      <c r="U924">
        <v>85</v>
      </c>
      <c r="V924">
        <v>3.3</v>
      </c>
      <c r="W924" t="s">
        <v>38</v>
      </c>
      <c r="X924" t="s">
        <v>85</v>
      </c>
    </row>
    <row r="925" spans="1:24" x14ac:dyDescent="0.3">
      <c r="A925" t="s">
        <v>2202</v>
      </c>
      <c r="B925" t="s">
        <v>126</v>
      </c>
      <c r="C925" t="s">
        <v>31</v>
      </c>
      <c r="D925" t="str">
        <f t="shared" si="42"/>
        <v>Morning</v>
      </c>
      <c r="E925">
        <f>HOUR(EV_Data[[#This Row],[Charging Start Time]])</f>
        <v>11</v>
      </c>
      <c r="F925" s="1">
        <v>44965.458333333336</v>
      </c>
      <c r="G925" s="1">
        <v>44965.486111111109</v>
      </c>
      <c r="H925">
        <v>40</v>
      </c>
      <c r="I925">
        <v>15.99</v>
      </c>
      <c r="J925" t="str">
        <f t="shared" si="43"/>
        <v>Low</v>
      </c>
      <c r="K925" t="s">
        <v>50</v>
      </c>
      <c r="L925">
        <v>69</v>
      </c>
      <c r="M925">
        <v>98</v>
      </c>
      <c r="N925" t="str">
        <f t="shared" si="44"/>
        <v>Low Cost</v>
      </c>
      <c r="O925">
        <v>7.98</v>
      </c>
      <c r="P925" t="s">
        <v>51</v>
      </c>
      <c r="Q925" t="s">
        <v>58</v>
      </c>
      <c r="R925" t="s">
        <v>25</v>
      </c>
      <c r="S925" t="s">
        <v>791</v>
      </c>
      <c r="T925" t="s">
        <v>60</v>
      </c>
      <c r="U925">
        <v>2</v>
      </c>
      <c r="V925">
        <v>3</v>
      </c>
      <c r="W925" t="s">
        <v>47</v>
      </c>
      <c r="X925" t="s">
        <v>29</v>
      </c>
    </row>
    <row r="926" spans="1:24" x14ac:dyDescent="0.3">
      <c r="A926" t="s">
        <v>2203</v>
      </c>
      <c r="B926" t="s">
        <v>126</v>
      </c>
      <c r="C926" t="s">
        <v>31</v>
      </c>
      <c r="D926" t="str">
        <f t="shared" si="42"/>
        <v>Afternoon</v>
      </c>
      <c r="E926">
        <f>HOUR(EV_Data[[#This Row],[Charging Start Time]])</f>
        <v>12</v>
      </c>
      <c r="F926" s="1">
        <v>44965.5</v>
      </c>
      <c r="G926" s="1">
        <v>44965.544444444437</v>
      </c>
      <c r="H926">
        <v>64</v>
      </c>
      <c r="I926">
        <v>24.43</v>
      </c>
      <c r="J926" t="str">
        <f t="shared" si="43"/>
        <v>Medium</v>
      </c>
      <c r="K926" t="s">
        <v>69</v>
      </c>
      <c r="L926">
        <v>15</v>
      </c>
      <c r="M926">
        <v>43</v>
      </c>
      <c r="N926" t="str">
        <f t="shared" si="44"/>
        <v>Medium Cost</v>
      </c>
      <c r="O926">
        <v>10.15</v>
      </c>
      <c r="P926" t="s">
        <v>64</v>
      </c>
      <c r="Q926" t="s">
        <v>24</v>
      </c>
      <c r="R926" t="s">
        <v>44</v>
      </c>
      <c r="S926" t="s">
        <v>792</v>
      </c>
      <c r="T926" t="s">
        <v>27</v>
      </c>
      <c r="U926">
        <v>12</v>
      </c>
      <c r="V926">
        <v>3.5</v>
      </c>
      <c r="W926" t="s">
        <v>28</v>
      </c>
      <c r="X926" t="s">
        <v>68</v>
      </c>
    </row>
    <row r="927" spans="1:24" x14ac:dyDescent="0.3">
      <c r="A927" t="s">
        <v>2204</v>
      </c>
      <c r="B927" t="s">
        <v>71</v>
      </c>
      <c r="C927" t="s">
        <v>72</v>
      </c>
      <c r="D927" t="str">
        <f t="shared" si="42"/>
        <v>Afternoon</v>
      </c>
      <c r="E927">
        <f>HOUR(EV_Data[[#This Row],[Charging Start Time]])</f>
        <v>13</v>
      </c>
      <c r="F927" s="1">
        <v>44965.541666666664</v>
      </c>
      <c r="G927" s="1">
        <v>44965.600694444453</v>
      </c>
      <c r="H927">
        <v>85</v>
      </c>
      <c r="I927">
        <v>22.39</v>
      </c>
      <c r="J927" t="str">
        <f t="shared" si="43"/>
        <v>Medium</v>
      </c>
      <c r="K927" t="s">
        <v>42</v>
      </c>
      <c r="L927">
        <v>20</v>
      </c>
      <c r="M927">
        <v>30</v>
      </c>
      <c r="N927" t="str">
        <f t="shared" si="44"/>
        <v>Medium Cost</v>
      </c>
      <c r="O927">
        <v>8.4499999999999993</v>
      </c>
      <c r="P927" t="s">
        <v>64</v>
      </c>
      <c r="Q927" t="s">
        <v>34</v>
      </c>
      <c r="R927" t="s">
        <v>35</v>
      </c>
      <c r="S927" t="s">
        <v>793</v>
      </c>
      <c r="T927" t="s">
        <v>60</v>
      </c>
      <c r="U927">
        <v>6</v>
      </c>
      <c r="V927">
        <v>1.1000000000000001</v>
      </c>
      <c r="W927" t="s">
        <v>38</v>
      </c>
      <c r="X927" t="s">
        <v>39</v>
      </c>
    </row>
    <row r="928" spans="1:24" x14ac:dyDescent="0.3">
      <c r="A928" t="s">
        <v>2205</v>
      </c>
      <c r="B928" t="s">
        <v>71</v>
      </c>
      <c r="C928" t="s">
        <v>72</v>
      </c>
      <c r="D928" t="str">
        <f t="shared" si="42"/>
        <v>Afternoon</v>
      </c>
      <c r="E928">
        <f>HOUR(EV_Data[[#This Row],[Charging Start Time]])</f>
        <v>14</v>
      </c>
      <c r="F928" s="1">
        <v>44965.583333333336</v>
      </c>
      <c r="G928" s="1">
        <v>44965.629166666673</v>
      </c>
      <c r="H928">
        <v>66</v>
      </c>
      <c r="I928">
        <v>48.97</v>
      </c>
      <c r="J928" t="str">
        <f t="shared" si="43"/>
        <v>Medium</v>
      </c>
      <c r="K928" t="s">
        <v>22</v>
      </c>
      <c r="L928">
        <v>71</v>
      </c>
      <c r="M928">
        <v>100</v>
      </c>
      <c r="N928" t="str">
        <f t="shared" si="44"/>
        <v>Medium Cost</v>
      </c>
      <c r="O928">
        <v>15.49</v>
      </c>
      <c r="P928" t="s">
        <v>23</v>
      </c>
      <c r="Q928" t="s">
        <v>24</v>
      </c>
      <c r="R928" t="s">
        <v>25</v>
      </c>
      <c r="S928" t="s">
        <v>759</v>
      </c>
      <c r="T928" t="s">
        <v>37</v>
      </c>
      <c r="U928">
        <v>84</v>
      </c>
      <c r="V928">
        <v>2.2000000000000002</v>
      </c>
      <c r="W928" t="s">
        <v>47</v>
      </c>
      <c r="X928" t="s">
        <v>29</v>
      </c>
    </row>
    <row r="929" spans="1:24" x14ac:dyDescent="0.3">
      <c r="A929" t="s">
        <v>2206</v>
      </c>
      <c r="B929" t="s">
        <v>53</v>
      </c>
      <c r="C929" t="s">
        <v>54</v>
      </c>
      <c r="D929" t="str">
        <f t="shared" si="42"/>
        <v>Afternoon</v>
      </c>
      <c r="E929">
        <f>HOUR(EV_Data[[#This Row],[Charging Start Time]])</f>
        <v>15</v>
      </c>
      <c r="F929" s="1">
        <v>44965.625</v>
      </c>
      <c r="G929" s="1">
        <v>44965.689583333333</v>
      </c>
      <c r="H929">
        <v>93</v>
      </c>
      <c r="I929">
        <v>41.4</v>
      </c>
      <c r="J929" t="str">
        <f t="shared" si="43"/>
        <v>Medium</v>
      </c>
      <c r="K929" t="s">
        <v>55</v>
      </c>
      <c r="L929">
        <v>31</v>
      </c>
      <c r="M929">
        <v>54</v>
      </c>
      <c r="N929" t="str">
        <f t="shared" si="44"/>
        <v>Medium Cost</v>
      </c>
      <c r="O929">
        <v>12.17</v>
      </c>
      <c r="P929" t="s">
        <v>51</v>
      </c>
      <c r="Q929" t="s">
        <v>58</v>
      </c>
      <c r="R929" t="s">
        <v>25</v>
      </c>
      <c r="S929" t="s">
        <v>794</v>
      </c>
      <c r="T929" t="s">
        <v>37</v>
      </c>
      <c r="U929">
        <v>27</v>
      </c>
      <c r="V929">
        <v>2.9</v>
      </c>
      <c r="W929" t="s">
        <v>38</v>
      </c>
      <c r="X929" t="s">
        <v>85</v>
      </c>
    </row>
    <row r="930" spans="1:24" x14ac:dyDescent="0.3">
      <c r="A930" t="s">
        <v>2207</v>
      </c>
      <c r="B930" t="s">
        <v>20</v>
      </c>
      <c r="C930" t="s">
        <v>21</v>
      </c>
      <c r="D930" t="str">
        <f t="shared" si="42"/>
        <v>Afternoon</v>
      </c>
      <c r="E930">
        <f>HOUR(EV_Data[[#This Row],[Charging Start Time]])</f>
        <v>16</v>
      </c>
      <c r="F930" s="1">
        <v>44965.666666666664</v>
      </c>
      <c r="G930" s="1">
        <v>44965.715277777781</v>
      </c>
      <c r="H930">
        <v>70</v>
      </c>
      <c r="I930">
        <v>15.63</v>
      </c>
      <c r="J930" t="str">
        <f t="shared" si="43"/>
        <v>Low</v>
      </c>
      <c r="K930" t="s">
        <v>42</v>
      </c>
      <c r="L930">
        <v>12</v>
      </c>
      <c r="M930">
        <v>52</v>
      </c>
      <c r="N930" t="str">
        <f t="shared" si="44"/>
        <v>Low Cost</v>
      </c>
      <c r="O930">
        <v>6.57</v>
      </c>
      <c r="P930" t="s">
        <v>33</v>
      </c>
      <c r="Q930" t="s">
        <v>24</v>
      </c>
      <c r="R930" t="s">
        <v>35</v>
      </c>
      <c r="S930" t="s">
        <v>795</v>
      </c>
      <c r="T930" t="s">
        <v>46</v>
      </c>
      <c r="U930">
        <v>71</v>
      </c>
      <c r="V930">
        <v>2.4</v>
      </c>
      <c r="W930" t="s">
        <v>28</v>
      </c>
      <c r="X930" t="s">
        <v>68</v>
      </c>
    </row>
    <row r="931" spans="1:24" x14ac:dyDescent="0.3">
      <c r="A931" t="s">
        <v>2208</v>
      </c>
      <c r="B931" t="s">
        <v>92</v>
      </c>
      <c r="C931" t="s">
        <v>93</v>
      </c>
      <c r="D931" t="str">
        <f t="shared" si="42"/>
        <v>Evening</v>
      </c>
      <c r="E931">
        <f>HOUR(EV_Data[[#This Row],[Charging Start Time]])</f>
        <v>17</v>
      </c>
      <c r="F931" s="1">
        <v>44965.708333333336</v>
      </c>
      <c r="G931" s="1">
        <v>44965.745833333327</v>
      </c>
      <c r="H931">
        <v>54</v>
      </c>
      <c r="I931">
        <v>18.989999999999998</v>
      </c>
      <c r="J931" t="str">
        <f t="shared" si="43"/>
        <v>Low</v>
      </c>
      <c r="K931" t="s">
        <v>50</v>
      </c>
      <c r="L931">
        <v>73</v>
      </c>
      <c r="M931">
        <v>94</v>
      </c>
      <c r="N931" t="str">
        <f t="shared" si="44"/>
        <v>Low Cost</v>
      </c>
      <c r="O931">
        <v>4.21</v>
      </c>
      <c r="P931" t="s">
        <v>43</v>
      </c>
      <c r="Q931" t="s">
        <v>48</v>
      </c>
      <c r="R931" t="s">
        <v>44</v>
      </c>
      <c r="S931" t="s">
        <v>796</v>
      </c>
      <c r="T931" t="s">
        <v>60</v>
      </c>
      <c r="U931">
        <v>28</v>
      </c>
      <c r="V931">
        <v>3.7</v>
      </c>
      <c r="W931" t="s">
        <v>47</v>
      </c>
      <c r="X931" t="s">
        <v>29</v>
      </c>
    </row>
    <row r="932" spans="1:24" x14ac:dyDescent="0.3">
      <c r="A932" t="s">
        <v>2209</v>
      </c>
      <c r="B932" t="s">
        <v>71</v>
      </c>
      <c r="C932" t="s">
        <v>72</v>
      </c>
      <c r="D932" t="str">
        <f t="shared" si="42"/>
        <v>Evening</v>
      </c>
      <c r="E932">
        <f>HOUR(EV_Data[[#This Row],[Charging Start Time]])</f>
        <v>18</v>
      </c>
      <c r="F932" s="1">
        <v>44965.75</v>
      </c>
      <c r="G932" s="1">
        <v>44965.772222222222</v>
      </c>
      <c r="H932">
        <v>32</v>
      </c>
      <c r="I932">
        <v>25.55</v>
      </c>
      <c r="J932" t="str">
        <f t="shared" si="43"/>
        <v>Medium</v>
      </c>
      <c r="K932" t="s">
        <v>55</v>
      </c>
      <c r="L932">
        <v>28</v>
      </c>
      <c r="M932">
        <v>55</v>
      </c>
      <c r="N932" t="str">
        <f t="shared" si="44"/>
        <v>Medium Cost</v>
      </c>
      <c r="O932">
        <v>12.08</v>
      </c>
      <c r="P932" t="s">
        <v>64</v>
      </c>
      <c r="Q932" t="s">
        <v>34</v>
      </c>
      <c r="R932" t="s">
        <v>35</v>
      </c>
      <c r="S932" t="s">
        <v>797</v>
      </c>
      <c r="T932" t="s">
        <v>60</v>
      </c>
      <c r="U932">
        <v>35</v>
      </c>
      <c r="V932">
        <v>1.1000000000000001</v>
      </c>
      <c r="W932" t="s">
        <v>47</v>
      </c>
      <c r="X932" t="s">
        <v>29</v>
      </c>
    </row>
    <row r="933" spans="1:24" x14ac:dyDescent="0.3">
      <c r="A933" t="s">
        <v>2210</v>
      </c>
      <c r="B933" t="s">
        <v>40</v>
      </c>
      <c r="C933" t="s">
        <v>41</v>
      </c>
      <c r="D933" t="str">
        <f t="shared" si="42"/>
        <v>Evening</v>
      </c>
      <c r="E933">
        <f>HOUR(EV_Data[[#This Row],[Charging Start Time]])</f>
        <v>19</v>
      </c>
      <c r="F933" s="1">
        <v>44965.791666666664</v>
      </c>
      <c r="G933" s="1">
        <v>44965.827777777777</v>
      </c>
      <c r="H933">
        <v>52</v>
      </c>
      <c r="I933">
        <v>17.100000000000001</v>
      </c>
      <c r="J933" t="str">
        <f t="shared" si="43"/>
        <v>Low</v>
      </c>
      <c r="K933" t="s">
        <v>50</v>
      </c>
      <c r="L933">
        <v>59</v>
      </c>
      <c r="M933">
        <v>70</v>
      </c>
      <c r="N933" t="str">
        <f t="shared" si="44"/>
        <v>Low Cost</v>
      </c>
      <c r="O933">
        <v>5.31</v>
      </c>
      <c r="P933" t="s">
        <v>43</v>
      </c>
      <c r="Q933" t="s">
        <v>34</v>
      </c>
      <c r="R933" t="s">
        <v>44</v>
      </c>
      <c r="S933" t="s">
        <v>494</v>
      </c>
      <c r="T933" t="s">
        <v>60</v>
      </c>
      <c r="U933">
        <v>96</v>
      </c>
      <c r="V933">
        <v>4.3</v>
      </c>
      <c r="W933" t="s">
        <v>47</v>
      </c>
      <c r="X933" t="s">
        <v>29</v>
      </c>
    </row>
    <row r="934" spans="1:24" x14ac:dyDescent="0.3">
      <c r="A934" t="s">
        <v>2211</v>
      </c>
      <c r="B934" t="s">
        <v>71</v>
      </c>
      <c r="C934" t="s">
        <v>72</v>
      </c>
      <c r="D934" t="str">
        <f t="shared" si="42"/>
        <v>Evening</v>
      </c>
      <c r="E934">
        <f>HOUR(EV_Data[[#This Row],[Charging Start Time]])</f>
        <v>20</v>
      </c>
      <c r="F934" s="1">
        <v>44965.833333333336</v>
      </c>
      <c r="G934" s="1">
        <v>44965.881249999999</v>
      </c>
      <c r="H934">
        <v>69</v>
      </c>
      <c r="I934">
        <v>13.99</v>
      </c>
      <c r="J934" t="str">
        <f t="shared" si="43"/>
        <v>Low</v>
      </c>
      <c r="K934" t="s">
        <v>50</v>
      </c>
      <c r="L934">
        <v>52</v>
      </c>
      <c r="M934">
        <v>74</v>
      </c>
      <c r="N934" t="str">
        <f t="shared" si="44"/>
        <v>Low Cost</v>
      </c>
      <c r="O934">
        <v>6.94</v>
      </c>
      <c r="P934" t="s">
        <v>51</v>
      </c>
      <c r="Q934" t="s">
        <v>48</v>
      </c>
      <c r="R934" t="s">
        <v>35</v>
      </c>
      <c r="S934" t="s">
        <v>49</v>
      </c>
      <c r="T934" t="s">
        <v>27</v>
      </c>
      <c r="U934">
        <v>88</v>
      </c>
      <c r="V934">
        <v>4.2</v>
      </c>
      <c r="W934" t="s">
        <v>28</v>
      </c>
      <c r="X934" t="s">
        <v>68</v>
      </c>
    </row>
    <row r="935" spans="1:24" x14ac:dyDescent="0.3">
      <c r="A935" t="s">
        <v>2212</v>
      </c>
      <c r="B935" t="s">
        <v>71</v>
      </c>
      <c r="C935" t="s">
        <v>72</v>
      </c>
      <c r="D935" t="str">
        <f t="shared" si="42"/>
        <v>Evening</v>
      </c>
      <c r="E935">
        <f>HOUR(EV_Data[[#This Row],[Charging Start Time]])</f>
        <v>21</v>
      </c>
      <c r="F935" s="1">
        <v>44965.875</v>
      </c>
      <c r="G935" s="1">
        <v>44965.93472222222</v>
      </c>
      <c r="H935">
        <v>86</v>
      </c>
      <c r="I935">
        <v>8.4600000000000009</v>
      </c>
      <c r="J935" t="str">
        <f t="shared" si="43"/>
        <v>Low</v>
      </c>
      <c r="K935" t="s">
        <v>22</v>
      </c>
      <c r="L935">
        <v>14</v>
      </c>
      <c r="M935">
        <v>32</v>
      </c>
      <c r="N935" t="str">
        <f t="shared" si="44"/>
        <v>Low Cost</v>
      </c>
      <c r="O935">
        <v>2.66</v>
      </c>
      <c r="P935" t="s">
        <v>33</v>
      </c>
      <c r="Q935" t="s">
        <v>24</v>
      </c>
      <c r="R935" t="s">
        <v>35</v>
      </c>
      <c r="S935" t="s">
        <v>143</v>
      </c>
      <c r="T935" t="s">
        <v>27</v>
      </c>
      <c r="U935">
        <v>54</v>
      </c>
      <c r="V935">
        <v>3.3</v>
      </c>
      <c r="W935" t="s">
        <v>47</v>
      </c>
      <c r="X935" t="s">
        <v>29</v>
      </c>
    </row>
    <row r="936" spans="1:24" x14ac:dyDescent="0.3">
      <c r="A936" t="s">
        <v>2213</v>
      </c>
      <c r="B936" t="s">
        <v>30</v>
      </c>
      <c r="C936" t="s">
        <v>102</v>
      </c>
      <c r="D936" t="str">
        <f t="shared" si="42"/>
        <v>Evening</v>
      </c>
      <c r="E936">
        <f>HOUR(EV_Data[[#This Row],[Charging Start Time]])</f>
        <v>22</v>
      </c>
      <c r="F936" s="1">
        <v>44965.916666666664</v>
      </c>
      <c r="G936" s="1">
        <v>44965.945138888892</v>
      </c>
      <c r="H936">
        <v>41</v>
      </c>
      <c r="I936">
        <v>27.03</v>
      </c>
      <c r="J936" t="str">
        <f t="shared" si="43"/>
        <v>Medium</v>
      </c>
      <c r="K936" t="s">
        <v>42</v>
      </c>
      <c r="L936">
        <v>12</v>
      </c>
      <c r="M936">
        <v>34</v>
      </c>
      <c r="N936" t="str">
        <f t="shared" si="44"/>
        <v>Medium Cost</v>
      </c>
      <c r="O936">
        <v>10.08</v>
      </c>
      <c r="P936" t="s">
        <v>43</v>
      </c>
      <c r="Q936" t="s">
        <v>48</v>
      </c>
      <c r="R936" t="s">
        <v>44</v>
      </c>
      <c r="S936" t="s">
        <v>798</v>
      </c>
      <c r="T936" t="s">
        <v>60</v>
      </c>
      <c r="U936">
        <v>18</v>
      </c>
      <c r="V936">
        <v>3.1</v>
      </c>
      <c r="W936" t="s">
        <v>38</v>
      </c>
      <c r="X936" t="s">
        <v>62</v>
      </c>
    </row>
    <row r="937" spans="1:24" x14ac:dyDescent="0.3">
      <c r="A937" t="s">
        <v>2214</v>
      </c>
      <c r="B937" t="s">
        <v>92</v>
      </c>
      <c r="C937" t="s">
        <v>93</v>
      </c>
      <c r="D937" t="str">
        <f t="shared" si="42"/>
        <v>Evening</v>
      </c>
      <c r="E937">
        <f>HOUR(EV_Data[[#This Row],[Charging Start Time]])</f>
        <v>23</v>
      </c>
      <c r="F937" s="1">
        <v>44965.958333333336</v>
      </c>
      <c r="G937" s="1">
        <v>44965.978472222218</v>
      </c>
      <c r="H937">
        <v>29</v>
      </c>
      <c r="I937">
        <v>37.79</v>
      </c>
      <c r="J937" t="str">
        <f t="shared" si="43"/>
        <v>Medium</v>
      </c>
      <c r="K937" t="s">
        <v>42</v>
      </c>
      <c r="L937">
        <v>60</v>
      </c>
      <c r="M937">
        <v>98</v>
      </c>
      <c r="N937" t="str">
        <f t="shared" si="44"/>
        <v>Medium Cost</v>
      </c>
      <c r="O937">
        <v>13.34</v>
      </c>
      <c r="P937" t="s">
        <v>64</v>
      </c>
      <c r="Q937" t="s">
        <v>24</v>
      </c>
      <c r="R937" t="s">
        <v>56</v>
      </c>
      <c r="S937" t="s">
        <v>799</v>
      </c>
      <c r="T937" t="s">
        <v>37</v>
      </c>
      <c r="U937">
        <v>15</v>
      </c>
      <c r="V937">
        <v>3.7</v>
      </c>
      <c r="W937" t="s">
        <v>47</v>
      </c>
      <c r="X937" t="s">
        <v>29</v>
      </c>
    </row>
    <row r="938" spans="1:24" x14ac:dyDescent="0.3">
      <c r="A938" t="s">
        <v>2215</v>
      </c>
      <c r="B938" t="s">
        <v>71</v>
      </c>
      <c r="C938" t="s">
        <v>72</v>
      </c>
      <c r="D938" t="str">
        <f t="shared" si="42"/>
        <v>Morning</v>
      </c>
      <c r="E938">
        <f>HOUR(EV_Data[[#This Row],[Charging Start Time]])</f>
        <v>0</v>
      </c>
      <c r="F938" s="1">
        <v>44966</v>
      </c>
      <c r="G938" s="1">
        <v>44966.000694444447</v>
      </c>
      <c r="H938">
        <v>1</v>
      </c>
      <c r="I938">
        <v>30.56</v>
      </c>
      <c r="J938" t="str">
        <f t="shared" si="43"/>
        <v>Medium</v>
      </c>
      <c r="K938" t="s">
        <v>69</v>
      </c>
      <c r="L938">
        <v>17</v>
      </c>
      <c r="M938">
        <v>47</v>
      </c>
      <c r="N938" t="str">
        <f t="shared" si="44"/>
        <v>Medium Cost</v>
      </c>
      <c r="O938">
        <v>11.45</v>
      </c>
      <c r="P938" t="s">
        <v>64</v>
      </c>
      <c r="Q938" t="s">
        <v>34</v>
      </c>
      <c r="R938" t="s">
        <v>35</v>
      </c>
      <c r="S938" t="s">
        <v>365</v>
      </c>
      <c r="T938" t="s">
        <v>27</v>
      </c>
      <c r="U938">
        <v>80</v>
      </c>
      <c r="V938">
        <v>4.2</v>
      </c>
      <c r="W938" t="s">
        <v>38</v>
      </c>
      <c r="X938" t="s">
        <v>85</v>
      </c>
    </row>
    <row r="939" spans="1:24" x14ac:dyDescent="0.3">
      <c r="A939" t="s">
        <v>2216</v>
      </c>
      <c r="B939" t="s">
        <v>20</v>
      </c>
      <c r="C939" t="s">
        <v>21</v>
      </c>
      <c r="D939" t="str">
        <f t="shared" si="42"/>
        <v>Morning</v>
      </c>
      <c r="E939">
        <f>HOUR(EV_Data[[#This Row],[Charging Start Time]])</f>
        <v>1</v>
      </c>
      <c r="F939" s="1">
        <v>44966.041666666664</v>
      </c>
      <c r="G939" s="1">
        <v>44966.046527777777</v>
      </c>
      <c r="H939">
        <v>7</v>
      </c>
      <c r="I939">
        <v>5.47</v>
      </c>
      <c r="J939" t="str">
        <f t="shared" si="43"/>
        <v>Low</v>
      </c>
      <c r="K939" t="s">
        <v>22</v>
      </c>
      <c r="L939">
        <v>17</v>
      </c>
      <c r="M939">
        <v>43</v>
      </c>
      <c r="N939" t="str">
        <f t="shared" si="44"/>
        <v>Low Cost</v>
      </c>
      <c r="O939">
        <v>2.5099999999999998</v>
      </c>
      <c r="P939" t="s">
        <v>23</v>
      </c>
      <c r="Q939" t="s">
        <v>48</v>
      </c>
      <c r="R939" t="s">
        <v>44</v>
      </c>
      <c r="S939" t="s">
        <v>128</v>
      </c>
      <c r="T939" t="s">
        <v>37</v>
      </c>
      <c r="U939">
        <v>62</v>
      </c>
      <c r="V939">
        <v>4.8</v>
      </c>
      <c r="W939" t="s">
        <v>38</v>
      </c>
      <c r="X939" t="s">
        <v>62</v>
      </c>
    </row>
    <row r="940" spans="1:24" x14ac:dyDescent="0.3">
      <c r="A940" t="s">
        <v>2217</v>
      </c>
      <c r="B940" t="s">
        <v>92</v>
      </c>
      <c r="C940" t="s">
        <v>93</v>
      </c>
      <c r="D940" t="str">
        <f t="shared" si="42"/>
        <v>Morning</v>
      </c>
      <c r="E940">
        <f>HOUR(EV_Data[[#This Row],[Charging Start Time]])</f>
        <v>2</v>
      </c>
      <c r="F940" s="1">
        <v>44966.083333333336</v>
      </c>
      <c r="G940" s="1">
        <v>44966.120138888888</v>
      </c>
      <c r="H940">
        <v>53</v>
      </c>
      <c r="I940">
        <v>22.29</v>
      </c>
      <c r="J940" t="str">
        <f t="shared" si="43"/>
        <v>Medium</v>
      </c>
      <c r="K940" t="s">
        <v>42</v>
      </c>
      <c r="L940">
        <v>62</v>
      </c>
      <c r="M940">
        <v>97</v>
      </c>
      <c r="N940" t="str">
        <f t="shared" si="44"/>
        <v>Low Cost</v>
      </c>
      <c r="O940">
        <v>6.85</v>
      </c>
      <c r="P940" t="s">
        <v>51</v>
      </c>
      <c r="Q940" t="s">
        <v>34</v>
      </c>
      <c r="R940" t="s">
        <v>25</v>
      </c>
      <c r="S940" t="s">
        <v>800</v>
      </c>
      <c r="T940" t="s">
        <v>27</v>
      </c>
      <c r="U940">
        <v>14</v>
      </c>
      <c r="V940">
        <v>2.1</v>
      </c>
      <c r="W940" t="s">
        <v>47</v>
      </c>
      <c r="X940" t="s">
        <v>29</v>
      </c>
    </row>
    <row r="941" spans="1:24" x14ac:dyDescent="0.3">
      <c r="A941" t="s">
        <v>2218</v>
      </c>
      <c r="B941" t="s">
        <v>126</v>
      </c>
      <c r="C941" t="s">
        <v>31</v>
      </c>
      <c r="D941" t="str">
        <f t="shared" si="42"/>
        <v>Morning</v>
      </c>
      <c r="E941">
        <f>HOUR(EV_Data[[#This Row],[Charging Start Time]])</f>
        <v>3</v>
      </c>
      <c r="F941" s="1">
        <v>44966.125</v>
      </c>
      <c r="G941" s="1">
        <v>44966.168055555558</v>
      </c>
      <c r="H941">
        <v>62</v>
      </c>
      <c r="I941">
        <v>5.53</v>
      </c>
      <c r="J941" t="str">
        <f t="shared" si="43"/>
        <v>Low</v>
      </c>
      <c r="K941" t="s">
        <v>32</v>
      </c>
      <c r="L941">
        <v>65</v>
      </c>
      <c r="M941">
        <v>100</v>
      </c>
      <c r="N941" t="str">
        <f t="shared" si="44"/>
        <v>Low Cost</v>
      </c>
      <c r="O941">
        <v>1.93</v>
      </c>
      <c r="P941" t="s">
        <v>23</v>
      </c>
      <c r="Q941" t="s">
        <v>24</v>
      </c>
      <c r="R941" t="s">
        <v>35</v>
      </c>
      <c r="S941" t="s">
        <v>801</v>
      </c>
      <c r="T941" t="s">
        <v>60</v>
      </c>
      <c r="U941">
        <v>56</v>
      </c>
      <c r="V941">
        <v>2</v>
      </c>
      <c r="W941" t="s">
        <v>28</v>
      </c>
      <c r="X941" t="s">
        <v>68</v>
      </c>
    </row>
    <row r="942" spans="1:24" x14ac:dyDescent="0.3">
      <c r="A942" t="s">
        <v>2219</v>
      </c>
      <c r="B942" t="s">
        <v>77</v>
      </c>
      <c r="C942" t="s">
        <v>78</v>
      </c>
      <c r="D942" t="str">
        <f t="shared" si="42"/>
        <v>Morning</v>
      </c>
      <c r="E942">
        <f>HOUR(EV_Data[[#This Row],[Charging Start Time]])</f>
        <v>4</v>
      </c>
      <c r="F942" s="1">
        <v>44966.166666666664</v>
      </c>
      <c r="G942" s="1">
        <v>44966.191666666673</v>
      </c>
      <c r="H942">
        <v>36</v>
      </c>
      <c r="I942">
        <v>11.23</v>
      </c>
      <c r="J942" t="str">
        <f t="shared" si="43"/>
        <v>Low</v>
      </c>
      <c r="K942" t="s">
        <v>32</v>
      </c>
      <c r="L942">
        <v>39</v>
      </c>
      <c r="M942">
        <v>69</v>
      </c>
      <c r="N942" t="str">
        <f t="shared" si="44"/>
        <v>Low Cost</v>
      </c>
      <c r="O942">
        <v>4.25</v>
      </c>
      <c r="P942" t="s">
        <v>43</v>
      </c>
      <c r="Q942" t="s">
        <v>24</v>
      </c>
      <c r="R942" t="s">
        <v>25</v>
      </c>
      <c r="S942" t="s">
        <v>802</v>
      </c>
      <c r="T942" t="s">
        <v>27</v>
      </c>
      <c r="U942">
        <v>99</v>
      </c>
      <c r="V942">
        <v>2.2999999999999998</v>
      </c>
      <c r="W942" t="s">
        <v>28</v>
      </c>
      <c r="X942" t="s">
        <v>68</v>
      </c>
    </row>
    <row r="943" spans="1:24" x14ac:dyDescent="0.3">
      <c r="A943" t="s">
        <v>2220</v>
      </c>
      <c r="B943" t="s">
        <v>20</v>
      </c>
      <c r="C943" t="s">
        <v>21</v>
      </c>
      <c r="D943" t="str">
        <f t="shared" si="42"/>
        <v>Morning</v>
      </c>
      <c r="E943">
        <f>HOUR(EV_Data[[#This Row],[Charging Start Time]])</f>
        <v>5</v>
      </c>
      <c r="F943" s="1">
        <v>44966.208333333336</v>
      </c>
      <c r="G943" s="1">
        <v>44966.220833333333</v>
      </c>
      <c r="H943">
        <v>18</v>
      </c>
      <c r="I943">
        <v>29.79</v>
      </c>
      <c r="J943" t="str">
        <f t="shared" si="43"/>
        <v>Medium</v>
      </c>
      <c r="K943" t="s">
        <v>42</v>
      </c>
      <c r="L943">
        <v>80</v>
      </c>
      <c r="M943">
        <v>91</v>
      </c>
      <c r="N943" t="str">
        <f t="shared" si="44"/>
        <v>Low Cost</v>
      </c>
      <c r="O943">
        <v>7.56</v>
      </c>
      <c r="P943" t="s">
        <v>43</v>
      </c>
      <c r="Q943" t="s">
        <v>58</v>
      </c>
      <c r="R943" t="s">
        <v>35</v>
      </c>
      <c r="S943" t="s">
        <v>354</v>
      </c>
      <c r="T943" t="s">
        <v>60</v>
      </c>
      <c r="U943">
        <v>64</v>
      </c>
      <c r="V943">
        <v>2.2000000000000002</v>
      </c>
      <c r="W943" t="s">
        <v>47</v>
      </c>
      <c r="X943" t="s">
        <v>29</v>
      </c>
    </row>
    <row r="944" spans="1:24" x14ac:dyDescent="0.3">
      <c r="A944" t="s">
        <v>2221</v>
      </c>
      <c r="B944" t="s">
        <v>20</v>
      </c>
      <c r="C944" t="s">
        <v>21</v>
      </c>
      <c r="D944" t="str">
        <f t="shared" si="42"/>
        <v>Morning</v>
      </c>
      <c r="E944">
        <f>HOUR(EV_Data[[#This Row],[Charging Start Time]])</f>
        <v>6</v>
      </c>
      <c r="F944" s="1">
        <v>44966.25</v>
      </c>
      <c r="G944" s="1">
        <v>44966.318055555559</v>
      </c>
      <c r="H944">
        <v>98</v>
      </c>
      <c r="I944">
        <v>23.16</v>
      </c>
      <c r="J944" t="str">
        <f t="shared" si="43"/>
        <v>Medium</v>
      </c>
      <c r="K944" t="s">
        <v>32</v>
      </c>
      <c r="L944">
        <v>60</v>
      </c>
      <c r="M944">
        <v>82</v>
      </c>
      <c r="N944" t="str">
        <f t="shared" si="44"/>
        <v>Low Cost</v>
      </c>
      <c r="O944">
        <v>5.78</v>
      </c>
      <c r="P944" t="s">
        <v>43</v>
      </c>
      <c r="Q944" t="s">
        <v>48</v>
      </c>
      <c r="R944" t="s">
        <v>35</v>
      </c>
      <c r="S944" t="s">
        <v>191</v>
      </c>
      <c r="T944" t="s">
        <v>37</v>
      </c>
      <c r="U944">
        <v>65</v>
      </c>
      <c r="V944">
        <v>2.5</v>
      </c>
      <c r="W944" t="s">
        <v>38</v>
      </c>
      <c r="X944" t="s">
        <v>83</v>
      </c>
    </row>
    <row r="945" spans="1:24" x14ac:dyDescent="0.3">
      <c r="A945" t="s">
        <v>2222</v>
      </c>
      <c r="B945" t="s">
        <v>77</v>
      </c>
      <c r="C945" t="s">
        <v>78</v>
      </c>
      <c r="D945" t="str">
        <f t="shared" si="42"/>
        <v>Morning</v>
      </c>
      <c r="E945">
        <f>HOUR(EV_Data[[#This Row],[Charging Start Time]])</f>
        <v>7</v>
      </c>
      <c r="F945" s="1">
        <v>44966.291666666664</v>
      </c>
      <c r="G945" s="1">
        <v>44966.324305555558</v>
      </c>
      <c r="H945">
        <v>47</v>
      </c>
      <c r="I945">
        <v>21.75</v>
      </c>
      <c r="J945" t="str">
        <f t="shared" si="43"/>
        <v>Medium</v>
      </c>
      <c r="K945" t="s">
        <v>69</v>
      </c>
      <c r="L945">
        <v>23</v>
      </c>
      <c r="M945">
        <v>63</v>
      </c>
      <c r="N945" t="str">
        <f t="shared" si="44"/>
        <v>Low Cost</v>
      </c>
      <c r="O945">
        <v>6.16</v>
      </c>
      <c r="P945" t="s">
        <v>23</v>
      </c>
      <c r="Q945" t="s">
        <v>24</v>
      </c>
      <c r="R945" t="s">
        <v>25</v>
      </c>
      <c r="S945" t="s">
        <v>803</v>
      </c>
      <c r="T945" t="s">
        <v>46</v>
      </c>
      <c r="U945">
        <v>87</v>
      </c>
      <c r="V945">
        <v>1.7</v>
      </c>
      <c r="W945" t="s">
        <v>38</v>
      </c>
    </row>
    <row r="946" spans="1:24" x14ac:dyDescent="0.3">
      <c r="A946" t="s">
        <v>2223</v>
      </c>
      <c r="B946" t="s">
        <v>92</v>
      </c>
      <c r="C946" t="s">
        <v>93</v>
      </c>
      <c r="D946" t="str">
        <f t="shared" si="42"/>
        <v>Morning</v>
      </c>
      <c r="E946">
        <f>HOUR(EV_Data[[#This Row],[Charging Start Time]])</f>
        <v>8</v>
      </c>
      <c r="F946" s="1">
        <v>44966.333333333336</v>
      </c>
      <c r="G946" s="1">
        <v>44966.366666666669</v>
      </c>
      <c r="H946">
        <v>48</v>
      </c>
      <c r="I946">
        <v>21.93</v>
      </c>
      <c r="J946" t="str">
        <f t="shared" si="43"/>
        <v>Medium</v>
      </c>
      <c r="K946" t="s">
        <v>69</v>
      </c>
      <c r="L946">
        <v>57</v>
      </c>
      <c r="M946">
        <v>79</v>
      </c>
      <c r="N946" t="str">
        <f t="shared" si="44"/>
        <v>Medium Cost</v>
      </c>
      <c r="O946">
        <v>8.0500000000000007</v>
      </c>
      <c r="P946" t="s">
        <v>64</v>
      </c>
      <c r="Q946" t="s">
        <v>34</v>
      </c>
      <c r="R946" t="s">
        <v>25</v>
      </c>
      <c r="S946" t="s">
        <v>515</v>
      </c>
      <c r="T946" t="s">
        <v>27</v>
      </c>
      <c r="U946">
        <v>4</v>
      </c>
      <c r="V946">
        <v>1.8</v>
      </c>
      <c r="W946" t="s">
        <v>47</v>
      </c>
      <c r="X946" t="s">
        <v>29</v>
      </c>
    </row>
    <row r="947" spans="1:24" x14ac:dyDescent="0.3">
      <c r="A947" t="s">
        <v>2224</v>
      </c>
      <c r="B947" t="s">
        <v>40</v>
      </c>
      <c r="C947" t="s">
        <v>41</v>
      </c>
      <c r="D947" t="str">
        <f t="shared" si="42"/>
        <v>Morning</v>
      </c>
      <c r="E947">
        <f>HOUR(EV_Data[[#This Row],[Charging Start Time]])</f>
        <v>9</v>
      </c>
      <c r="F947" s="1">
        <v>44966.375</v>
      </c>
      <c r="G947" s="1">
        <v>44966.412499999999</v>
      </c>
      <c r="H947">
        <v>54</v>
      </c>
      <c r="I947">
        <v>43.99</v>
      </c>
      <c r="J947" t="str">
        <f t="shared" si="43"/>
        <v>Medium</v>
      </c>
      <c r="K947" t="s">
        <v>32</v>
      </c>
      <c r="L947">
        <v>6</v>
      </c>
      <c r="M947">
        <v>40</v>
      </c>
      <c r="N947" t="str">
        <f t="shared" si="44"/>
        <v>High Cost</v>
      </c>
      <c r="O947">
        <v>19.89</v>
      </c>
      <c r="P947" t="s">
        <v>51</v>
      </c>
      <c r="Q947" t="s">
        <v>58</v>
      </c>
      <c r="R947" t="s">
        <v>25</v>
      </c>
      <c r="S947" t="s">
        <v>804</v>
      </c>
      <c r="T947" t="s">
        <v>27</v>
      </c>
      <c r="U947">
        <v>27</v>
      </c>
      <c r="V947">
        <v>3.3</v>
      </c>
      <c r="W947" t="s">
        <v>28</v>
      </c>
      <c r="X947" t="s">
        <v>68</v>
      </c>
    </row>
    <row r="948" spans="1:24" x14ac:dyDescent="0.3">
      <c r="A948" t="s">
        <v>2225</v>
      </c>
      <c r="B948" t="s">
        <v>40</v>
      </c>
      <c r="C948" t="s">
        <v>41</v>
      </c>
      <c r="D948" t="str">
        <f t="shared" si="42"/>
        <v>Morning</v>
      </c>
      <c r="E948">
        <f>HOUR(EV_Data[[#This Row],[Charging Start Time]])</f>
        <v>10</v>
      </c>
      <c r="F948" s="1">
        <v>44966.416666666664</v>
      </c>
      <c r="G948" s="1">
        <v>44966.488194444442</v>
      </c>
      <c r="H948">
        <v>103</v>
      </c>
      <c r="I948">
        <v>28.21</v>
      </c>
      <c r="J948" t="str">
        <f t="shared" si="43"/>
        <v>Medium</v>
      </c>
      <c r="K948" t="s">
        <v>22</v>
      </c>
      <c r="L948">
        <v>16</v>
      </c>
      <c r="M948">
        <v>39</v>
      </c>
      <c r="N948" t="str">
        <f t="shared" si="44"/>
        <v>Medium Cost</v>
      </c>
      <c r="O948">
        <v>10.85</v>
      </c>
      <c r="P948" t="s">
        <v>23</v>
      </c>
      <c r="Q948" t="s">
        <v>24</v>
      </c>
      <c r="R948" t="s">
        <v>56</v>
      </c>
      <c r="S948" t="s">
        <v>805</v>
      </c>
      <c r="T948" t="s">
        <v>27</v>
      </c>
      <c r="U948">
        <v>0</v>
      </c>
      <c r="V948">
        <v>4.4000000000000004</v>
      </c>
      <c r="W948" t="s">
        <v>38</v>
      </c>
      <c r="X948" t="s">
        <v>62</v>
      </c>
    </row>
    <row r="949" spans="1:24" x14ac:dyDescent="0.3">
      <c r="A949" t="s">
        <v>2226</v>
      </c>
      <c r="B949" t="s">
        <v>30</v>
      </c>
      <c r="C949" t="s">
        <v>102</v>
      </c>
      <c r="D949" t="str">
        <f t="shared" si="42"/>
        <v>Morning</v>
      </c>
      <c r="E949">
        <f>HOUR(EV_Data[[#This Row],[Charging Start Time]])</f>
        <v>11</v>
      </c>
      <c r="F949" s="1">
        <v>44966.458333333336</v>
      </c>
      <c r="G949" s="1">
        <v>44966.508333333331</v>
      </c>
      <c r="H949">
        <v>72</v>
      </c>
      <c r="I949">
        <v>13.43</v>
      </c>
      <c r="J949" t="str">
        <f t="shared" si="43"/>
        <v>Low</v>
      </c>
      <c r="K949" t="s">
        <v>42</v>
      </c>
      <c r="L949">
        <v>66</v>
      </c>
      <c r="M949">
        <v>100</v>
      </c>
      <c r="N949" t="str">
        <f t="shared" si="44"/>
        <v>Low Cost</v>
      </c>
      <c r="O949">
        <v>6.7</v>
      </c>
      <c r="P949" t="s">
        <v>64</v>
      </c>
      <c r="Q949" t="s">
        <v>58</v>
      </c>
      <c r="R949" t="s">
        <v>56</v>
      </c>
      <c r="S949" t="s">
        <v>353</v>
      </c>
      <c r="T949" t="s">
        <v>27</v>
      </c>
      <c r="U949">
        <v>81</v>
      </c>
      <c r="V949">
        <v>1.2</v>
      </c>
      <c r="W949" t="s">
        <v>47</v>
      </c>
      <c r="X949" t="s">
        <v>29</v>
      </c>
    </row>
    <row r="950" spans="1:24" x14ac:dyDescent="0.3">
      <c r="A950" t="s">
        <v>2227</v>
      </c>
      <c r="B950" t="s">
        <v>92</v>
      </c>
      <c r="C950" t="s">
        <v>93</v>
      </c>
      <c r="D950" t="str">
        <f t="shared" si="42"/>
        <v>Afternoon</v>
      </c>
      <c r="E950">
        <f>HOUR(EV_Data[[#This Row],[Charging Start Time]])</f>
        <v>12</v>
      </c>
      <c r="F950" s="1">
        <v>44966.5</v>
      </c>
      <c r="G950" s="1">
        <v>44966.517361111109</v>
      </c>
      <c r="H950">
        <v>25</v>
      </c>
      <c r="I950">
        <v>37.43</v>
      </c>
      <c r="J950" t="str">
        <f t="shared" si="43"/>
        <v>Medium</v>
      </c>
      <c r="K950" t="s">
        <v>32</v>
      </c>
      <c r="L950">
        <v>46</v>
      </c>
      <c r="M950">
        <v>79</v>
      </c>
      <c r="N950" t="str">
        <f t="shared" si="44"/>
        <v>High Cost</v>
      </c>
      <c r="O950">
        <v>18</v>
      </c>
      <c r="P950" t="s">
        <v>51</v>
      </c>
      <c r="Q950" t="s">
        <v>48</v>
      </c>
      <c r="R950" t="s">
        <v>25</v>
      </c>
      <c r="S950" t="s">
        <v>806</v>
      </c>
      <c r="T950" t="s">
        <v>27</v>
      </c>
      <c r="U950">
        <v>86</v>
      </c>
      <c r="V950">
        <v>2.5</v>
      </c>
      <c r="W950" t="s">
        <v>38</v>
      </c>
      <c r="X950" t="s">
        <v>83</v>
      </c>
    </row>
    <row r="951" spans="1:24" x14ac:dyDescent="0.3">
      <c r="A951" t="s">
        <v>2228</v>
      </c>
      <c r="B951" t="s">
        <v>53</v>
      </c>
      <c r="C951" t="s">
        <v>54</v>
      </c>
      <c r="D951" t="str">
        <f t="shared" si="42"/>
        <v>Afternoon</v>
      </c>
      <c r="E951">
        <f>HOUR(EV_Data[[#This Row],[Charging Start Time]])</f>
        <v>13</v>
      </c>
      <c r="F951" s="1">
        <v>44966.541666666664</v>
      </c>
      <c r="G951" s="1">
        <v>44966.592361111107</v>
      </c>
      <c r="H951">
        <v>73</v>
      </c>
      <c r="I951">
        <v>12.74</v>
      </c>
      <c r="J951" t="str">
        <f t="shared" si="43"/>
        <v>Low</v>
      </c>
      <c r="K951" t="s">
        <v>42</v>
      </c>
      <c r="L951">
        <v>42</v>
      </c>
      <c r="M951">
        <v>67</v>
      </c>
      <c r="N951" t="str">
        <f t="shared" si="44"/>
        <v>Low Cost</v>
      </c>
      <c r="O951">
        <v>3.13</v>
      </c>
      <c r="P951" t="s">
        <v>64</v>
      </c>
      <c r="Q951" t="s">
        <v>58</v>
      </c>
      <c r="R951" t="s">
        <v>35</v>
      </c>
      <c r="S951" t="s">
        <v>807</v>
      </c>
      <c r="T951" t="s">
        <v>46</v>
      </c>
      <c r="U951">
        <v>95</v>
      </c>
      <c r="V951">
        <v>1.7</v>
      </c>
      <c r="W951" t="s">
        <v>28</v>
      </c>
      <c r="X951" t="s">
        <v>68</v>
      </c>
    </row>
    <row r="952" spans="1:24" x14ac:dyDescent="0.3">
      <c r="A952" t="s">
        <v>2229</v>
      </c>
      <c r="B952" t="s">
        <v>92</v>
      </c>
      <c r="C952" t="s">
        <v>93</v>
      </c>
      <c r="D952" t="str">
        <f t="shared" si="42"/>
        <v>Afternoon</v>
      </c>
      <c r="E952">
        <f>HOUR(EV_Data[[#This Row],[Charging Start Time]])</f>
        <v>14</v>
      </c>
      <c r="F952" s="1">
        <v>44966.583333333336</v>
      </c>
      <c r="G952" s="1">
        <v>44966.595138888893</v>
      </c>
      <c r="H952">
        <v>17</v>
      </c>
      <c r="I952">
        <v>44.18</v>
      </c>
      <c r="J952" t="str">
        <f t="shared" si="43"/>
        <v>Medium</v>
      </c>
      <c r="K952" t="s">
        <v>32</v>
      </c>
      <c r="L952">
        <v>27</v>
      </c>
      <c r="M952">
        <v>55</v>
      </c>
      <c r="N952" t="str">
        <f t="shared" si="44"/>
        <v>Medium Cost</v>
      </c>
      <c r="O952">
        <v>14.77</v>
      </c>
      <c r="P952" t="s">
        <v>64</v>
      </c>
      <c r="Q952" t="s">
        <v>58</v>
      </c>
      <c r="R952" t="s">
        <v>35</v>
      </c>
      <c r="S952" t="s">
        <v>808</v>
      </c>
      <c r="T952" t="s">
        <v>37</v>
      </c>
      <c r="U952">
        <v>42</v>
      </c>
      <c r="V952">
        <v>3.8</v>
      </c>
      <c r="W952" t="s">
        <v>28</v>
      </c>
      <c r="X952" t="s">
        <v>68</v>
      </c>
    </row>
    <row r="953" spans="1:24" x14ac:dyDescent="0.3">
      <c r="A953" t="s">
        <v>2230</v>
      </c>
      <c r="B953" t="s">
        <v>53</v>
      </c>
      <c r="C953" t="s">
        <v>54</v>
      </c>
      <c r="D953" t="str">
        <f t="shared" si="42"/>
        <v>Afternoon</v>
      </c>
      <c r="E953">
        <f>HOUR(EV_Data[[#This Row],[Charging Start Time]])</f>
        <v>15</v>
      </c>
      <c r="F953" s="1">
        <v>44966.625</v>
      </c>
      <c r="G953" s="1">
        <v>44966.699305555558</v>
      </c>
      <c r="H953">
        <v>107</v>
      </c>
      <c r="I953">
        <v>33.770000000000003</v>
      </c>
      <c r="J953" t="str">
        <f t="shared" si="43"/>
        <v>Medium</v>
      </c>
      <c r="K953" t="s">
        <v>32</v>
      </c>
      <c r="L953">
        <v>45</v>
      </c>
      <c r="M953">
        <v>79</v>
      </c>
      <c r="N953" t="str">
        <f t="shared" si="44"/>
        <v>Low Cost</v>
      </c>
      <c r="O953">
        <v>7.66</v>
      </c>
      <c r="P953" t="s">
        <v>43</v>
      </c>
      <c r="Q953" t="s">
        <v>34</v>
      </c>
      <c r="R953" t="s">
        <v>25</v>
      </c>
      <c r="S953" t="s">
        <v>809</v>
      </c>
      <c r="T953" t="s">
        <v>46</v>
      </c>
      <c r="U953">
        <v>43</v>
      </c>
      <c r="V953">
        <v>2.2000000000000002</v>
      </c>
      <c r="W953" t="s">
        <v>38</v>
      </c>
      <c r="X953" t="s">
        <v>85</v>
      </c>
    </row>
    <row r="954" spans="1:24" x14ac:dyDescent="0.3">
      <c r="A954" t="s">
        <v>2231</v>
      </c>
      <c r="B954" t="s">
        <v>53</v>
      </c>
      <c r="C954" t="s">
        <v>54</v>
      </c>
      <c r="D954" t="str">
        <f t="shared" si="42"/>
        <v>Afternoon</v>
      </c>
      <c r="E954">
        <f>HOUR(EV_Data[[#This Row],[Charging Start Time]])</f>
        <v>16</v>
      </c>
      <c r="F954" s="1">
        <v>44966.666666666664</v>
      </c>
      <c r="G954" s="1">
        <v>44966.711111111108</v>
      </c>
      <c r="H954">
        <v>64</v>
      </c>
      <c r="I954">
        <v>15.16</v>
      </c>
      <c r="J954" t="str">
        <f t="shared" si="43"/>
        <v>Low</v>
      </c>
      <c r="K954" t="s">
        <v>55</v>
      </c>
      <c r="L954">
        <v>7</v>
      </c>
      <c r="M954">
        <v>33</v>
      </c>
      <c r="N954" t="str">
        <f t="shared" si="44"/>
        <v>Low Cost</v>
      </c>
      <c r="O954">
        <v>3.34</v>
      </c>
      <c r="P954" t="s">
        <v>43</v>
      </c>
      <c r="Q954" t="s">
        <v>34</v>
      </c>
      <c r="R954" t="s">
        <v>56</v>
      </c>
      <c r="S954" t="s">
        <v>525</v>
      </c>
      <c r="T954" t="s">
        <v>37</v>
      </c>
      <c r="U954">
        <v>4</v>
      </c>
      <c r="V954">
        <v>2.2999999999999998</v>
      </c>
      <c r="W954" t="s">
        <v>38</v>
      </c>
    </row>
    <row r="955" spans="1:24" x14ac:dyDescent="0.3">
      <c r="A955" t="s">
        <v>2232</v>
      </c>
      <c r="B955" t="s">
        <v>30</v>
      </c>
      <c r="C955" t="s">
        <v>102</v>
      </c>
      <c r="D955" t="str">
        <f t="shared" si="42"/>
        <v>Evening</v>
      </c>
      <c r="E955">
        <f>HOUR(EV_Data[[#This Row],[Charging Start Time]])</f>
        <v>17</v>
      </c>
      <c r="F955" s="1">
        <v>44966.708333333336</v>
      </c>
      <c r="G955" s="1">
        <v>44966.763194444437</v>
      </c>
      <c r="H955">
        <v>79</v>
      </c>
      <c r="I955">
        <v>27.93</v>
      </c>
      <c r="J955" t="str">
        <f t="shared" si="43"/>
        <v>Medium</v>
      </c>
      <c r="K955" t="s">
        <v>55</v>
      </c>
      <c r="L955">
        <v>11</v>
      </c>
      <c r="M955">
        <v>48</v>
      </c>
      <c r="N955" t="str">
        <f t="shared" si="44"/>
        <v>Low Cost</v>
      </c>
      <c r="O955">
        <v>6.78</v>
      </c>
      <c r="P955" t="s">
        <v>43</v>
      </c>
      <c r="Q955" t="s">
        <v>24</v>
      </c>
      <c r="R955" t="s">
        <v>25</v>
      </c>
      <c r="S955" t="s">
        <v>810</v>
      </c>
      <c r="T955" t="s">
        <v>27</v>
      </c>
      <c r="U955">
        <v>17</v>
      </c>
      <c r="V955">
        <v>4.2</v>
      </c>
      <c r="W955" t="s">
        <v>28</v>
      </c>
      <c r="X955" t="s">
        <v>68</v>
      </c>
    </row>
    <row r="956" spans="1:24" x14ac:dyDescent="0.3">
      <c r="A956" t="s">
        <v>2233</v>
      </c>
      <c r="B956" t="s">
        <v>126</v>
      </c>
      <c r="C956" t="s">
        <v>31</v>
      </c>
      <c r="D956" t="str">
        <f t="shared" si="42"/>
        <v>Evening</v>
      </c>
      <c r="E956">
        <f>HOUR(EV_Data[[#This Row],[Charging Start Time]])</f>
        <v>18</v>
      </c>
      <c r="F956" s="1">
        <v>44966.75</v>
      </c>
      <c r="G956" s="1">
        <v>44966.767361111109</v>
      </c>
      <c r="H956">
        <v>25</v>
      </c>
      <c r="I956">
        <v>22.78</v>
      </c>
      <c r="J956" t="str">
        <f t="shared" si="43"/>
        <v>Medium</v>
      </c>
      <c r="K956" t="s">
        <v>55</v>
      </c>
      <c r="L956">
        <v>46</v>
      </c>
      <c r="M956">
        <v>67</v>
      </c>
      <c r="N956" t="str">
        <f t="shared" si="44"/>
        <v>Medium Cost</v>
      </c>
      <c r="O956">
        <v>10.33</v>
      </c>
      <c r="P956" t="s">
        <v>64</v>
      </c>
      <c r="Q956" t="s">
        <v>34</v>
      </c>
      <c r="R956" t="s">
        <v>35</v>
      </c>
      <c r="S956" t="s">
        <v>422</v>
      </c>
      <c r="T956" t="s">
        <v>46</v>
      </c>
      <c r="U956">
        <v>35</v>
      </c>
      <c r="V956">
        <v>1</v>
      </c>
      <c r="W956" t="s">
        <v>28</v>
      </c>
      <c r="X956" t="s">
        <v>68</v>
      </c>
    </row>
    <row r="957" spans="1:24" x14ac:dyDescent="0.3">
      <c r="A957" t="s">
        <v>2234</v>
      </c>
      <c r="B957" t="s">
        <v>126</v>
      </c>
      <c r="C957" t="s">
        <v>31</v>
      </c>
      <c r="D957" t="str">
        <f t="shared" si="42"/>
        <v>Evening</v>
      </c>
      <c r="E957">
        <f>HOUR(EV_Data[[#This Row],[Charging Start Time]])</f>
        <v>19</v>
      </c>
      <c r="F957" s="1">
        <v>44966.791666666664</v>
      </c>
      <c r="G957" s="1">
        <v>44966.824305555558</v>
      </c>
      <c r="H957">
        <v>47</v>
      </c>
      <c r="I957">
        <v>38.130000000000003</v>
      </c>
      <c r="J957" t="str">
        <f t="shared" si="43"/>
        <v>Medium</v>
      </c>
      <c r="K957" t="s">
        <v>42</v>
      </c>
      <c r="L957">
        <v>73</v>
      </c>
      <c r="M957">
        <v>100</v>
      </c>
      <c r="N957" t="str">
        <f t="shared" si="44"/>
        <v>Medium Cost</v>
      </c>
      <c r="O957">
        <v>9.5500000000000007</v>
      </c>
      <c r="P957" t="s">
        <v>33</v>
      </c>
      <c r="Q957" t="s">
        <v>58</v>
      </c>
      <c r="R957" t="s">
        <v>56</v>
      </c>
      <c r="S957" t="s">
        <v>811</v>
      </c>
      <c r="T957" t="s">
        <v>37</v>
      </c>
      <c r="U957">
        <v>32</v>
      </c>
      <c r="V957">
        <v>2</v>
      </c>
      <c r="W957" t="s">
        <v>47</v>
      </c>
      <c r="X957" t="s">
        <v>29</v>
      </c>
    </row>
    <row r="958" spans="1:24" x14ac:dyDescent="0.3">
      <c r="A958" t="s">
        <v>2235</v>
      </c>
      <c r="B958" t="s">
        <v>92</v>
      </c>
      <c r="C958" t="s">
        <v>93</v>
      </c>
      <c r="D958" t="str">
        <f t="shared" si="42"/>
        <v>Evening</v>
      </c>
      <c r="E958">
        <f>HOUR(EV_Data[[#This Row],[Charging Start Time]])</f>
        <v>20</v>
      </c>
      <c r="F958" s="1">
        <v>44966.833333333336</v>
      </c>
      <c r="G958" s="1">
        <v>44966.868055555547</v>
      </c>
      <c r="H958">
        <v>50</v>
      </c>
      <c r="I958">
        <v>48.29</v>
      </c>
      <c r="J958" t="str">
        <f t="shared" si="43"/>
        <v>Medium</v>
      </c>
      <c r="K958" t="s">
        <v>22</v>
      </c>
      <c r="L958">
        <v>67</v>
      </c>
      <c r="M958">
        <v>90</v>
      </c>
      <c r="N958" t="str">
        <f t="shared" si="44"/>
        <v>Medium Cost</v>
      </c>
      <c r="O958">
        <v>16.04</v>
      </c>
      <c r="P958" t="s">
        <v>23</v>
      </c>
      <c r="Q958" t="s">
        <v>58</v>
      </c>
      <c r="R958" t="s">
        <v>44</v>
      </c>
      <c r="S958" t="s">
        <v>569</v>
      </c>
      <c r="T958" t="s">
        <v>46</v>
      </c>
      <c r="U958">
        <v>5</v>
      </c>
      <c r="V958">
        <v>3.2</v>
      </c>
      <c r="W958" t="s">
        <v>47</v>
      </c>
      <c r="X958" t="s">
        <v>29</v>
      </c>
    </row>
    <row r="959" spans="1:24" x14ac:dyDescent="0.3">
      <c r="A959" t="s">
        <v>2236</v>
      </c>
      <c r="B959" t="s">
        <v>40</v>
      </c>
      <c r="C959" t="s">
        <v>41</v>
      </c>
      <c r="D959" t="str">
        <f t="shared" si="42"/>
        <v>Evening</v>
      </c>
      <c r="E959">
        <f>HOUR(EV_Data[[#This Row],[Charging Start Time]])</f>
        <v>21</v>
      </c>
      <c r="F959" s="1">
        <v>44966.875</v>
      </c>
      <c r="G959" s="1">
        <v>44966.914583333331</v>
      </c>
      <c r="H959">
        <v>57</v>
      </c>
      <c r="I959">
        <v>33.15</v>
      </c>
      <c r="J959" t="str">
        <f t="shared" si="43"/>
        <v>Medium</v>
      </c>
      <c r="K959" t="s">
        <v>69</v>
      </c>
      <c r="L959">
        <v>14</v>
      </c>
      <c r="M959">
        <v>37</v>
      </c>
      <c r="N959" t="str">
        <f t="shared" si="44"/>
        <v>Medium Cost</v>
      </c>
      <c r="O959">
        <v>12.8</v>
      </c>
      <c r="P959" t="s">
        <v>64</v>
      </c>
      <c r="Q959" t="s">
        <v>48</v>
      </c>
      <c r="R959" t="s">
        <v>25</v>
      </c>
      <c r="S959" t="s">
        <v>812</v>
      </c>
      <c r="T959" t="s">
        <v>60</v>
      </c>
      <c r="U959">
        <v>12</v>
      </c>
      <c r="V959">
        <v>2.2999999999999998</v>
      </c>
      <c r="W959" t="s">
        <v>47</v>
      </c>
      <c r="X959" t="s">
        <v>29</v>
      </c>
    </row>
    <row r="960" spans="1:24" x14ac:dyDescent="0.3">
      <c r="A960" t="s">
        <v>2237</v>
      </c>
      <c r="B960" t="s">
        <v>77</v>
      </c>
      <c r="C960" t="s">
        <v>78</v>
      </c>
      <c r="D960" t="str">
        <f t="shared" si="42"/>
        <v>Evening</v>
      </c>
      <c r="E960">
        <f>HOUR(EV_Data[[#This Row],[Charging Start Time]])</f>
        <v>22</v>
      </c>
      <c r="F960" s="1">
        <v>44966.916666666664</v>
      </c>
      <c r="G960" s="1">
        <v>44966.947916666657</v>
      </c>
      <c r="H960">
        <v>45</v>
      </c>
      <c r="I960">
        <v>17.98</v>
      </c>
      <c r="J960" t="str">
        <f t="shared" si="43"/>
        <v>Low</v>
      </c>
      <c r="K960" t="s">
        <v>42</v>
      </c>
      <c r="L960">
        <v>36</v>
      </c>
      <c r="M960">
        <v>46</v>
      </c>
      <c r="N960" t="str">
        <f t="shared" si="44"/>
        <v>Low Cost</v>
      </c>
      <c r="O960">
        <v>5.18</v>
      </c>
      <c r="P960" t="s">
        <v>43</v>
      </c>
      <c r="Q960" t="s">
        <v>58</v>
      </c>
      <c r="R960" t="s">
        <v>25</v>
      </c>
      <c r="S960" t="s">
        <v>813</v>
      </c>
      <c r="T960" t="s">
        <v>46</v>
      </c>
      <c r="U960">
        <v>20</v>
      </c>
      <c r="V960">
        <v>4.5999999999999996</v>
      </c>
      <c r="W960" t="s">
        <v>28</v>
      </c>
      <c r="X960" t="s">
        <v>68</v>
      </c>
    </row>
    <row r="961" spans="1:24" x14ac:dyDescent="0.3">
      <c r="A961" t="s">
        <v>2238</v>
      </c>
      <c r="B961" t="s">
        <v>126</v>
      </c>
      <c r="C961" t="s">
        <v>31</v>
      </c>
      <c r="D961" t="str">
        <f t="shared" si="42"/>
        <v>Evening</v>
      </c>
      <c r="E961">
        <f>HOUR(EV_Data[[#This Row],[Charging Start Time]])</f>
        <v>23</v>
      </c>
      <c r="F961" s="1">
        <v>44966.958333333336</v>
      </c>
      <c r="G961" s="1">
        <v>44967.013194444437</v>
      </c>
      <c r="H961">
        <v>79</v>
      </c>
      <c r="I961">
        <v>8.44</v>
      </c>
      <c r="J961" t="str">
        <f t="shared" si="43"/>
        <v>Low</v>
      </c>
      <c r="K961" t="s">
        <v>32</v>
      </c>
      <c r="L961">
        <v>13</v>
      </c>
      <c r="M961">
        <v>23</v>
      </c>
      <c r="N961" t="str">
        <f t="shared" si="44"/>
        <v>Low Cost</v>
      </c>
      <c r="O961">
        <v>2.31</v>
      </c>
      <c r="P961" t="s">
        <v>64</v>
      </c>
      <c r="Q961" t="s">
        <v>34</v>
      </c>
      <c r="R961" t="s">
        <v>56</v>
      </c>
      <c r="S961" t="s">
        <v>814</v>
      </c>
      <c r="T961" t="s">
        <v>37</v>
      </c>
      <c r="U961">
        <v>14</v>
      </c>
      <c r="V961">
        <v>1.6</v>
      </c>
      <c r="W961" t="s">
        <v>38</v>
      </c>
      <c r="X961" t="s">
        <v>62</v>
      </c>
    </row>
    <row r="962" spans="1:24" x14ac:dyDescent="0.3">
      <c r="A962" t="s">
        <v>2239</v>
      </c>
      <c r="B962" t="s">
        <v>53</v>
      </c>
      <c r="C962" t="s">
        <v>54</v>
      </c>
      <c r="D962" t="str">
        <f t="shared" ref="D962:D1025" si="45">IF(E962&lt;12,"Morning",IF(E962&lt;17,"Afternoon","Evening"))</f>
        <v>Morning</v>
      </c>
      <c r="E962">
        <f>HOUR(EV_Data[[#This Row],[Charging Start Time]])</f>
        <v>0</v>
      </c>
      <c r="F962" s="1">
        <v>44967</v>
      </c>
      <c r="G962" s="1">
        <v>44967.029861111107</v>
      </c>
      <c r="H962">
        <v>43</v>
      </c>
      <c r="I962">
        <v>25.99</v>
      </c>
      <c r="J962" t="str">
        <f t="shared" ref="J962:J1025" si="46">IF(I962&lt;20,"Low",IF(I962&lt;50,"Medium","High"))</f>
        <v>Medium</v>
      </c>
      <c r="K962" t="s">
        <v>50</v>
      </c>
      <c r="L962">
        <v>10</v>
      </c>
      <c r="M962">
        <v>21</v>
      </c>
      <c r="N962" t="str">
        <f t="shared" ref="N962:N1025" si="47">IF(O962&lt;8,"Low Cost",IF(O962&lt;17,"Medium Cost","High Cost"))</f>
        <v>Medium Cost</v>
      </c>
      <c r="O962">
        <v>12.6</v>
      </c>
      <c r="P962" t="s">
        <v>23</v>
      </c>
      <c r="Q962" t="s">
        <v>34</v>
      </c>
      <c r="R962" t="s">
        <v>35</v>
      </c>
      <c r="S962" t="s">
        <v>815</v>
      </c>
      <c r="T962" t="s">
        <v>37</v>
      </c>
      <c r="U962">
        <v>44</v>
      </c>
      <c r="V962">
        <v>4.5</v>
      </c>
      <c r="W962" t="s">
        <v>38</v>
      </c>
      <c r="X962" t="s">
        <v>83</v>
      </c>
    </row>
    <row r="963" spans="1:24" x14ac:dyDescent="0.3">
      <c r="A963" t="s">
        <v>2240</v>
      </c>
      <c r="B963" t="s">
        <v>92</v>
      </c>
      <c r="C963" t="s">
        <v>93</v>
      </c>
      <c r="D963" t="str">
        <f t="shared" si="45"/>
        <v>Morning</v>
      </c>
      <c r="E963">
        <f>HOUR(EV_Data[[#This Row],[Charging Start Time]])</f>
        <v>1</v>
      </c>
      <c r="F963" s="1">
        <v>44967.041666666664</v>
      </c>
      <c r="G963" s="1">
        <v>44967.061111111107</v>
      </c>
      <c r="H963">
        <v>28</v>
      </c>
      <c r="I963">
        <v>34.96</v>
      </c>
      <c r="J963" t="str">
        <f t="shared" si="46"/>
        <v>Medium</v>
      </c>
      <c r="K963" t="s">
        <v>22</v>
      </c>
      <c r="L963">
        <v>11</v>
      </c>
      <c r="M963">
        <v>34</v>
      </c>
      <c r="N963" t="str">
        <f t="shared" si="47"/>
        <v>Medium Cost</v>
      </c>
      <c r="O963">
        <v>8.1</v>
      </c>
      <c r="P963" t="s">
        <v>33</v>
      </c>
      <c r="Q963" t="s">
        <v>58</v>
      </c>
      <c r="R963" t="s">
        <v>35</v>
      </c>
      <c r="S963" t="s">
        <v>816</v>
      </c>
      <c r="T963" t="s">
        <v>60</v>
      </c>
      <c r="U963">
        <v>86</v>
      </c>
      <c r="V963">
        <v>1.6</v>
      </c>
      <c r="W963" t="s">
        <v>28</v>
      </c>
      <c r="X963" t="s">
        <v>68</v>
      </c>
    </row>
    <row r="964" spans="1:24" x14ac:dyDescent="0.3">
      <c r="A964" t="s">
        <v>2241</v>
      </c>
      <c r="B964" t="s">
        <v>71</v>
      </c>
      <c r="C964" t="s">
        <v>72</v>
      </c>
      <c r="D964" t="str">
        <f t="shared" si="45"/>
        <v>Morning</v>
      </c>
      <c r="E964">
        <f>HOUR(EV_Data[[#This Row],[Charging Start Time]])</f>
        <v>2</v>
      </c>
      <c r="F964" s="1">
        <v>44967.083333333336</v>
      </c>
      <c r="G964" s="1">
        <v>44967.127083333333</v>
      </c>
      <c r="H964">
        <v>63</v>
      </c>
      <c r="I964">
        <v>13.37</v>
      </c>
      <c r="J964" t="str">
        <f t="shared" si="46"/>
        <v>Low</v>
      </c>
      <c r="K964" t="s">
        <v>55</v>
      </c>
      <c r="L964">
        <v>24</v>
      </c>
      <c r="M964">
        <v>44</v>
      </c>
      <c r="N964" t="str">
        <f t="shared" si="47"/>
        <v>Low Cost</v>
      </c>
      <c r="O964">
        <v>2.82</v>
      </c>
      <c r="P964" t="s">
        <v>51</v>
      </c>
      <c r="Q964" t="s">
        <v>58</v>
      </c>
      <c r="R964" t="s">
        <v>25</v>
      </c>
      <c r="S964" t="s">
        <v>817</v>
      </c>
      <c r="T964" t="s">
        <v>37</v>
      </c>
      <c r="U964">
        <v>67</v>
      </c>
      <c r="V964">
        <v>1.2</v>
      </c>
      <c r="W964" t="s">
        <v>47</v>
      </c>
      <c r="X964" t="s">
        <v>29</v>
      </c>
    </row>
    <row r="965" spans="1:24" x14ac:dyDescent="0.3">
      <c r="A965" t="s">
        <v>2242</v>
      </c>
      <c r="B965" t="s">
        <v>40</v>
      </c>
      <c r="C965" t="s">
        <v>41</v>
      </c>
      <c r="D965" t="str">
        <f t="shared" si="45"/>
        <v>Morning</v>
      </c>
      <c r="E965">
        <f>HOUR(EV_Data[[#This Row],[Charging Start Time]])</f>
        <v>3</v>
      </c>
      <c r="F965" s="1">
        <v>44967.125</v>
      </c>
      <c r="G965" s="1">
        <v>44967.192361111112</v>
      </c>
      <c r="H965">
        <v>97</v>
      </c>
      <c r="I965">
        <v>41.88</v>
      </c>
      <c r="J965" t="str">
        <f t="shared" si="46"/>
        <v>Medium</v>
      </c>
      <c r="K965" t="s">
        <v>50</v>
      </c>
      <c r="L965">
        <v>12</v>
      </c>
      <c r="M965">
        <v>35</v>
      </c>
      <c r="N965" t="str">
        <f t="shared" si="47"/>
        <v>High Cost</v>
      </c>
      <c r="O965">
        <v>18.920000000000002</v>
      </c>
      <c r="P965" t="s">
        <v>51</v>
      </c>
      <c r="Q965" t="s">
        <v>24</v>
      </c>
      <c r="R965" t="s">
        <v>35</v>
      </c>
      <c r="S965" t="s">
        <v>818</v>
      </c>
      <c r="T965" t="s">
        <v>37</v>
      </c>
      <c r="U965">
        <v>52</v>
      </c>
      <c r="V965">
        <v>3</v>
      </c>
      <c r="W965" t="s">
        <v>47</v>
      </c>
      <c r="X965" t="s">
        <v>29</v>
      </c>
    </row>
    <row r="966" spans="1:24" x14ac:dyDescent="0.3">
      <c r="A966" t="s">
        <v>2243</v>
      </c>
      <c r="B966" t="s">
        <v>71</v>
      </c>
      <c r="C966" t="s">
        <v>72</v>
      </c>
      <c r="D966" t="str">
        <f t="shared" si="45"/>
        <v>Morning</v>
      </c>
      <c r="E966">
        <f>HOUR(EV_Data[[#This Row],[Charging Start Time]])</f>
        <v>4</v>
      </c>
      <c r="F966" s="1">
        <v>44967.166666666664</v>
      </c>
      <c r="G966" s="1">
        <v>44967.200694444437</v>
      </c>
      <c r="H966">
        <v>49</v>
      </c>
      <c r="I966">
        <v>27.76</v>
      </c>
      <c r="J966" t="str">
        <f t="shared" si="46"/>
        <v>Medium</v>
      </c>
      <c r="K966" t="s">
        <v>22</v>
      </c>
      <c r="L966">
        <v>26</v>
      </c>
      <c r="M966">
        <v>42</v>
      </c>
      <c r="N966" t="str">
        <f t="shared" si="47"/>
        <v>Medium Cost</v>
      </c>
      <c r="O966">
        <v>13.43</v>
      </c>
      <c r="P966" t="s">
        <v>23</v>
      </c>
      <c r="Q966" t="s">
        <v>24</v>
      </c>
      <c r="R966" t="s">
        <v>35</v>
      </c>
      <c r="S966" t="s">
        <v>683</v>
      </c>
      <c r="T966" t="s">
        <v>37</v>
      </c>
      <c r="U966">
        <v>58</v>
      </c>
      <c r="V966">
        <v>4.2</v>
      </c>
      <c r="W966" t="s">
        <v>38</v>
      </c>
    </row>
    <row r="967" spans="1:24" x14ac:dyDescent="0.3">
      <c r="A967" t="s">
        <v>2244</v>
      </c>
      <c r="B967" t="s">
        <v>71</v>
      </c>
      <c r="C967" t="s">
        <v>72</v>
      </c>
      <c r="D967" t="str">
        <f t="shared" si="45"/>
        <v>Morning</v>
      </c>
      <c r="E967">
        <f>HOUR(EV_Data[[#This Row],[Charging Start Time]])</f>
        <v>5</v>
      </c>
      <c r="F967" s="1">
        <v>44967.208333333336</v>
      </c>
      <c r="G967" s="1">
        <v>44967.272222222222</v>
      </c>
      <c r="H967">
        <v>92</v>
      </c>
      <c r="I967">
        <v>44.24</v>
      </c>
      <c r="J967" t="str">
        <f t="shared" si="46"/>
        <v>Medium</v>
      </c>
      <c r="K967" t="s">
        <v>42</v>
      </c>
      <c r="L967">
        <v>44</v>
      </c>
      <c r="M967">
        <v>71</v>
      </c>
      <c r="N967" t="str">
        <f t="shared" si="47"/>
        <v>Medium Cost</v>
      </c>
      <c r="O967">
        <v>11.66</v>
      </c>
      <c r="P967" t="s">
        <v>33</v>
      </c>
      <c r="Q967" t="s">
        <v>24</v>
      </c>
      <c r="R967" t="s">
        <v>25</v>
      </c>
      <c r="S967" t="s">
        <v>819</v>
      </c>
      <c r="T967" t="s">
        <v>46</v>
      </c>
      <c r="U967">
        <v>56</v>
      </c>
      <c r="V967">
        <v>4.4000000000000004</v>
      </c>
      <c r="W967" t="s">
        <v>47</v>
      </c>
      <c r="X967" t="s">
        <v>29</v>
      </c>
    </row>
    <row r="968" spans="1:24" x14ac:dyDescent="0.3">
      <c r="A968" t="s">
        <v>2245</v>
      </c>
      <c r="B968" t="s">
        <v>40</v>
      </c>
      <c r="C968" t="s">
        <v>41</v>
      </c>
      <c r="D968" t="str">
        <f t="shared" si="45"/>
        <v>Morning</v>
      </c>
      <c r="E968">
        <f>HOUR(EV_Data[[#This Row],[Charging Start Time]])</f>
        <v>6</v>
      </c>
      <c r="F968" s="1">
        <v>44967.25</v>
      </c>
      <c r="G968" s="1">
        <v>44967.261111111111</v>
      </c>
      <c r="H968">
        <v>16</v>
      </c>
      <c r="I968">
        <v>28.94</v>
      </c>
      <c r="J968" t="str">
        <f t="shared" si="46"/>
        <v>Medium</v>
      </c>
      <c r="K968" t="s">
        <v>32</v>
      </c>
      <c r="L968">
        <v>52</v>
      </c>
      <c r="M968">
        <v>75</v>
      </c>
      <c r="N968" t="str">
        <f t="shared" si="47"/>
        <v>Low Cost</v>
      </c>
      <c r="O968">
        <v>7.07</v>
      </c>
      <c r="P968" t="s">
        <v>64</v>
      </c>
      <c r="Q968" t="s">
        <v>48</v>
      </c>
      <c r="R968" t="s">
        <v>25</v>
      </c>
      <c r="S968" t="s">
        <v>820</v>
      </c>
      <c r="T968" t="s">
        <v>60</v>
      </c>
      <c r="U968">
        <v>54</v>
      </c>
      <c r="V968">
        <v>1.1000000000000001</v>
      </c>
      <c r="W968" t="s">
        <v>47</v>
      </c>
      <c r="X968" t="s">
        <v>29</v>
      </c>
    </row>
    <row r="969" spans="1:24" x14ac:dyDescent="0.3">
      <c r="A969" t="s">
        <v>2246</v>
      </c>
      <c r="B969" t="s">
        <v>53</v>
      </c>
      <c r="C969" t="s">
        <v>54</v>
      </c>
      <c r="D969" t="str">
        <f t="shared" si="45"/>
        <v>Morning</v>
      </c>
      <c r="E969">
        <f>HOUR(EV_Data[[#This Row],[Charging Start Time]])</f>
        <v>7</v>
      </c>
      <c r="F969" s="1">
        <v>44967.291666666664</v>
      </c>
      <c r="G969" s="1">
        <v>44967.338888888888</v>
      </c>
      <c r="H969">
        <v>68</v>
      </c>
      <c r="I969">
        <v>20.5</v>
      </c>
      <c r="J969" t="str">
        <f t="shared" si="46"/>
        <v>Medium</v>
      </c>
      <c r="K969" t="s">
        <v>50</v>
      </c>
      <c r="L969">
        <v>32</v>
      </c>
      <c r="M969">
        <v>54</v>
      </c>
      <c r="N969" t="str">
        <f t="shared" si="47"/>
        <v>Low Cost</v>
      </c>
      <c r="O969">
        <v>7.9</v>
      </c>
      <c r="P969" t="s">
        <v>64</v>
      </c>
      <c r="Q969" t="s">
        <v>48</v>
      </c>
      <c r="R969" t="s">
        <v>25</v>
      </c>
      <c r="S969" t="s">
        <v>821</v>
      </c>
      <c r="T969" t="s">
        <v>27</v>
      </c>
      <c r="U969">
        <v>9</v>
      </c>
      <c r="V969">
        <v>2.6</v>
      </c>
      <c r="W969" t="s">
        <v>28</v>
      </c>
      <c r="X969" t="s">
        <v>68</v>
      </c>
    </row>
    <row r="970" spans="1:24" x14ac:dyDescent="0.3">
      <c r="A970" t="s">
        <v>2247</v>
      </c>
      <c r="B970" t="s">
        <v>92</v>
      </c>
      <c r="C970" t="s">
        <v>93</v>
      </c>
      <c r="D970" t="str">
        <f t="shared" si="45"/>
        <v>Morning</v>
      </c>
      <c r="E970">
        <f>HOUR(EV_Data[[#This Row],[Charging Start Time]])</f>
        <v>8</v>
      </c>
      <c r="F970" s="1">
        <v>44967.333333333336</v>
      </c>
      <c r="G970" s="1">
        <v>44967.410416666673</v>
      </c>
      <c r="H970">
        <v>111</v>
      </c>
      <c r="I970">
        <v>39.26</v>
      </c>
      <c r="J970" t="str">
        <f t="shared" si="46"/>
        <v>Medium</v>
      </c>
      <c r="K970" t="s">
        <v>32</v>
      </c>
      <c r="L970">
        <v>30</v>
      </c>
      <c r="M970">
        <v>62</v>
      </c>
      <c r="N970" t="str">
        <f t="shared" si="47"/>
        <v>Medium Cost</v>
      </c>
      <c r="O970">
        <v>12.43</v>
      </c>
      <c r="P970" t="s">
        <v>23</v>
      </c>
      <c r="Q970" t="s">
        <v>34</v>
      </c>
      <c r="R970" t="s">
        <v>56</v>
      </c>
      <c r="S970" t="s">
        <v>527</v>
      </c>
      <c r="T970" t="s">
        <v>27</v>
      </c>
      <c r="U970">
        <v>51</v>
      </c>
      <c r="V970">
        <v>3.1</v>
      </c>
      <c r="W970" t="s">
        <v>38</v>
      </c>
      <c r="X970" t="s">
        <v>85</v>
      </c>
    </row>
    <row r="971" spans="1:24" x14ac:dyDescent="0.3">
      <c r="A971" t="s">
        <v>2248</v>
      </c>
      <c r="B971" t="s">
        <v>40</v>
      </c>
      <c r="C971" t="s">
        <v>41</v>
      </c>
      <c r="D971" t="str">
        <f t="shared" si="45"/>
        <v>Morning</v>
      </c>
      <c r="E971">
        <f>HOUR(EV_Data[[#This Row],[Charging Start Time]])</f>
        <v>9</v>
      </c>
      <c r="F971" s="1">
        <v>44967.375</v>
      </c>
      <c r="G971" s="1">
        <v>44967.375694444447</v>
      </c>
      <c r="H971">
        <v>1</v>
      </c>
      <c r="I971">
        <v>17.399999999999999</v>
      </c>
      <c r="J971" t="str">
        <f t="shared" si="46"/>
        <v>Low</v>
      </c>
      <c r="K971" t="s">
        <v>55</v>
      </c>
      <c r="L971">
        <v>33</v>
      </c>
      <c r="M971">
        <v>61</v>
      </c>
      <c r="N971" t="str">
        <f t="shared" si="47"/>
        <v>Low Cost</v>
      </c>
      <c r="O971">
        <v>7.92</v>
      </c>
      <c r="P971" t="s">
        <v>33</v>
      </c>
      <c r="Q971" t="s">
        <v>34</v>
      </c>
      <c r="R971" t="s">
        <v>44</v>
      </c>
      <c r="S971" t="s">
        <v>822</v>
      </c>
      <c r="T971" t="s">
        <v>37</v>
      </c>
      <c r="U971">
        <v>66</v>
      </c>
      <c r="V971">
        <v>2.2999999999999998</v>
      </c>
      <c r="W971" t="s">
        <v>28</v>
      </c>
      <c r="X971" t="s">
        <v>68</v>
      </c>
    </row>
    <row r="972" spans="1:24" x14ac:dyDescent="0.3">
      <c r="A972" t="s">
        <v>2249</v>
      </c>
      <c r="B972" t="s">
        <v>71</v>
      </c>
      <c r="C972" t="s">
        <v>72</v>
      </c>
      <c r="D972" t="str">
        <f t="shared" si="45"/>
        <v>Morning</v>
      </c>
      <c r="E972">
        <f>HOUR(EV_Data[[#This Row],[Charging Start Time]])</f>
        <v>10</v>
      </c>
      <c r="F972" s="1">
        <v>44967.416666666664</v>
      </c>
      <c r="G972" s="1">
        <v>44967.452777777777</v>
      </c>
      <c r="H972">
        <v>52</v>
      </c>
      <c r="I972">
        <v>47.91</v>
      </c>
      <c r="J972" t="str">
        <f t="shared" si="46"/>
        <v>Medium</v>
      </c>
      <c r="K972" t="s">
        <v>50</v>
      </c>
      <c r="L972">
        <v>25</v>
      </c>
      <c r="M972">
        <v>54</v>
      </c>
      <c r="N972" t="str">
        <f t="shared" si="47"/>
        <v>High Cost</v>
      </c>
      <c r="O972">
        <v>22.79</v>
      </c>
      <c r="P972" t="s">
        <v>51</v>
      </c>
      <c r="Q972" t="s">
        <v>34</v>
      </c>
      <c r="R972" t="s">
        <v>35</v>
      </c>
      <c r="S972" t="s">
        <v>823</v>
      </c>
      <c r="T972" t="s">
        <v>46</v>
      </c>
      <c r="U972">
        <v>46</v>
      </c>
      <c r="V972">
        <v>2.7</v>
      </c>
      <c r="W972" t="s">
        <v>47</v>
      </c>
      <c r="X972" t="s">
        <v>29</v>
      </c>
    </row>
    <row r="973" spans="1:24" x14ac:dyDescent="0.3">
      <c r="A973" t="s">
        <v>2250</v>
      </c>
      <c r="B973" t="s">
        <v>53</v>
      </c>
      <c r="C973" t="s">
        <v>54</v>
      </c>
      <c r="D973" t="str">
        <f t="shared" si="45"/>
        <v>Morning</v>
      </c>
      <c r="E973">
        <f>HOUR(EV_Data[[#This Row],[Charging Start Time]])</f>
        <v>11</v>
      </c>
      <c r="F973" s="1">
        <v>44967.458333333336</v>
      </c>
      <c r="G973" s="1">
        <v>44967.511805555558</v>
      </c>
      <c r="H973">
        <v>77</v>
      </c>
      <c r="I973">
        <v>11.13</v>
      </c>
      <c r="J973" t="str">
        <f t="shared" si="46"/>
        <v>Low</v>
      </c>
      <c r="K973" t="s">
        <v>69</v>
      </c>
      <c r="L973">
        <v>33</v>
      </c>
      <c r="M973">
        <v>69</v>
      </c>
      <c r="N973" t="str">
        <f t="shared" si="47"/>
        <v>Low Cost</v>
      </c>
      <c r="O973">
        <v>5</v>
      </c>
      <c r="P973" t="s">
        <v>64</v>
      </c>
      <c r="Q973" t="s">
        <v>58</v>
      </c>
      <c r="R973" t="s">
        <v>25</v>
      </c>
      <c r="S973" t="s">
        <v>119</v>
      </c>
      <c r="T973" t="s">
        <v>60</v>
      </c>
      <c r="U973">
        <v>44</v>
      </c>
      <c r="V973">
        <v>3.2</v>
      </c>
      <c r="W973" t="s">
        <v>47</v>
      </c>
      <c r="X973" t="s">
        <v>29</v>
      </c>
    </row>
    <row r="974" spans="1:24" x14ac:dyDescent="0.3">
      <c r="A974" t="s">
        <v>2251</v>
      </c>
      <c r="B974" t="s">
        <v>53</v>
      </c>
      <c r="C974" t="s">
        <v>54</v>
      </c>
      <c r="D974" t="str">
        <f t="shared" si="45"/>
        <v>Afternoon</v>
      </c>
      <c r="E974">
        <f>HOUR(EV_Data[[#This Row],[Charging Start Time]])</f>
        <v>12</v>
      </c>
      <c r="F974" s="1">
        <v>44967.5</v>
      </c>
      <c r="G974" s="1">
        <v>44967.506944444453</v>
      </c>
      <c r="H974">
        <v>10</v>
      </c>
      <c r="I974">
        <v>20.61</v>
      </c>
      <c r="J974" t="str">
        <f t="shared" si="46"/>
        <v>Medium</v>
      </c>
      <c r="K974" t="s">
        <v>50</v>
      </c>
      <c r="L974">
        <v>34</v>
      </c>
      <c r="M974">
        <v>72</v>
      </c>
      <c r="N974" t="str">
        <f t="shared" si="47"/>
        <v>Medium Cost</v>
      </c>
      <c r="O974">
        <v>9.1300000000000008</v>
      </c>
      <c r="P974" t="s">
        <v>64</v>
      </c>
      <c r="Q974" t="s">
        <v>34</v>
      </c>
      <c r="R974" t="s">
        <v>44</v>
      </c>
      <c r="S974" t="s">
        <v>357</v>
      </c>
      <c r="T974" t="s">
        <v>37</v>
      </c>
      <c r="U974">
        <v>56</v>
      </c>
      <c r="V974">
        <v>3.7</v>
      </c>
      <c r="W974" t="s">
        <v>47</v>
      </c>
      <c r="X974" t="s">
        <v>29</v>
      </c>
    </row>
    <row r="975" spans="1:24" x14ac:dyDescent="0.3">
      <c r="A975" t="s">
        <v>2252</v>
      </c>
      <c r="B975" t="s">
        <v>20</v>
      </c>
      <c r="C975" t="s">
        <v>21</v>
      </c>
      <c r="D975" t="str">
        <f t="shared" si="45"/>
        <v>Afternoon</v>
      </c>
      <c r="E975">
        <f>HOUR(EV_Data[[#This Row],[Charging Start Time]])</f>
        <v>13</v>
      </c>
      <c r="F975" s="1">
        <v>44967.541666666664</v>
      </c>
      <c r="G975" s="1">
        <v>44967.59375</v>
      </c>
      <c r="H975">
        <v>75</v>
      </c>
      <c r="I975">
        <v>33.020000000000003</v>
      </c>
      <c r="J975" t="str">
        <f t="shared" si="46"/>
        <v>Medium</v>
      </c>
      <c r="K975" t="s">
        <v>69</v>
      </c>
      <c r="L975">
        <v>11</v>
      </c>
      <c r="M975">
        <v>30</v>
      </c>
      <c r="N975" t="str">
        <f t="shared" si="47"/>
        <v>Medium Cost</v>
      </c>
      <c r="O975">
        <v>9.75</v>
      </c>
      <c r="P975" t="s">
        <v>51</v>
      </c>
      <c r="Q975" t="s">
        <v>58</v>
      </c>
      <c r="R975" t="s">
        <v>56</v>
      </c>
      <c r="S975" t="s">
        <v>280</v>
      </c>
      <c r="T975" t="s">
        <v>60</v>
      </c>
      <c r="U975">
        <v>87</v>
      </c>
      <c r="V975">
        <v>2</v>
      </c>
      <c r="W975" t="s">
        <v>38</v>
      </c>
      <c r="X975" t="s">
        <v>83</v>
      </c>
    </row>
    <row r="976" spans="1:24" x14ac:dyDescent="0.3">
      <c r="A976" t="s">
        <v>2253</v>
      </c>
      <c r="B976" t="s">
        <v>30</v>
      </c>
      <c r="C976" t="s">
        <v>102</v>
      </c>
      <c r="D976" t="str">
        <f t="shared" si="45"/>
        <v>Afternoon</v>
      </c>
      <c r="E976">
        <f>HOUR(EV_Data[[#This Row],[Charging Start Time]])</f>
        <v>14</v>
      </c>
      <c r="F976" s="1">
        <v>44967.583333333336</v>
      </c>
      <c r="G976" s="1">
        <v>44967.651388888888</v>
      </c>
      <c r="H976">
        <v>98</v>
      </c>
      <c r="I976">
        <v>38.93</v>
      </c>
      <c r="J976" t="str">
        <f t="shared" si="46"/>
        <v>Medium</v>
      </c>
      <c r="K976" t="s">
        <v>55</v>
      </c>
      <c r="L976">
        <v>41</v>
      </c>
      <c r="M976">
        <v>62</v>
      </c>
      <c r="N976" t="str">
        <f t="shared" si="47"/>
        <v>Medium Cost</v>
      </c>
      <c r="O976">
        <v>13.53</v>
      </c>
      <c r="P976" t="s">
        <v>64</v>
      </c>
      <c r="Q976" t="s">
        <v>58</v>
      </c>
      <c r="R976" t="s">
        <v>56</v>
      </c>
      <c r="S976" t="s">
        <v>824</v>
      </c>
      <c r="T976" t="s">
        <v>37</v>
      </c>
      <c r="U976">
        <v>66</v>
      </c>
      <c r="V976">
        <v>2.8</v>
      </c>
      <c r="W976" t="s">
        <v>38</v>
      </c>
      <c r="X976" t="s">
        <v>83</v>
      </c>
    </row>
    <row r="977" spans="1:24" x14ac:dyDescent="0.3">
      <c r="A977" t="s">
        <v>2254</v>
      </c>
      <c r="B977" t="s">
        <v>53</v>
      </c>
      <c r="C977" t="s">
        <v>54</v>
      </c>
      <c r="D977" t="str">
        <f t="shared" si="45"/>
        <v>Afternoon</v>
      </c>
      <c r="E977">
        <f>HOUR(EV_Data[[#This Row],[Charging Start Time]])</f>
        <v>15</v>
      </c>
      <c r="F977" s="1">
        <v>44967.625</v>
      </c>
      <c r="G977" s="1">
        <v>44967.65902777778</v>
      </c>
      <c r="H977">
        <v>49</v>
      </c>
      <c r="I977">
        <v>38.729999999999997</v>
      </c>
      <c r="J977" t="str">
        <f t="shared" si="46"/>
        <v>Medium</v>
      </c>
      <c r="K977" t="s">
        <v>50</v>
      </c>
      <c r="L977">
        <v>70</v>
      </c>
      <c r="M977">
        <v>95</v>
      </c>
      <c r="N977" t="str">
        <f t="shared" si="47"/>
        <v>Medium Cost</v>
      </c>
      <c r="O977">
        <v>11.9</v>
      </c>
      <c r="P977" t="s">
        <v>23</v>
      </c>
      <c r="Q977" t="s">
        <v>34</v>
      </c>
      <c r="R977" t="s">
        <v>35</v>
      </c>
      <c r="S977" t="s">
        <v>825</v>
      </c>
      <c r="T977" t="s">
        <v>60</v>
      </c>
      <c r="U977">
        <v>65</v>
      </c>
      <c r="V977">
        <v>2.9</v>
      </c>
      <c r="W977" t="s">
        <v>47</v>
      </c>
      <c r="X977" t="s">
        <v>29</v>
      </c>
    </row>
    <row r="978" spans="1:24" x14ac:dyDescent="0.3">
      <c r="A978" t="s">
        <v>2255</v>
      </c>
      <c r="B978" t="s">
        <v>126</v>
      </c>
      <c r="C978" t="s">
        <v>31</v>
      </c>
      <c r="D978" t="str">
        <f t="shared" si="45"/>
        <v>Afternoon</v>
      </c>
      <c r="E978">
        <f>HOUR(EV_Data[[#This Row],[Charging Start Time]])</f>
        <v>16</v>
      </c>
      <c r="F978" s="1">
        <v>44967.666666666664</v>
      </c>
      <c r="G978" s="1">
        <v>44967.705555555563</v>
      </c>
      <c r="H978">
        <v>56</v>
      </c>
      <c r="I978">
        <v>22.98</v>
      </c>
      <c r="J978" t="str">
        <f t="shared" si="46"/>
        <v>Medium</v>
      </c>
      <c r="K978" t="s">
        <v>50</v>
      </c>
      <c r="L978">
        <v>29</v>
      </c>
      <c r="M978">
        <v>39</v>
      </c>
      <c r="N978" t="str">
        <f t="shared" si="47"/>
        <v>Low Cost</v>
      </c>
      <c r="O978">
        <v>4.7699999999999996</v>
      </c>
      <c r="P978" t="s">
        <v>43</v>
      </c>
      <c r="Q978" t="s">
        <v>58</v>
      </c>
      <c r="R978" t="s">
        <v>44</v>
      </c>
      <c r="S978" t="s">
        <v>778</v>
      </c>
      <c r="T978" t="s">
        <v>27</v>
      </c>
      <c r="U978">
        <v>87</v>
      </c>
      <c r="V978">
        <v>4.9000000000000004</v>
      </c>
      <c r="W978" t="s">
        <v>47</v>
      </c>
      <c r="X978" t="s">
        <v>29</v>
      </c>
    </row>
    <row r="979" spans="1:24" x14ac:dyDescent="0.3">
      <c r="A979" t="s">
        <v>2256</v>
      </c>
      <c r="B979" t="s">
        <v>30</v>
      </c>
      <c r="C979" t="s">
        <v>102</v>
      </c>
      <c r="D979" t="str">
        <f t="shared" si="45"/>
        <v>Evening</v>
      </c>
      <c r="E979">
        <f>HOUR(EV_Data[[#This Row],[Charging Start Time]])</f>
        <v>17</v>
      </c>
      <c r="F979" s="1">
        <v>44967.708333333336</v>
      </c>
      <c r="G979" s="1">
        <v>44967.752083333333</v>
      </c>
      <c r="H979">
        <v>63</v>
      </c>
      <c r="I979">
        <v>42.48</v>
      </c>
      <c r="J979" t="str">
        <f t="shared" si="46"/>
        <v>Medium</v>
      </c>
      <c r="K979" t="s">
        <v>50</v>
      </c>
      <c r="L979">
        <v>6</v>
      </c>
      <c r="M979">
        <v>20</v>
      </c>
      <c r="N979" t="str">
        <f t="shared" si="47"/>
        <v>High Cost</v>
      </c>
      <c r="O979">
        <v>17.170000000000002</v>
      </c>
      <c r="P979" t="s">
        <v>33</v>
      </c>
      <c r="Q979" t="s">
        <v>58</v>
      </c>
      <c r="R979" t="s">
        <v>44</v>
      </c>
      <c r="S979" t="s">
        <v>432</v>
      </c>
      <c r="T979" t="s">
        <v>60</v>
      </c>
      <c r="U979">
        <v>12</v>
      </c>
      <c r="V979">
        <v>2.9</v>
      </c>
      <c r="W979" t="s">
        <v>28</v>
      </c>
      <c r="X979" t="s">
        <v>68</v>
      </c>
    </row>
    <row r="980" spans="1:24" x14ac:dyDescent="0.3">
      <c r="A980" t="s">
        <v>2257</v>
      </c>
      <c r="B980" t="s">
        <v>20</v>
      </c>
      <c r="C980" t="s">
        <v>21</v>
      </c>
      <c r="D980" t="str">
        <f t="shared" si="45"/>
        <v>Evening</v>
      </c>
      <c r="E980">
        <f>HOUR(EV_Data[[#This Row],[Charging Start Time]])</f>
        <v>18</v>
      </c>
      <c r="F980" s="1">
        <v>44967.75</v>
      </c>
      <c r="G980" s="1">
        <v>44967.761805555558</v>
      </c>
      <c r="H980">
        <v>17</v>
      </c>
      <c r="I980">
        <v>32.92</v>
      </c>
      <c r="J980" t="str">
        <f t="shared" si="46"/>
        <v>Medium</v>
      </c>
      <c r="K980" t="s">
        <v>55</v>
      </c>
      <c r="L980">
        <v>29</v>
      </c>
      <c r="M980">
        <v>50</v>
      </c>
      <c r="N980" t="str">
        <f t="shared" si="47"/>
        <v>Medium Cost</v>
      </c>
      <c r="O980">
        <v>9.08</v>
      </c>
      <c r="P980" t="s">
        <v>64</v>
      </c>
      <c r="Q980" t="s">
        <v>34</v>
      </c>
      <c r="R980" t="s">
        <v>44</v>
      </c>
      <c r="S980" t="s">
        <v>125</v>
      </c>
      <c r="T980" t="s">
        <v>60</v>
      </c>
      <c r="U980">
        <v>34</v>
      </c>
      <c r="V980">
        <v>4.5999999999999996</v>
      </c>
      <c r="W980" t="s">
        <v>38</v>
      </c>
      <c r="X980" t="s">
        <v>39</v>
      </c>
    </row>
    <row r="981" spans="1:24" x14ac:dyDescent="0.3">
      <c r="A981" t="s">
        <v>2258</v>
      </c>
      <c r="B981" t="s">
        <v>92</v>
      </c>
      <c r="C981" t="s">
        <v>93</v>
      </c>
      <c r="D981" t="str">
        <f t="shared" si="45"/>
        <v>Evening</v>
      </c>
      <c r="E981">
        <f>HOUR(EV_Data[[#This Row],[Charging Start Time]])</f>
        <v>19</v>
      </c>
      <c r="F981" s="1">
        <v>44967.791666666664</v>
      </c>
      <c r="G981" s="1">
        <v>44967.865972222222</v>
      </c>
      <c r="H981">
        <v>107</v>
      </c>
      <c r="I981">
        <v>38.380000000000003</v>
      </c>
      <c r="J981" t="str">
        <f t="shared" si="46"/>
        <v>Medium</v>
      </c>
      <c r="K981" t="s">
        <v>50</v>
      </c>
      <c r="L981">
        <v>36</v>
      </c>
      <c r="M981">
        <v>67</v>
      </c>
      <c r="N981" t="str">
        <f t="shared" si="47"/>
        <v>Medium Cost</v>
      </c>
      <c r="O981">
        <v>14.42</v>
      </c>
      <c r="P981" t="s">
        <v>51</v>
      </c>
      <c r="Q981" t="s">
        <v>34</v>
      </c>
      <c r="R981" t="s">
        <v>25</v>
      </c>
      <c r="S981" t="s">
        <v>674</v>
      </c>
      <c r="T981" t="s">
        <v>37</v>
      </c>
      <c r="U981">
        <v>77</v>
      </c>
      <c r="V981">
        <v>3.7</v>
      </c>
      <c r="W981" t="s">
        <v>28</v>
      </c>
      <c r="X981" t="s">
        <v>68</v>
      </c>
    </row>
    <row r="982" spans="1:24" x14ac:dyDescent="0.3">
      <c r="A982" t="s">
        <v>2259</v>
      </c>
      <c r="B982" t="s">
        <v>71</v>
      </c>
      <c r="C982" t="s">
        <v>72</v>
      </c>
      <c r="D982" t="str">
        <f t="shared" si="45"/>
        <v>Evening</v>
      </c>
      <c r="E982">
        <f>HOUR(EV_Data[[#This Row],[Charging Start Time]])</f>
        <v>20</v>
      </c>
      <c r="F982" s="1">
        <v>44967.833333333336</v>
      </c>
      <c r="G982" s="1">
        <v>44967.885416666657</v>
      </c>
      <c r="H982">
        <v>75</v>
      </c>
      <c r="I982">
        <v>22.91</v>
      </c>
      <c r="J982" t="str">
        <f t="shared" si="46"/>
        <v>Medium</v>
      </c>
      <c r="K982" t="s">
        <v>22</v>
      </c>
      <c r="L982">
        <v>21</v>
      </c>
      <c r="M982">
        <v>45</v>
      </c>
      <c r="N982" t="str">
        <f t="shared" si="47"/>
        <v>Low Cost</v>
      </c>
      <c r="O982">
        <v>4.6900000000000004</v>
      </c>
      <c r="P982" t="s">
        <v>64</v>
      </c>
      <c r="Q982" t="s">
        <v>24</v>
      </c>
      <c r="R982" t="s">
        <v>44</v>
      </c>
      <c r="S982" t="s">
        <v>826</v>
      </c>
      <c r="T982" t="s">
        <v>46</v>
      </c>
      <c r="U982">
        <v>64</v>
      </c>
      <c r="V982">
        <v>2.7</v>
      </c>
      <c r="W982" t="s">
        <v>38</v>
      </c>
      <c r="X982" t="s">
        <v>62</v>
      </c>
    </row>
    <row r="983" spans="1:24" x14ac:dyDescent="0.3">
      <c r="A983" t="s">
        <v>2260</v>
      </c>
      <c r="B983" t="s">
        <v>77</v>
      </c>
      <c r="C983" t="s">
        <v>78</v>
      </c>
      <c r="D983" t="str">
        <f t="shared" si="45"/>
        <v>Evening</v>
      </c>
      <c r="E983">
        <f>HOUR(EV_Data[[#This Row],[Charging Start Time]])</f>
        <v>21</v>
      </c>
      <c r="F983" s="1">
        <v>44967.875</v>
      </c>
      <c r="G983" s="1">
        <v>44967.875694444447</v>
      </c>
      <c r="H983">
        <v>1</v>
      </c>
      <c r="I983">
        <v>26.06</v>
      </c>
      <c r="J983" t="str">
        <f t="shared" si="46"/>
        <v>Medium</v>
      </c>
      <c r="K983" t="s">
        <v>22</v>
      </c>
      <c r="L983">
        <v>9</v>
      </c>
      <c r="M983">
        <v>39</v>
      </c>
      <c r="N983" t="str">
        <f t="shared" si="47"/>
        <v>Medium Cost</v>
      </c>
      <c r="O983">
        <v>10.210000000000001</v>
      </c>
      <c r="P983" t="s">
        <v>51</v>
      </c>
      <c r="Q983" t="s">
        <v>24</v>
      </c>
      <c r="R983" t="s">
        <v>44</v>
      </c>
      <c r="S983" t="s">
        <v>179</v>
      </c>
      <c r="T983" t="s">
        <v>60</v>
      </c>
      <c r="U983">
        <v>46</v>
      </c>
      <c r="V983">
        <v>3.5</v>
      </c>
      <c r="W983" t="s">
        <v>47</v>
      </c>
      <c r="X983" t="s">
        <v>29</v>
      </c>
    </row>
    <row r="984" spans="1:24" x14ac:dyDescent="0.3">
      <c r="A984" t="s">
        <v>2261</v>
      </c>
      <c r="B984" t="s">
        <v>71</v>
      </c>
      <c r="C984" t="s">
        <v>72</v>
      </c>
      <c r="D984" t="str">
        <f t="shared" si="45"/>
        <v>Evening</v>
      </c>
      <c r="E984">
        <f>HOUR(EV_Data[[#This Row],[Charging Start Time]])</f>
        <v>22</v>
      </c>
      <c r="F984" s="1">
        <v>44967.916666666664</v>
      </c>
      <c r="G984" s="1">
        <v>44967.917361111111</v>
      </c>
      <c r="H984">
        <v>1</v>
      </c>
      <c r="I984">
        <v>29.1</v>
      </c>
      <c r="J984" t="str">
        <f t="shared" si="46"/>
        <v>Medium</v>
      </c>
      <c r="K984" t="s">
        <v>69</v>
      </c>
      <c r="L984">
        <v>32</v>
      </c>
      <c r="M984">
        <v>51</v>
      </c>
      <c r="N984" t="str">
        <f t="shared" si="47"/>
        <v>Medium Cost</v>
      </c>
      <c r="O984">
        <v>10.48</v>
      </c>
      <c r="P984" t="s">
        <v>51</v>
      </c>
      <c r="Q984" t="s">
        <v>58</v>
      </c>
      <c r="R984" t="s">
        <v>56</v>
      </c>
      <c r="S984" t="s">
        <v>827</v>
      </c>
      <c r="T984" t="s">
        <v>46</v>
      </c>
      <c r="U984">
        <v>69</v>
      </c>
      <c r="V984">
        <v>2</v>
      </c>
      <c r="W984" t="s">
        <v>28</v>
      </c>
      <c r="X984" t="s">
        <v>68</v>
      </c>
    </row>
    <row r="985" spans="1:24" x14ac:dyDescent="0.3">
      <c r="A985" t="s">
        <v>2262</v>
      </c>
      <c r="B985" t="s">
        <v>53</v>
      </c>
      <c r="C985" t="s">
        <v>54</v>
      </c>
      <c r="D985" t="str">
        <f t="shared" si="45"/>
        <v>Evening</v>
      </c>
      <c r="E985">
        <f>HOUR(EV_Data[[#This Row],[Charging Start Time]])</f>
        <v>23</v>
      </c>
      <c r="F985" s="1">
        <v>44967.958333333336</v>
      </c>
      <c r="G985" s="1">
        <v>44967.974999999999</v>
      </c>
      <c r="H985">
        <v>24</v>
      </c>
      <c r="I985">
        <v>8.84</v>
      </c>
      <c r="J985" t="str">
        <f t="shared" si="46"/>
        <v>Low</v>
      </c>
      <c r="K985" t="s">
        <v>69</v>
      </c>
      <c r="L985">
        <v>64</v>
      </c>
      <c r="M985">
        <v>75</v>
      </c>
      <c r="N985" t="str">
        <f t="shared" si="47"/>
        <v>Low Cost</v>
      </c>
      <c r="O985">
        <v>3.13</v>
      </c>
      <c r="P985" t="s">
        <v>43</v>
      </c>
      <c r="Q985" t="s">
        <v>48</v>
      </c>
      <c r="R985" t="s">
        <v>35</v>
      </c>
      <c r="S985" t="s">
        <v>828</v>
      </c>
      <c r="T985" t="s">
        <v>37</v>
      </c>
      <c r="U985">
        <v>1</v>
      </c>
      <c r="V985">
        <v>1.1000000000000001</v>
      </c>
      <c r="W985" t="s">
        <v>47</v>
      </c>
      <c r="X985" t="s">
        <v>29</v>
      </c>
    </row>
    <row r="986" spans="1:24" x14ac:dyDescent="0.3">
      <c r="A986" t="s">
        <v>2263</v>
      </c>
      <c r="B986" t="s">
        <v>40</v>
      </c>
      <c r="C986" t="s">
        <v>41</v>
      </c>
      <c r="D986" t="str">
        <f t="shared" si="45"/>
        <v>Morning</v>
      </c>
      <c r="E986">
        <f>HOUR(EV_Data[[#This Row],[Charging Start Time]])</f>
        <v>0</v>
      </c>
      <c r="F986" s="1">
        <v>44968</v>
      </c>
      <c r="G986" s="1">
        <v>44968.03402777778</v>
      </c>
      <c r="H986">
        <v>49</v>
      </c>
      <c r="I986">
        <v>44.29</v>
      </c>
      <c r="J986" t="str">
        <f t="shared" si="46"/>
        <v>Medium</v>
      </c>
      <c r="K986" t="s">
        <v>42</v>
      </c>
      <c r="L986">
        <v>76</v>
      </c>
      <c r="M986">
        <v>100</v>
      </c>
      <c r="N986" t="str">
        <f t="shared" si="47"/>
        <v>Medium Cost</v>
      </c>
      <c r="O986">
        <v>14.64</v>
      </c>
      <c r="P986" t="s">
        <v>64</v>
      </c>
      <c r="Q986" t="s">
        <v>58</v>
      </c>
      <c r="R986" t="s">
        <v>56</v>
      </c>
      <c r="S986" t="s">
        <v>598</v>
      </c>
      <c r="T986" t="s">
        <v>37</v>
      </c>
      <c r="U986">
        <v>21</v>
      </c>
      <c r="V986">
        <v>2.4</v>
      </c>
      <c r="W986" t="s">
        <v>28</v>
      </c>
      <c r="X986" t="s">
        <v>68</v>
      </c>
    </row>
    <row r="987" spans="1:24" x14ac:dyDescent="0.3">
      <c r="A987" t="s">
        <v>2264</v>
      </c>
      <c r="B987" t="s">
        <v>30</v>
      </c>
      <c r="C987" t="s">
        <v>102</v>
      </c>
      <c r="D987" t="str">
        <f t="shared" si="45"/>
        <v>Morning</v>
      </c>
      <c r="E987">
        <f>HOUR(EV_Data[[#This Row],[Charging Start Time]])</f>
        <v>1</v>
      </c>
      <c r="F987" s="1">
        <v>44968.041666666664</v>
      </c>
      <c r="G987" s="1">
        <v>44968.082638888889</v>
      </c>
      <c r="H987">
        <v>59</v>
      </c>
      <c r="I987">
        <v>42.61</v>
      </c>
      <c r="J987" t="str">
        <f t="shared" si="46"/>
        <v>Medium</v>
      </c>
      <c r="K987" t="s">
        <v>55</v>
      </c>
      <c r="L987">
        <v>45</v>
      </c>
      <c r="M987">
        <v>56</v>
      </c>
      <c r="N987" t="str">
        <f t="shared" si="47"/>
        <v>High Cost</v>
      </c>
      <c r="O987">
        <v>17.48</v>
      </c>
      <c r="P987" t="s">
        <v>23</v>
      </c>
      <c r="Q987" t="s">
        <v>24</v>
      </c>
      <c r="R987" t="s">
        <v>35</v>
      </c>
      <c r="S987" t="s">
        <v>314</v>
      </c>
      <c r="T987" t="s">
        <v>46</v>
      </c>
      <c r="U987">
        <v>58</v>
      </c>
      <c r="V987">
        <v>3.3</v>
      </c>
      <c r="W987" t="s">
        <v>28</v>
      </c>
      <c r="X987" t="s">
        <v>68</v>
      </c>
    </row>
    <row r="988" spans="1:24" x14ac:dyDescent="0.3">
      <c r="A988" t="s">
        <v>2265</v>
      </c>
      <c r="B988" t="s">
        <v>77</v>
      </c>
      <c r="C988" t="s">
        <v>78</v>
      </c>
      <c r="D988" t="str">
        <f t="shared" si="45"/>
        <v>Morning</v>
      </c>
      <c r="E988">
        <f>HOUR(EV_Data[[#This Row],[Charging Start Time]])</f>
        <v>2</v>
      </c>
      <c r="F988" s="1">
        <v>44968.083333333336</v>
      </c>
      <c r="G988" s="1">
        <v>44968.120833333327</v>
      </c>
      <c r="H988">
        <v>54</v>
      </c>
      <c r="I988">
        <v>41.3</v>
      </c>
      <c r="J988" t="str">
        <f t="shared" si="46"/>
        <v>Medium</v>
      </c>
      <c r="K988" t="s">
        <v>22</v>
      </c>
      <c r="L988">
        <v>46</v>
      </c>
      <c r="M988">
        <v>57</v>
      </c>
      <c r="N988" t="str">
        <f t="shared" si="47"/>
        <v>Medium Cost</v>
      </c>
      <c r="O988">
        <v>8.56</v>
      </c>
      <c r="P988" t="s">
        <v>64</v>
      </c>
      <c r="Q988" t="s">
        <v>34</v>
      </c>
      <c r="R988" t="s">
        <v>56</v>
      </c>
      <c r="S988" t="s">
        <v>829</v>
      </c>
      <c r="T988" t="s">
        <v>27</v>
      </c>
      <c r="U988">
        <v>15</v>
      </c>
      <c r="V988">
        <v>4</v>
      </c>
      <c r="W988" t="s">
        <v>28</v>
      </c>
      <c r="X988" t="s">
        <v>68</v>
      </c>
    </row>
    <row r="989" spans="1:24" x14ac:dyDescent="0.3">
      <c r="A989" t="s">
        <v>2266</v>
      </c>
      <c r="B989" t="s">
        <v>92</v>
      </c>
      <c r="C989" t="s">
        <v>93</v>
      </c>
      <c r="D989" t="str">
        <f t="shared" si="45"/>
        <v>Morning</v>
      </c>
      <c r="E989">
        <f>HOUR(EV_Data[[#This Row],[Charging Start Time]])</f>
        <v>3</v>
      </c>
      <c r="F989" s="1">
        <v>44968.125</v>
      </c>
      <c r="G989" s="1">
        <v>44968.167361111111</v>
      </c>
      <c r="H989">
        <v>61</v>
      </c>
      <c r="I989">
        <v>11.15</v>
      </c>
      <c r="J989" t="str">
        <f t="shared" si="46"/>
        <v>Low</v>
      </c>
      <c r="K989" t="s">
        <v>42</v>
      </c>
      <c r="L989">
        <v>24</v>
      </c>
      <c r="M989">
        <v>48</v>
      </c>
      <c r="N989" t="str">
        <f t="shared" si="47"/>
        <v>Low Cost</v>
      </c>
      <c r="O989">
        <v>3.62</v>
      </c>
      <c r="P989" t="s">
        <v>33</v>
      </c>
      <c r="Q989" t="s">
        <v>48</v>
      </c>
      <c r="R989" t="s">
        <v>56</v>
      </c>
      <c r="S989" t="s">
        <v>830</v>
      </c>
      <c r="T989" t="s">
        <v>60</v>
      </c>
      <c r="U989">
        <v>73</v>
      </c>
      <c r="V989">
        <v>3.7</v>
      </c>
      <c r="W989" t="s">
        <v>28</v>
      </c>
      <c r="X989" t="s">
        <v>68</v>
      </c>
    </row>
    <row r="990" spans="1:24" x14ac:dyDescent="0.3">
      <c r="A990" t="s">
        <v>2267</v>
      </c>
      <c r="B990" t="s">
        <v>126</v>
      </c>
      <c r="C990" t="s">
        <v>31</v>
      </c>
      <c r="D990" t="str">
        <f t="shared" si="45"/>
        <v>Morning</v>
      </c>
      <c r="E990">
        <f>HOUR(EV_Data[[#This Row],[Charging Start Time]])</f>
        <v>4</v>
      </c>
      <c r="F990" s="1">
        <v>44968.166666666664</v>
      </c>
      <c r="G990" s="1">
        <v>44968.195833333331</v>
      </c>
      <c r="H990">
        <v>42</v>
      </c>
      <c r="I990">
        <v>19.96</v>
      </c>
      <c r="J990" t="str">
        <f t="shared" si="46"/>
        <v>Low</v>
      </c>
      <c r="K990" t="s">
        <v>42</v>
      </c>
      <c r="L990">
        <v>69</v>
      </c>
      <c r="M990">
        <v>98</v>
      </c>
      <c r="N990" t="str">
        <f t="shared" si="47"/>
        <v>Medium Cost</v>
      </c>
      <c r="O990">
        <v>8.68</v>
      </c>
      <c r="P990" t="s">
        <v>33</v>
      </c>
      <c r="Q990" t="s">
        <v>24</v>
      </c>
      <c r="R990" t="s">
        <v>44</v>
      </c>
      <c r="S990" t="s">
        <v>831</v>
      </c>
      <c r="T990" t="s">
        <v>27</v>
      </c>
      <c r="U990">
        <v>13</v>
      </c>
      <c r="V990">
        <v>1.3</v>
      </c>
      <c r="W990" t="s">
        <v>47</v>
      </c>
      <c r="X990" t="s">
        <v>29</v>
      </c>
    </row>
    <row r="991" spans="1:24" x14ac:dyDescent="0.3">
      <c r="A991" t="s">
        <v>2268</v>
      </c>
      <c r="B991" t="s">
        <v>20</v>
      </c>
      <c r="C991" t="s">
        <v>21</v>
      </c>
      <c r="D991" t="str">
        <f t="shared" si="45"/>
        <v>Morning</v>
      </c>
      <c r="E991">
        <f>HOUR(EV_Data[[#This Row],[Charging Start Time]])</f>
        <v>5</v>
      </c>
      <c r="F991" s="1">
        <v>44968.208333333336</v>
      </c>
      <c r="G991" s="1">
        <v>44968.270833333343</v>
      </c>
      <c r="H991">
        <v>90</v>
      </c>
      <c r="I991">
        <v>39.21</v>
      </c>
      <c r="J991" t="str">
        <f t="shared" si="46"/>
        <v>Medium</v>
      </c>
      <c r="K991" t="s">
        <v>55</v>
      </c>
      <c r="L991">
        <v>53</v>
      </c>
      <c r="M991">
        <v>66</v>
      </c>
      <c r="N991" t="str">
        <f t="shared" si="47"/>
        <v>Medium Cost</v>
      </c>
      <c r="O991">
        <v>11.2</v>
      </c>
      <c r="P991" t="s">
        <v>51</v>
      </c>
      <c r="Q991" t="s">
        <v>24</v>
      </c>
      <c r="R991" t="s">
        <v>35</v>
      </c>
      <c r="S991" t="s">
        <v>832</v>
      </c>
      <c r="T991" t="s">
        <v>60</v>
      </c>
      <c r="U991">
        <v>15</v>
      </c>
      <c r="V991">
        <v>2.9</v>
      </c>
      <c r="W991" t="s">
        <v>28</v>
      </c>
      <c r="X991" t="s">
        <v>68</v>
      </c>
    </row>
    <row r="992" spans="1:24" x14ac:dyDescent="0.3">
      <c r="A992" t="s">
        <v>1279</v>
      </c>
      <c r="B992" t="s">
        <v>71</v>
      </c>
      <c r="C992" t="s">
        <v>72</v>
      </c>
      <c r="D992" t="str">
        <f t="shared" si="45"/>
        <v>Morning</v>
      </c>
      <c r="E992">
        <f>HOUR(EV_Data[[#This Row],[Charging Start Time]])</f>
        <v>6</v>
      </c>
      <c r="F992" s="1">
        <v>44968.25</v>
      </c>
      <c r="G992" s="1">
        <v>44968.302777777782</v>
      </c>
      <c r="H992">
        <v>76</v>
      </c>
      <c r="I992">
        <v>9.7799999999999994</v>
      </c>
      <c r="J992" t="str">
        <f t="shared" si="46"/>
        <v>Low</v>
      </c>
      <c r="K992" t="s">
        <v>55</v>
      </c>
      <c r="L992">
        <v>77</v>
      </c>
      <c r="M992">
        <v>94</v>
      </c>
      <c r="N992" t="str">
        <f t="shared" si="47"/>
        <v>Low Cost</v>
      </c>
      <c r="O992">
        <v>2.35</v>
      </c>
      <c r="P992" t="s">
        <v>43</v>
      </c>
      <c r="Q992" t="s">
        <v>58</v>
      </c>
      <c r="R992" t="s">
        <v>56</v>
      </c>
      <c r="S992" t="s">
        <v>160</v>
      </c>
      <c r="T992" t="s">
        <v>37</v>
      </c>
      <c r="U992">
        <v>23</v>
      </c>
      <c r="V992">
        <v>3</v>
      </c>
      <c r="W992" t="s">
        <v>47</v>
      </c>
      <c r="X992" t="s">
        <v>29</v>
      </c>
    </row>
    <row r="993" spans="1:24" x14ac:dyDescent="0.3">
      <c r="A993" t="s">
        <v>2269</v>
      </c>
      <c r="B993" t="s">
        <v>71</v>
      </c>
      <c r="C993" t="s">
        <v>72</v>
      </c>
      <c r="D993" t="str">
        <f t="shared" si="45"/>
        <v>Morning</v>
      </c>
      <c r="E993">
        <f>HOUR(EV_Data[[#This Row],[Charging Start Time]])</f>
        <v>7</v>
      </c>
      <c r="F993" s="1">
        <v>44968.291666666664</v>
      </c>
      <c r="G993" s="1">
        <v>44968.365277777782</v>
      </c>
      <c r="H993">
        <v>106</v>
      </c>
      <c r="I993">
        <v>21.13</v>
      </c>
      <c r="J993" t="str">
        <f t="shared" si="46"/>
        <v>Medium</v>
      </c>
      <c r="K993" t="s">
        <v>42</v>
      </c>
      <c r="L993">
        <v>31</v>
      </c>
      <c r="M993">
        <v>48</v>
      </c>
      <c r="N993" t="str">
        <f t="shared" si="47"/>
        <v>Medium Cost</v>
      </c>
      <c r="O993">
        <v>9.4</v>
      </c>
      <c r="P993" t="s">
        <v>43</v>
      </c>
      <c r="Q993" t="s">
        <v>34</v>
      </c>
      <c r="R993" t="s">
        <v>44</v>
      </c>
      <c r="S993" t="s">
        <v>833</v>
      </c>
      <c r="T993" t="s">
        <v>46</v>
      </c>
      <c r="U993">
        <v>94</v>
      </c>
      <c r="V993">
        <v>2</v>
      </c>
      <c r="W993" t="s">
        <v>38</v>
      </c>
      <c r="X993" t="s">
        <v>39</v>
      </c>
    </row>
    <row r="994" spans="1:24" x14ac:dyDescent="0.3">
      <c r="A994" t="s">
        <v>2270</v>
      </c>
      <c r="B994" t="s">
        <v>53</v>
      </c>
      <c r="C994" t="s">
        <v>54</v>
      </c>
      <c r="D994" t="str">
        <f t="shared" si="45"/>
        <v>Morning</v>
      </c>
      <c r="E994">
        <f>HOUR(EV_Data[[#This Row],[Charging Start Time]])</f>
        <v>8</v>
      </c>
      <c r="F994" s="1">
        <v>44968.333333333336</v>
      </c>
      <c r="G994" s="1">
        <v>44968.376388888893</v>
      </c>
      <c r="H994">
        <v>62</v>
      </c>
      <c r="I994">
        <v>15.87</v>
      </c>
      <c r="J994" t="str">
        <f t="shared" si="46"/>
        <v>Low</v>
      </c>
      <c r="K994" t="s">
        <v>69</v>
      </c>
      <c r="L994">
        <v>77</v>
      </c>
      <c r="M994">
        <v>92</v>
      </c>
      <c r="N994" t="str">
        <f t="shared" si="47"/>
        <v>Low Cost</v>
      </c>
      <c r="O994">
        <v>4.75</v>
      </c>
      <c r="P994" t="s">
        <v>64</v>
      </c>
      <c r="Q994" t="s">
        <v>58</v>
      </c>
      <c r="R994" t="s">
        <v>56</v>
      </c>
      <c r="S994" t="s">
        <v>300</v>
      </c>
      <c r="T994" t="s">
        <v>37</v>
      </c>
      <c r="U994">
        <v>23</v>
      </c>
      <c r="V994">
        <v>3.5</v>
      </c>
      <c r="W994" t="s">
        <v>38</v>
      </c>
      <c r="X994" t="s">
        <v>39</v>
      </c>
    </row>
    <row r="995" spans="1:24" x14ac:dyDescent="0.3">
      <c r="A995" t="s">
        <v>2271</v>
      </c>
      <c r="B995" t="s">
        <v>20</v>
      </c>
      <c r="C995" t="s">
        <v>21</v>
      </c>
      <c r="D995" t="str">
        <f t="shared" si="45"/>
        <v>Morning</v>
      </c>
      <c r="E995">
        <f>HOUR(EV_Data[[#This Row],[Charging Start Time]])</f>
        <v>9</v>
      </c>
      <c r="F995" s="1">
        <v>44968.375</v>
      </c>
      <c r="G995" s="1">
        <v>44968.418749999997</v>
      </c>
      <c r="H995">
        <v>63</v>
      </c>
      <c r="I995">
        <v>22.44</v>
      </c>
      <c r="J995" t="str">
        <f t="shared" si="46"/>
        <v>Medium</v>
      </c>
      <c r="K995" t="s">
        <v>32</v>
      </c>
      <c r="L995">
        <v>35</v>
      </c>
      <c r="M995">
        <v>64</v>
      </c>
      <c r="N995" t="str">
        <f t="shared" si="47"/>
        <v>Medium Cost</v>
      </c>
      <c r="O995">
        <v>11.21</v>
      </c>
      <c r="P995" t="s">
        <v>43</v>
      </c>
      <c r="Q995" t="s">
        <v>24</v>
      </c>
      <c r="R995" t="s">
        <v>35</v>
      </c>
      <c r="S995" t="s">
        <v>834</v>
      </c>
      <c r="T995" t="s">
        <v>27</v>
      </c>
      <c r="U995">
        <v>71</v>
      </c>
      <c r="V995">
        <v>1.9</v>
      </c>
      <c r="W995" t="s">
        <v>47</v>
      </c>
      <c r="X995" t="s">
        <v>29</v>
      </c>
    </row>
    <row r="996" spans="1:24" x14ac:dyDescent="0.3">
      <c r="A996" t="s">
        <v>2272</v>
      </c>
      <c r="B996" t="s">
        <v>40</v>
      </c>
      <c r="C996" t="s">
        <v>41</v>
      </c>
      <c r="D996" t="str">
        <f t="shared" si="45"/>
        <v>Morning</v>
      </c>
      <c r="E996">
        <f>HOUR(EV_Data[[#This Row],[Charging Start Time]])</f>
        <v>10</v>
      </c>
      <c r="F996" s="1">
        <v>44968.416666666664</v>
      </c>
      <c r="G996" s="1">
        <v>44968.439583333333</v>
      </c>
      <c r="H996">
        <v>33</v>
      </c>
      <c r="I996">
        <v>40.49</v>
      </c>
      <c r="J996" t="str">
        <f t="shared" si="46"/>
        <v>Medium</v>
      </c>
      <c r="K996" t="s">
        <v>32</v>
      </c>
      <c r="L996">
        <v>74</v>
      </c>
      <c r="M996">
        <v>100</v>
      </c>
      <c r="N996" t="str">
        <f t="shared" si="47"/>
        <v>Medium Cost</v>
      </c>
      <c r="O996">
        <v>14.26</v>
      </c>
      <c r="P996" t="s">
        <v>33</v>
      </c>
      <c r="Q996" t="s">
        <v>24</v>
      </c>
      <c r="R996" t="s">
        <v>44</v>
      </c>
      <c r="S996" t="s">
        <v>277</v>
      </c>
      <c r="T996" t="s">
        <v>46</v>
      </c>
      <c r="U996">
        <v>63</v>
      </c>
      <c r="V996">
        <v>2.6</v>
      </c>
      <c r="W996" t="s">
        <v>28</v>
      </c>
      <c r="X996" t="s">
        <v>68</v>
      </c>
    </row>
    <row r="997" spans="1:24" x14ac:dyDescent="0.3">
      <c r="A997" t="s">
        <v>2273</v>
      </c>
      <c r="B997" t="s">
        <v>53</v>
      </c>
      <c r="C997" t="s">
        <v>54</v>
      </c>
      <c r="D997" t="str">
        <f t="shared" si="45"/>
        <v>Morning</v>
      </c>
      <c r="E997">
        <f>HOUR(EV_Data[[#This Row],[Charging Start Time]])</f>
        <v>11</v>
      </c>
      <c r="F997" s="1">
        <v>44968.458333333336</v>
      </c>
      <c r="G997" s="1">
        <v>44968.477777777778</v>
      </c>
      <c r="H997">
        <v>28</v>
      </c>
      <c r="I997">
        <v>41.03</v>
      </c>
      <c r="J997" t="str">
        <f t="shared" si="46"/>
        <v>Medium</v>
      </c>
      <c r="K997" t="s">
        <v>22</v>
      </c>
      <c r="L997">
        <v>25</v>
      </c>
      <c r="M997">
        <v>59</v>
      </c>
      <c r="N997" t="str">
        <f t="shared" si="47"/>
        <v>Medium Cost</v>
      </c>
      <c r="O997">
        <v>14.07</v>
      </c>
      <c r="P997" t="s">
        <v>51</v>
      </c>
      <c r="Q997" t="s">
        <v>58</v>
      </c>
      <c r="R997" t="s">
        <v>35</v>
      </c>
      <c r="S997" t="s">
        <v>835</v>
      </c>
      <c r="T997" t="s">
        <v>27</v>
      </c>
      <c r="U997">
        <v>28</v>
      </c>
      <c r="V997">
        <v>1.9</v>
      </c>
      <c r="W997" t="s">
        <v>28</v>
      </c>
      <c r="X997" t="s">
        <v>68</v>
      </c>
    </row>
    <row r="998" spans="1:24" x14ac:dyDescent="0.3">
      <c r="A998" t="s">
        <v>2274</v>
      </c>
      <c r="B998" t="s">
        <v>71</v>
      </c>
      <c r="C998" t="s">
        <v>72</v>
      </c>
      <c r="D998" t="str">
        <f t="shared" si="45"/>
        <v>Afternoon</v>
      </c>
      <c r="E998">
        <f>HOUR(EV_Data[[#This Row],[Charging Start Time]])</f>
        <v>12</v>
      </c>
      <c r="F998" s="1">
        <v>44968.5</v>
      </c>
      <c r="G998" s="1">
        <v>44968.551388888889</v>
      </c>
      <c r="H998">
        <v>74</v>
      </c>
      <c r="I998">
        <v>31.76</v>
      </c>
      <c r="J998" t="str">
        <f t="shared" si="46"/>
        <v>Medium</v>
      </c>
      <c r="K998" t="s">
        <v>50</v>
      </c>
      <c r="L998">
        <v>7</v>
      </c>
      <c r="M998">
        <v>35</v>
      </c>
      <c r="N998" t="str">
        <f t="shared" si="47"/>
        <v>Medium Cost</v>
      </c>
      <c r="O998">
        <v>13.05</v>
      </c>
      <c r="P998" t="s">
        <v>23</v>
      </c>
      <c r="Q998" t="s">
        <v>48</v>
      </c>
      <c r="R998" t="s">
        <v>44</v>
      </c>
      <c r="S998" t="s">
        <v>695</v>
      </c>
      <c r="T998" t="s">
        <v>37</v>
      </c>
      <c r="U998">
        <v>84</v>
      </c>
      <c r="V998">
        <v>5</v>
      </c>
      <c r="W998" t="s">
        <v>38</v>
      </c>
      <c r="X998" t="s">
        <v>39</v>
      </c>
    </row>
    <row r="999" spans="1:24" x14ac:dyDescent="0.3">
      <c r="A999" t="s">
        <v>2275</v>
      </c>
      <c r="B999" t="s">
        <v>20</v>
      </c>
      <c r="C999" t="s">
        <v>21</v>
      </c>
      <c r="D999" t="str">
        <f t="shared" si="45"/>
        <v>Afternoon</v>
      </c>
      <c r="E999">
        <f>HOUR(EV_Data[[#This Row],[Charging Start Time]])</f>
        <v>13</v>
      </c>
      <c r="F999" s="1">
        <v>44968.541666666664</v>
      </c>
      <c r="G999" s="1">
        <v>44968.574305555558</v>
      </c>
      <c r="H999">
        <v>47</v>
      </c>
      <c r="I999">
        <v>36.6</v>
      </c>
      <c r="J999" t="str">
        <f t="shared" si="46"/>
        <v>Medium</v>
      </c>
      <c r="K999" t="s">
        <v>69</v>
      </c>
      <c r="L999">
        <v>29</v>
      </c>
      <c r="M999">
        <v>43</v>
      </c>
      <c r="N999" t="str">
        <f t="shared" si="47"/>
        <v>Medium Cost</v>
      </c>
      <c r="O999">
        <v>14.11</v>
      </c>
      <c r="P999" t="s">
        <v>43</v>
      </c>
      <c r="Q999" t="s">
        <v>58</v>
      </c>
      <c r="R999" t="s">
        <v>44</v>
      </c>
      <c r="S999" t="s">
        <v>836</v>
      </c>
      <c r="T999" t="s">
        <v>60</v>
      </c>
      <c r="U999">
        <v>16</v>
      </c>
      <c r="V999">
        <v>3.7</v>
      </c>
      <c r="W999" t="s">
        <v>47</v>
      </c>
      <c r="X999" t="s">
        <v>29</v>
      </c>
    </row>
    <row r="1000" spans="1:24" x14ac:dyDescent="0.3">
      <c r="A1000" t="s">
        <v>2276</v>
      </c>
      <c r="B1000" t="s">
        <v>30</v>
      </c>
      <c r="C1000" t="s">
        <v>102</v>
      </c>
      <c r="D1000" t="str">
        <f t="shared" si="45"/>
        <v>Afternoon</v>
      </c>
      <c r="E1000">
        <f>HOUR(EV_Data[[#This Row],[Charging Start Time]])</f>
        <v>14</v>
      </c>
      <c r="F1000" s="1">
        <v>44968.583333333336</v>
      </c>
      <c r="G1000" s="1">
        <v>44968.64166666667</v>
      </c>
      <c r="H1000">
        <v>84</v>
      </c>
      <c r="I1000">
        <v>6.16</v>
      </c>
      <c r="J1000" t="str">
        <f t="shared" si="46"/>
        <v>Low</v>
      </c>
      <c r="K1000" t="s">
        <v>42</v>
      </c>
      <c r="L1000">
        <v>17</v>
      </c>
      <c r="M1000">
        <v>38</v>
      </c>
      <c r="N1000" t="str">
        <f t="shared" si="47"/>
        <v>Low Cost</v>
      </c>
      <c r="O1000">
        <v>1.67</v>
      </c>
      <c r="P1000" t="s">
        <v>51</v>
      </c>
      <c r="Q1000" t="s">
        <v>34</v>
      </c>
      <c r="R1000" t="s">
        <v>35</v>
      </c>
      <c r="S1000" t="s">
        <v>257</v>
      </c>
      <c r="T1000" t="s">
        <v>27</v>
      </c>
      <c r="U1000">
        <v>42</v>
      </c>
      <c r="V1000">
        <v>1.7</v>
      </c>
      <c r="W1000" t="s">
        <v>38</v>
      </c>
      <c r="X1000" t="s">
        <v>39</v>
      </c>
    </row>
    <row r="1001" spans="1:24" x14ac:dyDescent="0.3">
      <c r="A1001" t="s">
        <v>2277</v>
      </c>
      <c r="B1001" t="s">
        <v>126</v>
      </c>
      <c r="C1001" t="s">
        <v>31</v>
      </c>
      <c r="D1001" t="str">
        <f t="shared" si="45"/>
        <v>Afternoon</v>
      </c>
      <c r="E1001">
        <f>HOUR(EV_Data[[#This Row],[Charging Start Time]])</f>
        <v>15</v>
      </c>
      <c r="F1001" s="1">
        <v>44968.625</v>
      </c>
      <c r="G1001" s="1">
        <v>44968.659722222219</v>
      </c>
      <c r="H1001">
        <v>50</v>
      </c>
      <c r="I1001">
        <v>17.79</v>
      </c>
      <c r="J1001" t="str">
        <f t="shared" si="46"/>
        <v>Low</v>
      </c>
      <c r="K1001" t="s">
        <v>32</v>
      </c>
      <c r="L1001">
        <v>30</v>
      </c>
      <c r="M1001">
        <v>61</v>
      </c>
      <c r="N1001" t="str">
        <f t="shared" si="47"/>
        <v>Low Cost</v>
      </c>
      <c r="O1001">
        <v>5.67</v>
      </c>
      <c r="P1001" t="s">
        <v>64</v>
      </c>
      <c r="Q1001" t="s">
        <v>24</v>
      </c>
      <c r="R1001" t="s">
        <v>35</v>
      </c>
      <c r="S1001" t="s">
        <v>837</v>
      </c>
      <c r="T1001" t="s">
        <v>27</v>
      </c>
      <c r="U1001">
        <v>30</v>
      </c>
      <c r="V1001">
        <v>1.9</v>
      </c>
      <c r="W1001" t="s">
        <v>47</v>
      </c>
      <c r="X1001" t="s">
        <v>29</v>
      </c>
    </row>
    <row r="1002" spans="1:24" x14ac:dyDescent="0.3">
      <c r="A1002" t="s">
        <v>2278</v>
      </c>
      <c r="B1002" t="s">
        <v>126</v>
      </c>
      <c r="C1002" t="s">
        <v>31</v>
      </c>
      <c r="D1002" t="str">
        <f t="shared" si="45"/>
        <v>Afternoon</v>
      </c>
      <c r="E1002">
        <f>HOUR(EV_Data[[#This Row],[Charging Start Time]])</f>
        <v>16</v>
      </c>
      <c r="F1002" s="1">
        <v>44968.666666666664</v>
      </c>
      <c r="G1002" s="1">
        <v>44968.707638888889</v>
      </c>
      <c r="H1002">
        <v>59</v>
      </c>
      <c r="I1002">
        <v>10.02</v>
      </c>
      <c r="J1002" t="str">
        <f t="shared" si="46"/>
        <v>Low</v>
      </c>
      <c r="K1002" t="s">
        <v>22</v>
      </c>
      <c r="L1002">
        <v>80</v>
      </c>
      <c r="M1002">
        <v>100</v>
      </c>
      <c r="N1002" t="str">
        <f t="shared" si="47"/>
        <v>Low Cost</v>
      </c>
      <c r="O1002">
        <v>2.59</v>
      </c>
      <c r="P1002" t="s">
        <v>23</v>
      </c>
      <c r="Q1002" t="s">
        <v>34</v>
      </c>
      <c r="R1002" t="s">
        <v>25</v>
      </c>
      <c r="S1002" t="s">
        <v>838</v>
      </c>
      <c r="T1002" t="s">
        <v>27</v>
      </c>
      <c r="U1002">
        <v>53</v>
      </c>
      <c r="V1002">
        <v>4.7</v>
      </c>
      <c r="W1002" t="s">
        <v>28</v>
      </c>
      <c r="X1002" t="s">
        <v>68</v>
      </c>
    </row>
    <row r="1003" spans="1:24" x14ac:dyDescent="0.3">
      <c r="A1003" t="s">
        <v>2279</v>
      </c>
      <c r="B1003" t="s">
        <v>71</v>
      </c>
      <c r="C1003" t="s">
        <v>72</v>
      </c>
      <c r="D1003" t="str">
        <f t="shared" si="45"/>
        <v>Evening</v>
      </c>
      <c r="E1003">
        <f>HOUR(EV_Data[[#This Row],[Charging Start Time]])</f>
        <v>17</v>
      </c>
      <c r="F1003" s="1">
        <v>44968.708333333336</v>
      </c>
      <c r="G1003" s="1">
        <v>44968.790277777778</v>
      </c>
      <c r="H1003">
        <v>118</v>
      </c>
      <c r="I1003">
        <v>22.29</v>
      </c>
      <c r="J1003" t="str">
        <f t="shared" si="46"/>
        <v>Medium</v>
      </c>
      <c r="K1003" t="s">
        <v>42</v>
      </c>
      <c r="L1003">
        <v>14</v>
      </c>
      <c r="M1003">
        <v>35</v>
      </c>
      <c r="N1003" t="str">
        <f t="shared" si="47"/>
        <v>Medium Cost</v>
      </c>
      <c r="O1003">
        <v>11.02</v>
      </c>
      <c r="P1003" t="s">
        <v>33</v>
      </c>
      <c r="Q1003" t="s">
        <v>34</v>
      </c>
      <c r="R1003" t="s">
        <v>35</v>
      </c>
      <c r="S1003" t="s">
        <v>839</v>
      </c>
      <c r="T1003" t="s">
        <v>37</v>
      </c>
      <c r="U1003">
        <v>76</v>
      </c>
      <c r="V1003">
        <v>4.8</v>
      </c>
      <c r="W1003" t="s">
        <v>38</v>
      </c>
      <c r="X1003" t="s">
        <v>39</v>
      </c>
    </row>
    <row r="1004" spans="1:24" x14ac:dyDescent="0.3">
      <c r="A1004" t="s">
        <v>2280</v>
      </c>
      <c r="B1004" t="s">
        <v>126</v>
      </c>
      <c r="C1004" t="s">
        <v>31</v>
      </c>
      <c r="D1004" t="str">
        <f t="shared" si="45"/>
        <v>Evening</v>
      </c>
      <c r="E1004">
        <f>HOUR(EV_Data[[#This Row],[Charging Start Time]])</f>
        <v>18</v>
      </c>
      <c r="F1004" s="1">
        <v>44968.75</v>
      </c>
      <c r="G1004" s="1">
        <v>44968.784722222219</v>
      </c>
      <c r="H1004">
        <v>50</v>
      </c>
      <c r="I1004">
        <v>33.01</v>
      </c>
      <c r="J1004" t="str">
        <f t="shared" si="46"/>
        <v>Medium</v>
      </c>
      <c r="K1004" t="s">
        <v>22</v>
      </c>
      <c r="L1004">
        <v>47</v>
      </c>
      <c r="M1004">
        <v>61</v>
      </c>
      <c r="N1004" t="str">
        <f t="shared" si="47"/>
        <v>Medium Cost</v>
      </c>
      <c r="O1004">
        <v>10.77</v>
      </c>
      <c r="P1004" t="s">
        <v>64</v>
      </c>
      <c r="Q1004" t="s">
        <v>48</v>
      </c>
      <c r="R1004" t="s">
        <v>56</v>
      </c>
      <c r="S1004" t="s">
        <v>840</v>
      </c>
      <c r="T1004" t="s">
        <v>46</v>
      </c>
      <c r="U1004">
        <v>34</v>
      </c>
      <c r="V1004">
        <v>4.3</v>
      </c>
      <c r="W1004" t="s">
        <v>38</v>
      </c>
      <c r="X1004" t="s">
        <v>39</v>
      </c>
    </row>
    <row r="1005" spans="1:24" x14ac:dyDescent="0.3">
      <c r="A1005" t="s">
        <v>2281</v>
      </c>
      <c r="B1005" t="s">
        <v>126</v>
      </c>
      <c r="C1005" t="s">
        <v>31</v>
      </c>
      <c r="D1005" t="str">
        <f t="shared" si="45"/>
        <v>Evening</v>
      </c>
      <c r="E1005">
        <f>HOUR(EV_Data[[#This Row],[Charging Start Time]])</f>
        <v>19</v>
      </c>
      <c r="F1005" s="1">
        <v>44968.791666666664</v>
      </c>
      <c r="G1005" s="1">
        <v>44968.865972222222</v>
      </c>
      <c r="H1005">
        <v>107</v>
      </c>
      <c r="I1005">
        <v>12.53</v>
      </c>
      <c r="J1005" t="str">
        <f t="shared" si="46"/>
        <v>Low</v>
      </c>
      <c r="K1005" t="s">
        <v>55</v>
      </c>
      <c r="L1005">
        <v>22</v>
      </c>
      <c r="M1005">
        <v>52</v>
      </c>
      <c r="N1005" t="str">
        <f t="shared" si="47"/>
        <v>Low Cost</v>
      </c>
      <c r="O1005">
        <v>4.5199999999999996</v>
      </c>
      <c r="P1005" t="s">
        <v>51</v>
      </c>
      <c r="Q1005" t="s">
        <v>58</v>
      </c>
      <c r="R1005" t="s">
        <v>25</v>
      </c>
      <c r="S1005" t="s">
        <v>841</v>
      </c>
      <c r="T1005" t="s">
        <v>46</v>
      </c>
      <c r="U1005">
        <v>88</v>
      </c>
      <c r="V1005">
        <v>1.2</v>
      </c>
      <c r="W1005" t="s">
        <v>38</v>
      </c>
      <c r="X1005" t="s">
        <v>62</v>
      </c>
    </row>
    <row r="1006" spans="1:24" x14ac:dyDescent="0.3">
      <c r="A1006" t="s">
        <v>2282</v>
      </c>
      <c r="B1006" t="s">
        <v>20</v>
      </c>
      <c r="C1006" t="s">
        <v>21</v>
      </c>
      <c r="D1006" t="str">
        <f t="shared" si="45"/>
        <v>Evening</v>
      </c>
      <c r="E1006">
        <f>HOUR(EV_Data[[#This Row],[Charging Start Time]])</f>
        <v>20</v>
      </c>
      <c r="F1006" s="1">
        <v>44968.833333333336</v>
      </c>
      <c r="G1006" s="1">
        <v>44968.850694444453</v>
      </c>
      <c r="H1006">
        <v>25</v>
      </c>
      <c r="I1006">
        <v>32.08</v>
      </c>
      <c r="J1006" t="str">
        <f t="shared" si="46"/>
        <v>Medium</v>
      </c>
      <c r="K1006" t="s">
        <v>32</v>
      </c>
      <c r="L1006">
        <v>18</v>
      </c>
      <c r="M1006">
        <v>38</v>
      </c>
      <c r="N1006" t="str">
        <f t="shared" si="47"/>
        <v>Low Cost</v>
      </c>
      <c r="O1006">
        <v>7.68</v>
      </c>
      <c r="P1006" t="s">
        <v>23</v>
      </c>
      <c r="Q1006" t="s">
        <v>58</v>
      </c>
      <c r="R1006" t="s">
        <v>44</v>
      </c>
      <c r="S1006" t="s">
        <v>614</v>
      </c>
      <c r="T1006" t="s">
        <v>60</v>
      </c>
      <c r="U1006">
        <v>26</v>
      </c>
      <c r="V1006">
        <v>4.5999999999999996</v>
      </c>
      <c r="W1006" t="s">
        <v>47</v>
      </c>
      <c r="X1006" t="s">
        <v>29</v>
      </c>
    </row>
    <row r="1007" spans="1:24" x14ac:dyDescent="0.3">
      <c r="A1007" t="s">
        <v>2283</v>
      </c>
      <c r="B1007" t="s">
        <v>30</v>
      </c>
      <c r="C1007" t="s">
        <v>102</v>
      </c>
      <c r="D1007" t="str">
        <f t="shared" si="45"/>
        <v>Evening</v>
      </c>
      <c r="E1007">
        <f>HOUR(EV_Data[[#This Row],[Charging Start Time]])</f>
        <v>21</v>
      </c>
      <c r="F1007" s="1">
        <v>44968.875</v>
      </c>
      <c r="G1007" s="1">
        <v>44968.90347222222</v>
      </c>
      <c r="H1007">
        <v>41</v>
      </c>
      <c r="I1007">
        <v>22.56</v>
      </c>
      <c r="J1007" t="str">
        <f t="shared" si="46"/>
        <v>Medium</v>
      </c>
      <c r="K1007" t="s">
        <v>42</v>
      </c>
      <c r="L1007">
        <v>54</v>
      </c>
      <c r="M1007">
        <v>84</v>
      </c>
      <c r="N1007" t="str">
        <f t="shared" si="47"/>
        <v>Low Cost</v>
      </c>
      <c r="O1007">
        <v>7.7</v>
      </c>
      <c r="P1007" t="s">
        <v>64</v>
      </c>
      <c r="Q1007" t="s">
        <v>24</v>
      </c>
      <c r="R1007" t="s">
        <v>25</v>
      </c>
      <c r="S1007" t="s">
        <v>842</v>
      </c>
      <c r="T1007" t="s">
        <v>27</v>
      </c>
      <c r="U1007">
        <v>78</v>
      </c>
      <c r="V1007">
        <v>1.3</v>
      </c>
      <c r="W1007" t="s">
        <v>47</v>
      </c>
      <c r="X1007" t="s">
        <v>29</v>
      </c>
    </row>
    <row r="1008" spans="1:24" x14ac:dyDescent="0.3">
      <c r="A1008" t="s">
        <v>2284</v>
      </c>
      <c r="B1008" t="s">
        <v>30</v>
      </c>
      <c r="C1008" t="s">
        <v>102</v>
      </c>
      <c r="D1008" t="str">
        <f t="shared" si="45"/>
        <v>Evening</v>
      </c>
      <c r="E1008">
        <f>HOUR(EV_Data[[#This Row],[Charging Start Time]])</f>
        <v>22</v>
      </c>
      <c r="F1008" s="1">
        <v>44968.916666666664</v>
      </c>
      <c r="G1008" s="1">
        <v>44968.999305555553</v>
      </c>
      <c r="H1008">
        <v>119</v>
      </c>
      <c r="I1008">
        <v>10.34</v>
      </c>
      <c r="J1008" t="str">
        <f t="shared" si="46"/>
        <v>Low</v>
      </c>
      <c r="K1008" t="s">
        <v>55</v>
      </c>
      <c r="L1008">
        <v>49</v>
      </c>
      <c r="M1008">
        <v>77</v>
      </c>
      <c r="N1008" t="str">
        <f t="shared" si="47"/>
        <v>Low Cost</v>
      </c>
      <c r="O1008">
        <v>2.61</v>
      </c>
      <c r="P1008" t="s">
        <v>43</v>
      </c>
      <c r="Q1008" t="s">
        <v>58</v>
      </c>
      <c r="R1008" t="s">
        <v>25</v>
      </c>
      <c r="S1008" t="s">
        <v>350</v>
      </c>
      <c r="T1008" t="s">
        <v>60</v>
      </c>
      <c r="U1008">
        <v>19</v>
      </c>
      <c r="V1008">
        <v>3.1</v>
      </c>
      <c r="W1008" t="s">
        <v>28</v>
      </c>
      <c r="X1008" t="s">
        <v>68</v>
      </c>
    </row>
    <row r="1009" spans="1:24" x14ac:dyDescent="0.3">
      <c r="A1009" t="s">
        <v>2285</v>
      </c>
      <c r="B1009" t="s">
        <v>71</v>
      </c>
      <c r="C1009" t="s">
        <v>72</v>
      </c>
      <c r="D1009" t="str">
        <f t="shared" si="45"/>
        <v>Evening</v>
      </c>
      <c r="E1009">
        <f>HOUR(EV_Data[[#This Row],[Charging Start Time]])</f>
        <v>23</v>
      </c>
      <c r="F1009" s="1">
        <v>44968.958333333336</v>
      </c>
      <c r="G1009" s="1">
        <v>44969.021527777782</v>
      </c>
      <c r="H1009">
        <v>91</v>
      </c>
      <c r="I1009">
        <v>44.7</v>
      </c>
      <c r="J1009" t="str">
        <f t="shared" si="46"/>
        <v>Medium</v>
      </c>
      <c r="K1009" t="s">
        <v>42</v>
      </c>
      <c r="L1009">
        <v>54</v>
      </c>
      <c r="M1009">
        <v>94</v>
      </c>
      <c r="N1009" t="str">
        <f t="shared" si="47"/>
        <v>High Cost</v>
      </c>
      <c r="O1009">
        <v>20.02</v>
      </c>
      <c r="P1009" t="s">
        <v>51</v>
      </c>
      <c r="Q1009" t="s">
        <v>58</v>
      </c>
      <c r="R1009" t="s">
        <v>35</v>
      </c>
      <c r="S1009" t="s">
        <v>843</v>
      </c>
      <c r="T1009" t="s">
        <v>37</v>
      </c>
      <c r="U1009">
        <v>59</v>
      </c>
      <c r="V1009">
        <v>2.7</v>
      </c>
      <c r="W1009" t="s">
        <v>38</v>
      </c>
      <c r="X1009" t="s">
        <v>39</v>
      </c>
    </row>
    <row r="1010" spans="1:24" x14ac:dyDescent="0.3">
      <c r="A1010" t="s">
        <v>2286</v>
      </c>
      <c r="B1010" t="s">
        <v>126</v>
      </c>
      <c r="C1010" t="s">
        <v>31</v>
      </c>
      <c r="D1010" t="str">
        <f t="shared" si="45"/>
        <v>Morning</v>
      </c>
      <c r="E1010">
        <f>HOUR(EV_Data[[#This Row],[Charging Start Time]])</f>
        <v>0</v>
      </c>
      <c r="F1010" s="1">
        <v>44969</v>
      </c>
      <c r="G1010" s="1">
        <v>44969.051388888889</v>
      </c>
      <c r="H1010">
        <v>74</v>
      </c>
      <c r="I1010">
        <v>29.06</v>
      </c>
      <c r="J1010" t="str">
        <f t="shared" si="46"/>
        <v>Medium</v>
      </c>
      <c r="K1010" t="s">
        <v>42</v>
      </c>
      <c r="L1010">
        <v>8</v>
      </c>
      <c r="M1010">
        <v>47</v>
      </c>
      <c r="N1010" t="str">
        <f t="shared" si="47"/>
        <v>Medium Cost</v>
      </c>
      <c r="O1010">
        <v>8.73</v>
      </c>
      <c r="P1010" t="s">
        <v>23</v>
      </c>
      <c r="Q1010" t="s">
        <v>34</v>
      </c>
      <c r="R1010" t="s">
        <v>35</v>
      </c>
      <c r="S1010" t="s">
        <v>153</v>
      </c>
      <c r="T1010" t="s">
        <v>60</v>
      </c>
      <c r="U1010">
        <v>56</v>
      </c>
      <c r="V1010">
        <v>3.9</v>
      </c>
      <c r="W1010" t="s">
        <v>28</v>
      </c>
      <c r="X1010" t="s">
        <v>68</v>
      </c>
    </row>
    <row r="1011" spans="1:24" x14ac:dyDescent="0.3">
      <c r="A1011" t="s">
        <v>2287</v>
      </c>
      <c r="B1011" t="s">
        <v>40</v>
      </c>
      <c r="C1011" t="s">
        <v>41</v>
      </c>
      <c r="D1011" t="str">
        <f t="shared" si="45"/>
        <v>Morning</v>
      </c>
      <c r="E1011">
        <f>HOUR(EV_Data[[#This Row],[Charging Start Time]])</f>
        <v>1</v>
      </c>
      <c r="F1011" s="1">
        <v>44969.041666666664</v>
      </c>
      <c r="G1011" s="1">
        <v>44969.047222222223</v>
      </c>
      <c r="H1011">
        <v>8</v>
      </c>
      <c r="I1011">
        <v>43.14</v>
      </c>
      <c r="J1011" t="str">
        <f t="shared" si="46"/>
        <v>Medium</v>
      </c>
      <c r="K1011" t="s">
        <v>69</v>
      </c>
      <c r="L1011">
        <v>72</v>
      </c>
      <c r="M1011">
        <v>91</v>
      </c>
      <c r="N1011" t="str">
        <f t="shared" si="47"/>
        <v>Medium Cost</v>
      </c>
      <c r="O1011">
        <v>16.440000000000001</v>
      </c>
      <c r="P1011" t="s">
        <v>23</v>
      </c>
      <c r="Q1011" t="s">
        <v>58</v>
      </c>
      <c r="R1011" t="s">
        <v>35</v>
      </c>
      <c r="S1011" t="s">
        <v>844</v>
      </c>
      <c r="T1011" t="s">
        <v>60</v>
      </c>
      <c r="U1011">
        <v>10</v>
      </c>
      <c r="V1011">
        <v>1.1000000000000001</v>
      </c>
      <c r="W1011" t="s">
        <v>28</v>
      </c>
      <c r="X1011" t="s">
        <v>68</v>
      </c>
    </row>
    <row r="1012" spans="1:24" x14ac:dyDescent="0.3">
      <c r="A1012" t="s">
        <v>2288</v>
      </c>
      <c r="B1012" t="s">
        <v>77</v>
      </c>
      <c r="C1012" t="s">
        <v>78</v>
      </c>
      <c r="D1012" t="str">
        <f t="shared" si="45"/>
        <v>Morning</v>
      </c>
      <c r="E1012">
        <f>HOUR(EV_Data[[#This Row],[Charging Start Time]])</f>
        <v>2</v>
      </c>
      <c r="F1012" s="1">
        <v>44969.083333333336</v>
      </c>
      <c r="G1012" s="1">
        <v>44969.132638888892</v>
      </c>
      <c r="H1012">
        <v>71</v>
      </c>
      <c r="I1012">
        <v>8.15</v>
      </c>
      <c r="J1012" t="str">
        <f t="shared" si="46"/>
        <v>Low</v>
      </c>
      <c r="K1012" t="s">
        <v>22</v>
      </c>
      <c r="L1012">
        <v>24</v>
      </c>
      <c r="M1012">
        <v>40</v>
      </c>
      <c r="N1012" t="str">
        <f t="shared" si="47"/>
        <v>Low Cost</v>
      </c>
      <c r="O1012">
        <v>3.54</v>
      </c>
      <c r="P1012" t="s">
        <v>51</v>
      </c>
      <c r="Q1012" t="s">
        <v>34</v>
      </c>
      <c r="R1012" t="s">
        <v>44</v>
      </c>
      <c r="S1012" t="s">
        <v>845</v>
      </c>
      <c r="T1012" t="s">
        <v>60</v>
      </c>
      <c r="U1012">
        <v>48</v>
      </c>
      <c r="V1012">
        <v>3.6</v>
      </c>
      <c r="W1012" t="s">
        <v>28</v>
      </c>
      <c r="X1012" t="s">
        <v>68</v>
      </c>
    </row>
    <row r="1013" spans="1:24" x14ac:dyDescent="0.3">
      <c r="A1013" t="s">
        <v>2289</v>
      </c>
      <c r="B1013" t="s">
        <v>53</v>
      </c>
      <c r="C1013" t="s">
        <v>54</v>
      </c>
      <c r="D1013" t="str">
        <f t="shared" si="45"/>
        <v>Morning</v>
      </c>
      <c r="E1013">
        <f>HOUR(EV_Data[[#This Row],[Charging Start Time]])</f>
        <v>3</v>
      </c>
      <c r="F1013" s="1">
        <v>44969.125</v>
      </c>
      <c r="G1013" s="1">
        <v>44969.175694444442</v>
      </c>
      <c r="H1013">
        <v>73</v>
      </c>
      <c r="I1013">
        <v>31.96</v>
      </c>
      <c r="J1013" t="str">
        <f t="shared" si="46"/>
        <v>Medium</v>
      </c>
      <c r="K1013" t="s">
        <v>22</v>
      </c>
      <c r="L1013">
        <v>50</v>
      </c>
      <c r="M1013">
        <v>73</v>
      </c>
      <c r="N1013" t="str">
        <f t="shared" si="47"/>
        <v>Medium Cost</v>
      </c>
      <c r="O1013">
        <v>8.0299999999999994</v>
      </c>
      <c r="P1013" t="s">
        <v>51</v>
      </c>
      <c r="Q1013" t="s">
        <v>48</v>
      </c>
      <c r="R1013" t="s">
        <v>44</v>
      </c>
      <c r="S1013" t="s">
        <v>846</v>
      </c>
      <c r="T1013" t="s">
        <v>46</v>
      </c>
      <c r="U1013">
        <v>31</v>
      </c>
      <c r="V1013">
        <v>3.6</v>
      </c>
      <c r="W1013" t="s">
        <v>47</v>
      </c>
      <c r="X1013" t="s">
        <v>29</v>
      </c>
    </row>
    <row r="1014" spans="1:24" x14ac:dyDescent="0.3">
      <c r="A1014" t="s">
        <v>2290</v>
      </c>
      <c r="B1014" t="s">
        <v>20</v>
      </c>
      <c r="C1014" t="s">
        <v>21</v>
      </c>
      <c r="D1014" t="str">
        <f t="shared" si="45"/>
        <v>Morning</v>
      </c>
      <c r="E1014">
        <f>HOUR(EV_Data[[#This Row],[Charging Start Time]])</f>
        <v>4</v>
      </c>
      <c r="F1014" s="1">
        <v>44969.166666666664</v>
      </c>
      <c r="G1014" s="1">
        <v>44969.193055555559</v>
      </c>
      <c r="H1014">
        <v>38</v>
      </c>
      <c r="I1014">
        <v>47.85</v>
      </c>
      <c r="J1014" t="str">
        <f t="shared" si="46"/>
        <v>Medium</v>
      </c>
      <c r="K1014" t="s">
        <v>55</v>
      </c>
      <c r="L1014">
        <v>66</v>
      </c>
      <c r="M1014">
        <v>97</v>
      </c>
      <c r="N1014" t="str">
        <f t="shared" si="47"/>
        <v>High Cost</v>
      </c>
      <c r="O1014">
        <v>22.84</v>
      </c>
      <c r="P1014" t="s">
        <v>23</v>
      </c>
      <c r="Q1014" t="s">
        <v>58</v>
      </c>
      <c r="R1014" t="s">
        <v>25</v>
      </c>
      <c r="S1014" t="s">
        <v>847</v>
      </c>
      <c r="T1014" t="s">
        <v>27</v>
      </c>
      <c r="U1014">
        <v>4</v>
      </c>
      <c r="V1014">
        <v>4.4000000000000004</v>
      </c>
      <c r="W1014" t="s">
        <v>47</v>
      </c>
      <c r="X1014" t="s">
        <v>29</v>
      </c>
    </row>
    <row r="1015" spans="1:24" x14ac:dyDescent="0.3">
      <c r="A1015" t="s">
        <v>2291</v>
      </c>
      <c r="B1015" t="s">
        <v>77</v>
      </c>
      <c r="C1015" t="s">
        <v>78</v>
      </c>
      <c r="D1015" t="str">
        <f t="shared" si="45"/>
        <v>Morning</v>
      </c>
      <c r="E1015">
        <f>HOUR(EV_Data[[#This Row],[Charging Start Time]])</f>
        <v>5</v>
      </c>
      <c r="F1015" s="1">
        <v>44969.208333333336</v>
      </c>
      <c r="G1015" s="1">
        <v>44969.232638888891</v>
      </c>
      <c r="H1015">
        <v>35</v>
      </c>
      <c r="I1015">
        <v>29.59</v>
      </c>
      <c r="J1015" t="str">
        <f t="shared" si="46"/>
        <v>Medium</v>
      </c>
      <c r="K1015" t="s">
        <v>50</v>
      </c>
      <c r="L1015">
        <v>17</v>
      </c>
      <c r="M1015">
        <v>53</v>
      </c>
      <c r="N1015" t="str">
        <f t="shared" si="47"/>
        <v>Medium Cost</v>
      </c>
      <c r="O1015">
        <v>13.86</v>
      </c>
      <c r="P1015" t="s">
        <v>51</v>
      </c>
      <c r="Q1015" t="s">
        <v>34</v>
      </c>
      <c r="R1015" t="s">
        <v>25</v>
      </c>
      <c r="S1015" t="s">
        <v>848</v>
      </c>
      <c r="T1015" t="s">
        <v>27</v>
      </c>
      <c r="U1015">
        <v>71</v>
      </c>
      <c r="V1015">
        <v>3.5</v>
      </c>
      <c r="W1015" t="s">
        <v>47</v>
      </c>
      <c r="X1015" t="s">
        <v>29</v>
      </c>
    </row>
    <row r="1016" spans="1:24" x14ac:dyDescent="0.3">
      <c r="A1016" t="s">
        <v>2292</v>
      </c>
      <c r="B1016" t="s">
        <v>71</v>
      </c>
      <c r="C1016" t="s">
        <v>72</v>
      </c>
      <c r="D1016" t="str">
        <f t="shared" si="45"/>
        <v>Morning</v>
      </c>
      <c r="E1016">
        <f>HOUR(EV_Data[[#This Row],[Charging Start Time]])</f>
        <v>6</v>
      </c>
      <c r="F1016" s="1">
        <v>44969.25</v>
      </c>
      <c r="G1016" s="1">
        <v>44969.294444444437</v>
      </c>
      <c r="H1016">
        <v>64</v>
      </c>
      <c r="I1016">
        <v>9.57</v>
      </c>
      <c r="J1016" t="str">
        <f t="shared" si="46"/>
        <v>Low</v>
      </c>
      <c r="K1016" t="s">
        <v>22</v>
      </c>
      <c r="L1016">
        <v>8</v>
      </c>
      <c r="M1016">
        <v>20</v>
      </c>
      <c r="N1016" t="str">
        <f t="shared" si="47"/>
        <v>Low Cost</v>
      </c>
      <c r="O1016">
        <v>3.1</v>
      </c>
      <c r="P1016" t="s">
        <v>43</v>
      </c>
      <c r="Q1016" t="s">
        <v>34</v>
      </c>
      <c r="R1016" t="s">
        <v>25</v>
      </c>
      <c r="S1016" t="s">
        <v>849</v>
      </c>
      <c r="T1016" t="s">
        <v>37</v>
      </c>
      <c r="U1016">
        <v>33</v>
      </c>
      <c r="V1016">
        <v>4.8</v>
      </c>
      <c r="W1016" t="s">
        <v>47</v>
      </c>
      <c r="X1016" t="s">
        <v>29</v>
      </c>
    </row>
    <row r="1017" spans="1:24" x14ac:dyDescent="0.3">
      <c r="A1017" t="s">
        <v>2293</v>
      </c>
      <c r="B1017" t="s">
        <v>71</v>
      </c>
      <c r="C1017" t="s">
        <v>72</v>
      </c>
      <c r="D1017" t="str">
        <f t="shared" si="45"/>
        <v>Morning</v>
      </c>
      <c r="E1017">
        <f>HOUR(EV_Data[[#This Row],[Charging Start Time]])</f>
        <v>7</v>
      </c>
      <c r="F1017" s="1">
        <v>44969.291666666664</v>
      </c>
      <c r="G1017" s="1">
        <v>44969.37222222222</v>
      </c>
      <c r="H1017">
        <v>116</v>
      </c>
      <c r="I1017">
        <v>31.15</v>
      </c>
      <c r="J1017" t="str">
        <f t="shared" si="46"/>
        <v>Medium</v>
      </c>
      <c r="K1017" t="s">
        <v>42</v>
      </c>
      <c r="L1017">
        <v>58</v>
      </c>
      <c r="M1017">
        <v>73</v>
      </c>
      <c r="N1017" t="str">
        <f t="shared" si="47"/>
        <v>Medium Cost</v>
      </c>
      <c r="O1017">
        <v>13.77</v>
      </c>
      <c r="P1017" t="s">
        <v>23</v>
      </c>
      <c r="Q1017" t="s">
        <v>48</v>
      </c>
      <c r="R1017" t="s">
        <v>35</v>
      </c>
      <c r="S1017" t="s">
        <v>850</v>
      </c>
      <c r="T1017" t="s">
        <v>46</v>
      </c>
      <c r="U1017">
        <v>63</v>
      </c>
      <c r="V1017">
        <v>1.5</v>
      </c>
      <c r="W1017" t="s">
        <v>47</v>
      </c>
      <c r="X1017" t="s">
        <v>29</v>
      </c>
    </row>
    <row r="1018" spans="1:24" x14ac:dyDescent="0.3">
      <c r="A1018" t="s">
        <v>2294</v>
      </c>
      <c r="B1018" t="s">
        <v>40</v>
      </c>
      <c r="C1018" t="s">
        <v>41</v>
      </c>
      <c r="D1018" t="str">
        <f t="shared" si="45"/>
        <v>Morning</v>
      </c>
      <c r="E1018">
        <f>HOUR(EV_Data[[#This Row],[Charging Start Time]])</f>
        <v>8</v>
      </c>
      <c r="F1018" s="1">
        <v>44969.333333333336</v>
      </c>
      <c r="G1018" s="1">
        <v>44969.377083333333</v>
      </c>
      <c r="H1018">
        <v>63</v>
      </c>
      <c r="I1018">
        <v>35.93</v>
      </c>
      <c r="J1018" t="str">
        <f t="shared" si="46"/>
        <v>Medium</v>
      </c>
      <c r="K1018" t="s">
        <v>22</v>
      </c>
      <c r="L1018">
        <v>49</v>
      </c>
      <c r="M1018">
        <v>64</v>
      </c>
      <c r="N1018" t="str">
        <f t="shared" si="47"/>
        <v>Medium Cost</v>
      </c>
      <c r="O1018">
        <v>11.01</v>
      </c>
      <c r="P1018" t="s">
        <v>51</v>
      </c>
      <c r="Q1018" t="s">
        <v>48</v>
      </c>
      <c r="R1018" t="s">
        <v>56</v>
      </c>
      <c r="S1018" t="s">
        <v>851</v>
      </c>
      <c r="T1018" t="s">
        <v>60</v>
      </c>
      <c r="U1018">
        <v>46</v>
      </c>
      <c r="V1018">
        <v>3.8</v>
      </c>
      <c r="W1018" t="s">
        <v>28</v>
      </c>
      <c r="X1018" t="s">
        <v>68</v>
      </c>
    </row>
    <row r="1019" spans="1:24" x14ac:dyDescent="0.3">
      <c r="A1019" t="s">
        <v>2295</v>
      </c>
      <c r="B1019" t="s">
        <v>30</v>
      </c>
      <c r="C1019" t="s">
        <v>102</v>
      </c>
      <c r="D1019" t="str">
        <f t="shared" si="45"/>
        <v>Morning</v>
      </c>
      <c r="E1019">
        <f>HOUR(EV_Data[[#This Row],[Charging Start Time]])</f>
        <v>9</v>
      </c>
      <c r="F1019" s="1">
        <v>44969.375</v>
      </c>
      <c r="G1019" s="1">
        <v>44969.426388888889</v>
      </c>
      <c r="H1019">
        <v>74</v>
      </c>
      <c r="I1019">
        <v>10.68</v>
      </c>
      <c r="J1019" t="str">
        <f t="shared" si="46"/>
        <v>Low</v>
      </c>
      <c r="K1019" t="s">
        <v>55</v>
      </c>
      <c r="L1019">
        <v>22</v>
      </c>
      <c r="M1019">
        <v>45</v>
      </c>
      <c r="N1019" t="str">
        <f t="shared" si="47"/>
        <v>Low Cost</v>
      </c>
      <c r="O1019">
        <v>2.94</v>
      </c>
      <c r="P1019" t="s">
        <v>51</v>
      </c>
      <c r="Q1019" t="s">
        <v>48</v>
      </c>
      <c r="R1019" t="s">
        <v>35</v>
      </c>
      <c r="S1019" t="s">
        <v>852</v>
      </c>
      <c r="T1019" t="s">
        <v>60</v>
      </c>
      <c r="U1019">
        <v>98</v>
      </c>
      <c r="V1019">
        <v>3</v>
      </c>
      <c r="W1019" t="s">
        <v>38</v>
      </c>
      <c r="X1019" t="s">
        <v>62</v>
      </c>
    </row>
    <row r="1020" spans="1:24" x14ac:dyDescent="0.3">
      <c r="A1020" t="s">
        <v>2296</v>
      </c>
      <c r="B1020" t="s">
        <v>92</v>
      </c>
      <c r="C1020" t="s">
        <v>93</v>
      </c>
      <c r="D1020" t="str">
        <f t="shared" si="45"/>
        <v>Morning</v>
      </c>
      <c r="E1020">
        <f>HOUR(EV_Data[[#This Row],[Charging Start Time]])</f>
        <v>10</v>
      </c>
      <c r="F1020" s="1">
        <v>44969.416666666664</v>
      </c>
      <c r="G1020" s="1">
        <v>44969.443749999999</v>
      </c>
      <c r="H1020">
        <v>39</v>
      </c>
      <c r="I1020">
        <v>46.46</v>
      </c>
      <c r="J1020" t="str">
        <f t="shared" si="46"/>
        <v>Medium</v>
      </c>
      <c r="K1020" t="s">
        <v>55</v>
      </c>
      <c r="L1020">
        <v>41</v>
      </c>
      <c r="M1020">
        <v>68</v>
      </c>
      <c r="N1020" t="str">
        <f t="shared" si="47"/>
        <v>High Cost</v>
      </c>
      <c r="O1020">
        <v>17.43</v>
      </c>
      <c r="P1020" t="s">
        <v>23</v>
      </c>
      <c r="Q1020" t="s">
        <v>58</v>
      </c>
      <c r="R1020" t="s">
        <v>56</v>
      </c>
      <c r="S1020" t="s">
        <v>166</v>
      </c>
      <c r="T1020" t="s">
        <v>27</v>
      </c>
      <c r="U1020">
        <v>34</v>
      </c>
      <c r="V1020">
        <v>1.1000000000000001</v>
      </c>
      <c r="W1020" t="s">
        <v>38</v>
      </c>
    </row>
    <row r="1021" spans="1:24" x14ac:dyDescent="0.3">
      <c r="A1021" t="s">
        <v>2297</v>
      </c>
      <c r="B1021" t="s">
        <v>20</v>
      </c>
      <c r="C1021" t="s">
        <v>21</v>
      </c>
      <c r="D1021" t="str">
        <f t="shared" si="45"/>
        <v>Morning</v>
      </c>
      <c r="E1021">
        <f>HOUR(EV_Data[[#This Row],[Charging Start Time]])</f>
        <v>11</v>
      </c>
      <c r="F1021" s="1">
        <v>44969.458333333336</v>
      </c>
      <c r="G1021" s="1">
        <v>44969.481944444437</v>
      </c>
      <c r="H1021">
        <v>34</v>
      </c>
      <c r="I1021">
        <v>49.14</v>
      </c>
      <c r="J1021" t="str">
        <f t="shared" si="46"/>
        <v>Medium</v>
      </c>
      <c r="K1021" t="s">
        <v>42</v>
      </c>
      <c r="L1021">
        <v>10</v>
      </c>
      <c r="M1021">
        <v>32</v>
      </c>
      <c r="N1021" t="str">
        <f t="shared" si="47"/>
        <v>Medium Cost</v>
      </c>
      <c r="O1021">
        <v>12.41</v>
      </c>
      <c r="P1021" t="s">
        <v>33</v>
      </c>
      <c r="Q1021" t="s">
        <v>34</v>
      </c>
      <c r="R1021" t="s">
        <v>44</v>
      </c>
      <c r="S1021" t="s">
        <v>853</v>
      </c>
      <c r="T1021" t="s">
        <v>60</v>
      </c>
      <c r="U1021">
        <v>62</v>
      </c>
      <c r="V1021">
        <v>2.9</v>
      </c>
      <c r="W1021" t="s">
        <v>38</v>
      </c>
      <c r="X1021" t="s">
        <v>62</v>
      </c>
    </row>
    <row r="1022" spans="1:24" x14ac:dyDescent="0.3">
      <c r="A1022" t="s">
        <v>2298</v>
      </c>
      <c r="B1022" t="s">
        <v>40</v>
      </c>
      <c r="C1022" t="s">
        <v>41</v>
      </c>
      <c r="D1022" t="str">
        <f t="shared" si="45"/>
        <v>Afternoon</v>
      </c>
      <c r="E1022">
        <f>HOUR(EV_Data[[#This Row],[Charging Start Time]])</f>
        <v>12</v>
      </c>
      <c r="F1022" s="1">
        <v>44969.5</v>
      </c>
      <c r="G1022" s="1">
        <v>44969.568055555559</v>
      </c>
      <c r="H1022">
        <v>98</v>
      </c>
      <c r="I1022">
        <v>18.16</v>
      </c>
      <c r="J1022" t="str">
        <f t="shared" si="46"/>
        <v>Low</v>
      </c>
      <c r="K1022" t="s">
        <v>50</v>
      </c>
      <c r="L1022">
        <v>61</v>
      </c>
      <c r="M1022">
        <v>81</v>
      </c>
      <c r="N1022" t="str">
        <f t="shared" si="47"/>
        <v>Medium Cost</v>
      </c>
      <c r="O1022">
        <v>8.32</v>
      </c>
      <c r="P1022" t="s">
        <v>33</v>
      </c>
      <c r="Q1022" t="s">
        <v>34</v>
      </c>
      <c r="R1022" t="s">
        <v>56</v>
      </c>
      <c r="S1022" t="s">
        <v>696</v>
      </c>
      <c r="T1022" t="s">
        <v>37</v>
      </c>
      <c r="U1022">
        <v>52</v>
      </c>
      <c r="V1022">
        <v>2</v>
      </c>
      <c r="W1022" t="s">
        <v>28</v>
      </c>
      <c r="X1022" t="s">
        <v>68</v>
      </c>
    </row>
    <row r="1023" spans="1:24" x14ac:dyDescent="0.3">
      <c r="A1023" t="s">
        <v>2299</v>
      </c>
      <c r="B1023" t="s">
        <v>30</v>
      </c>
      <c r="C1023" t="s">
        <v>102</v>
      </c>
      <c r="D1023" t="str">
        <f t="shared" si="45"/>
        <v>Afternoon</v>
      </c>
      <c r="E1023">
        <f>HOUR(EV_Data[[#This Row],[Charging Start Time]])</f>
        <v>13</v>
      </c>
      <c r="F1023" s="1">
        <v>44969.541666666664</v>
      </c>
      <c r="G1023" s="1">
        <v>44969.581250000003</v>
      </c>
      <c r="H1023">
        <v>57</v>
      </c>
      <c r="I1023">
        <v>18.920000000000002</v>
      </c>
      <c r="J1023" t="str">
        <f t="shared" si="46"/>
        <v>Low</v>
      </c>
      <c r="K1023" t="s">
        <v>69</v>
      </c>
      <c r="L1023">
        <v>18</v>
      </c>
      <c r="M1023">
        <v>43</v>
      </c>
      <c r="N1023" t="str">
        <f t="shared" si="47"/>
        <v>Low Cost</v>
      </c>
      <c r="O1023">
        <v>6.15</v>
      </c>
      <c r="P1023" t="s">
        <v>23</v>
      </c>
      <c r="Q1023" t="s">
        <v>24</v>
      </c>
      <c r="R1023" t="s">
        <v>35</v>
      </c>
      <c r="S1023" t="s">
        <v>125</v>
      </c>
      <c r="T1023" t="s">
        <v>46</v>
      </c>
      <c r="U1023">
        <v>19</v>
      </c>
      <c r="V1023">
        <v>3.7</v>
      </c>
      <c r="W1023" t="s">
        <v>47</v>
      </c>
      <c r="X1023" t="s">
        <v>29</v>
      </c>
    </row>
    <row r="1024" spans="1:24" x14ac:dyDescent="0.3">
      <c r="A1024" t="s">
        <v>2300</v>
      </c>
      <c r="B1024" t="s">
        <v>92</v>
      </c>
      <c r="C1024" t="s">
        <v>93</v>
      </c>
      <c r="D1024" t="str">
        <f t="shared" si="45"/>
        <v>Afternoon</v>
      </c>
      <c r="E1024">
        <f>HOUR(EV_Data[[#This Row],[Charging Start Time]])</f>
        <v>14</v>
      </c>
      <c r="F1024" s="1">
        <v>44969.583333333336</v>
      </c>
      <c r="G1024" s="1">
        <v>44969.660416666673</v>
      </c>
      <c r="H1024">
        <v>111</v>
      </c>
      <c r="I1024">
        <v>14.85</v>
      </c>
      <c r="J1024" t="str">
        <f t="shared" si="46"/>
        <v>Low</v>
      </c>
      <c r="K1024" t="s">
        <v>42</v>
      </c>
      <c r="L1024">
        <v>52</v>
      </c>
      <c r="M1024">
        <v>79</v>
      </c>
      <c r="N1024" t="str">
        <f t="shared" si="47"/>
        <v>Low Cost</v>
      </c>
      <c r="O1024">
        <v>6.01</v>
      </c>
      <c r="P1024" t="s">
        <v>51</v>
      </c>
      <c r="Q1024" t="s">
        <v>58</v>
      </c>
      <c r="R1024" t="s">
        <v>56</v>
      </c>
      <c r="S1024" t="s">
        <v>421</v>
      </c>
      <c r="T1024" t="s">
        <v>46</v>
      </c>
      <c r="U1024">
        <v>79</v>
      </c>
      <c r="V1024">
        <v>3.1</v>
      </c>
      <c r="W1024" t="s">
        <v>47</v>
      </c>
      <c r="X1024" t="s">
        <v>29</v>
      </c>
    </row>
    <row r="1025" spans="1:24" x14ac:dyDescent="0.3">
      <c r="A1025" t="s">
        <v>2301</v>
      </c>
      <c r="B1025" t="s">
        <v>126</v>
      </c>
      <c r="C1025" t="s">
        <v>31</v>
      </c>
      <c r="D1025" t="str">
        <f t="shared" si="45"/>
        <v>Afternoon</v>
      </c>
      <c r="E1025">
        <f>HOUR(EV_Data[[#This Row],[Charging Start Time]])</f>
        <v>15</v>
      </c>
      <c r="F1025" s="1">
        <v>44969.625</v>
      </c>
      <c r="G1025" s="1">
        <v>44969.665972222218</v>
      </c>
      <c r="H1025">
        <v>59</v>
      </c>
      <c r="I1025">
        <v>22.72</v>
      </c>
      <c r="J1025" t="str">
        <f t="shared" si="46"/>
        <v>Medium</v>
      </c>
      <c r="K1025" t="s">
        <v>50</v>
      </c>
      <c r="L1025">
        <v>8</v>
      </c>
      <c r="M1025">
        <v>20</v>
      </c>
      <c r="N1025" t="str">
        <f t="shared" si="47"/>
        <v>Low Cost</v>
      </c>
      <c r="O1025">
        <v>7.48</v>
      </c>
      <c r="P1025" t="s">
        <v>23</v>
      </c>
      <c r="Q1025" t="s">
        <v>48</v>
      </c>
      <c r="R1025" t="s">
        <v>56</v>
      </c>
      <c r="S1025" t="s">
        <v>491</v>
      </c>
      <c r="T1025" t="s">
        <v>60</v>
      </c>
      <c r="U1025">
        <v>1</v>
      </c>
      <c r="V1025">
        <v>4.7</v>
      </c>
      <c r="W1025" t="s">
        <v>47</v>
      </c>
      <c r="X1025" t="s">
        <v>29</v>
      </c>
    </row>
    <row r="1026" spans="1:24" x14ac:dyDescent="0.3">
      <c r="A1026" t="s">
        <v>2302</v>
      </c>
      <c r="B1026" t="s">
        <v>40</v>
      </c>
      <c r="C1026" t="s">
        <v>41</v>
      </c>
      <c r="D1026" t="str">
        <f t="shared" ref="D1026:D1089" si="48">IF(E1026&lt;12,"Morning",IF(E1026&lt;17,"Afternoon","Evening"))</f>
        <v>Afternoon</v>
      </c>
      <c r="E1026">
        <f>HOUR(EV_Data[[#This Row],[Charging Start Time]])</f>
        <v>16</v>
      </c>
      <c r="F1026" s="1">
        <v>44969.666666666664</v>
      </c>
      <c r="G1026" s="1">
        <v>44969.67291666667</v>
      </c>
      <c r="H1026">
        <v>9</v>
      </c>
      <c r="I1026">
        <v>27.14</v>
      </c>
      <c r="J1026" t="str">
        <f t="shared" ref="J1026:J1089" si="49">IF(I1026&lt;20,"Low",IF(I1026&lt;50,"Medium","High"))</f>
        <v>Medium</v>
      </c>
      <c r="K1026" t="s">
        <v>50</v>
      </c>
      <c r="L1026">
        <v>78</v>
      </c>
      <c r="M1026">
        <v>88</v>
      </c>
      <c r="N1026" t="str">
        <f t="shared" ref="N1026:N1089" si="50">IF(O1026&lt;8,"Low Cost",IF(O1026&lt;17,"Medium Cost","High Cost"))</f>
        <v>Medium Cost</v>
      </c>
      <c r="O1026">
        <v>10.74</v>
      </c>
      <c r="P1026" t="s">
        <v>43</v>
      </c>
      <c r="Q1026" t="s">
        <v>24</v>
      </c>
      <c r="R1026" t="s">
        <v>25</v>
      </c>
      <c r="S1026" t="s">
        <v>854</v>
      </c>
      <c r="T1026" t="s">
        <v>27</v>
      </c>
      <c r="U1026">
        <v>4</v>
      </c>
      <c r="V1026">
        <v>1.9</v>
      </c>
      <c r="W1026" t="s">
        <v>47</v>
      </c>
      <c r="X1026" t="s">
        <v>29</v>
      </c>
    </row>
    <row r="1027" spans="1:24" x14ac:dyDescent="0.3">
      <c r="A1027" t="s">
        <v>2303</v>
      </c>
      <c r="B1027" t="s">
        <v>92</v>
      </c>
      <c r="C1027" t="s">
        <v>93</v>
      </c>
      <c r="D1027" t="str">
        <f t="shared" si="48"/>
        <v>Evening</v>
      </c>
      <c r="E1027">
        <f>HOUR(EV_Data[[#This Row],[Charging Start Time]])</f>
        <v>17</v>
      </c>
      <c r="F1027" s="1">
        <v>44969.708333333336</v>
      </c>
      <c r="G1027" s="1">
        <v>44969.709027777782</v>
      </c>
      <c r="H1027">
        <v>1</v>
      </c>
      <c r="I1027">
        <v>29.26</v>
      </c>
      <c r="J1027" t="str">
        <f t="shared" si="49"/>
        <v>Medium</v>
      </c>
      <c r="K1027" t="s">
        <v>32</v>
      </c>
      <c r="L1027">
        <v>22</v>
      </c>
      <c r="M1027">
        <v>54</v>
      </c>
      <c r="N1027" t="str">
        <f t="shared" si="50"/>
        <v>Medium Cost</v>
      </c>
      <c r="O1027">
        <v>11.5</v>
      </c>
      <c r="P1027" t="s">
        <v>43</v>
      </c>
      <c r="Q1027" t="s">
        <v>58</v>
      </c>
      <c r="R1027" t="s">
        <v>56</v>
      </c>
      <c r="S1027" t="s">
        <v>855</v>
      </c>
      <c r="T1027" t="s">
        <v>60</v>
      </c>
      <c r="U1027">
        <v>13</v>
      </c>
      <c r="V1027">
        <v>2.7</v>
      </c>
      <c r="W1027" t="s">
        <v>28</v>
      </c>
      <c r="X1027" t="s">
        <v>68</v>
      </c>
    </row>
    <row r="1028" spans="1:24" x14ac:dyDescent="0.3">
      <c r="A1028" t="s">
        <v>2304</v>
      </c>
      <c r="B1028" t="s">
        <v>77</v>
      </c>
      <c r="C1028" t="s">
        <v>78</v>
      </c>
      <c r="D1028" t="str">
        <f t="shared" si="48"/>
        <v>Evening</v>
      </c>
      <c r="E1028">
        <f>HOUR(EV_Data[[#This Row],[Charging Start Time]])</f>
        <v>18</v>
      </c>
      <c r="F1028" s="1">
        <v>44969.75</v>
      </c>
      <c r="G1028" s="1">
        <v>44969.760416666657</v>
      </c>
      <c r="H1028">
        <v>15</v>
      </c>
      <c r="I1028">
        <v>8.2100000000000009</v>
      </c>
      <c r="J1028" t="str">
        <f t="shared" si="49"/>
        <v>Low</v>
      </c>
      <c r="K1028" t="s">
        <v>22</v>
      </c>
      <c r="L1028">
        <v>20</v>
      </c>
      <c r="M1028">
        <v>53</v>
      </c>
      <c r="N1028" t="str">
        <f t="shared" si="50"/>
        <v>Low Cost</v>
      </c>
      <c r="O1028">
        <v>2.42</v>
      </c>
      <c r="P1028" t="s">
        <v>51</v>
      </c>
      <c r="Q1028" t="s">
        <v>24</v>
      </c>
      <c r="R1028" t="s">
        <v>35</v>
      </c>
      <c r="S1028" t="s">
        <v>856</v>
      </c>
      <c r="T1028" t="s">
        <v>37</v>
      </c>
      <c r="U1028">
        <v>71</v>
      </c>
      <c r="V1028">
        <v>3.2</v>
      </c>
      <c r="W1028" t="s">
        <v>28</v>
      </c>
      <c r="X1028" t="s">
        <v>68</v>
      </c>
    </row>
    <row r="1029" spans="1:24" x14ac:dyDescent="0.3">
      <c r="A1029" t="s">
        <v>2305</v>
      </c>
      <c r="B1029" t="s">
        <v>40</v>
      </c>
      <c r="C1029" t="s">
        <v>41</v>
      </c>
      <c r="D1029" t="str">
        <f t="shared" si="48"/>
        <v>Evening</v>
      </c>
      <c r="E1029">
        <f>HOUR(EV_Data[[#This Row],[Charging Start Time]])</f>
        <v>19</v>
      </c>
      <c r="F1029" s="1">
        <v>44969.791666666664</v>
      </c>
      <c r="G1029" s="1">
        <v>44969.820833333331</v>
      </c>
      <c r="H1029">
        <v>42</v>
      </c>
      <c r="I1029">
        <v>21.36</v>
      </c>
      <c r="J1029" t="str">
        <f t="shared" si="49"/>
        <v>Medium</v>
      </c>
      <c r="K1029" t="s">
        <v>32</v>
      </c>
      <c r="L1029">
        <v>52</v>
      </c>
      <c r="M1029">
        <v>63</v>
      </c>
      <c r="N1029" t="str">
        <f t="shared" si="50"/>
        <v>Medium Cost</v>
      </c>
      <c r="O1029">
        <v>8.4499999999999993</v>
      </c>
      <c r="P1029" t="s">
        <v>51</v>
      </c>
      <c r="Q1029" t="s">
        <v>48</v>
      </c>
      <c r="R1029" t="s">
        <v>44</v>
      </c>
      <c r="S1029" t="s">
        <v>524</v>
      </c>
      <c r="T1029" t="s">
        <v>27</v>
      </c>
      <c r="U1029">
        <v>40</v>
      </c>
      <c r="V1029">
        <v>4.4000000000000004</v>
      </c>
      <c r="W1029" t="s">
        <v>47</v>
      </c>
      <c r="X1029" t="s">
        <v>29</v>
      </c>
    </row>
    <row r="1030" spans="1:24" x14ac:dyDescent="0.3">
      <c r="A1030" t="s">
        <v>2306</v>
      </c>
      <c r="B1030" t="s">
        <v>53</v>
      </c>
      <c r="C1030" t="s">
        <v>54</v>
      </c>
      <c r="D1030" t="str">
        <f t="shared" si="48"/>
        <v>Evening</v>
      </c>
      <c r="E1030">
        <f>HOUR(EV_Data[[#This Row],[Charging Start Time]])</f>
        <v>20</v>
      </c>
      <c r="F1030" s="1">
        <v>44969.833333333336</v>
      </c>
      <c r="G1030" s="1">
        <v>44969.850694444453</v>
      </c>
      <c r="H1030">
        <v>25</v>
      </c>
      <c r="I1030">
        <v>26.94</v>
      </c>
      <c r="J1030" t="str">
        <f t="shared" si="49"/>
        <v>Medium</v>
      </c>
      <c r="K1030" t="s">
        <v>69</v>
      </c>
      <c r="L1030">
        <v>46</v>
      </c>
      <c r="M1030">
        <v>63</v>
      </c>
      <c r="N1030" t="str">
        <f t="shared" si="50"/>
        <v>Medium Cost</v>
      </c>
      <c r="O1030">
        <v>12.49</v>
      </c>
      <c r="P1030" t="s">
        <v>23</v>
      </c>
      <c r="Q1030" t="s">
        <v>58</v>
      </c>
      <c r="R1030" t="s">
        <v>25</v>
      </c>
      <c r="S1030" t="s">
        <v>857</v>
      </c>
      <c r="T1030" t="s">
        <v>60</v>
      </c>
      <c r="U1030">
        <v>84</v>
      </c>
      <c r="V1030">
        <v>2.8</v>
      </c>
      <c r="W1030" t="s">
        <v>28</v>
      </c>
      <c r="X1030" t="s">
        <v>68</v>
      </c>
    </row>
    <row r="1031" spans="1:24" x14ac:dyDescent="0.3">
      <c r="A1031" t="s">
        <v>2307</v>
      </c>
      <c r="B1031" t="s">
        <v>92</v>
      </c>
      <c r="C1031" t="s">
        <v>93</v>
      </c>
      <c r="D1031" t="str">
        <f t="shared" si="48"/>
        <v>Evening</v>
      </c>
      <c r="E1031">
        <f>HOUR(EV_Data[[#This Row],[Charging Start Time]])</f>
        <v>21</v>
      </c>
      <c r="F1031" s="1">
        <v>44969.875</v>
      </c>
      <c r="G1031" s="1">
        <v>44969.928472222222</v>
      </c>
      <c r="H1031">
        <v>77</v>
      </c>
      <c r="I1031">
        <v>29.37</v>
      </c>
      <c r="J1031" t="str">
        <f t="shared" si="49"/>
        <v>Medium</v>
      </c>
      <c r="K1031" t="s">
        <v>42</v>
      </c>
      <c r="L1031">
        <v>28</v>
      </c>
      <c r="M1031">
        <v>63</v>
      </c>
      <c r="N1031" t="str">
        <f t="shared" si="50"/>
        <v>Medium Cost</v>
      </c>
      <c r="O1031">
        <v>8.07</v>
      </c>
      <c r="P1031" t="s">
        <v>23</v>
      </c>
      <c r="Q1031" t="s">
        <v>48</v>
      </c>
      <c r="R1031" t="s">
        <v>44</v>
      </c>
      <c r="S1031" t="s">
        <v>858</v>
      </c>
      <c r="T1031" t="s">
        <v>46</v>
      </c>
      <c r="U1031">
        <v>16</v>
      </c>
      <c r="V1031">
        <v>4.9000000000000004</v>
      </c>
      <c r="W1031" t="s">
        <v>38</v>
      </c>
      <c r="X1031" t="s">
        <v>62</v>
      </c>
    </row>
    <row r="1032" spans="1:24" x14ac:dyDescent="0.3">
      <c r="A1032" t="s">
        <v>2308</v>
      </c>
      <c r="B1032" t="s">
        <v>40</v>
      </c>
      <c r="C1032" t="s">
        <v>41</v>
      </c>
      <c r="D1032" t="str">
        <f t="shared" si="48"/>
        <v>Evening</v>
      </c>
      <c r="E1032">
        <f>HOUR(EV_Data[[#This Row],[Charging Start Time]])</f>
        <v>22</v>
      </c>
      <c r="F1032" s="1">
        <v>44969.916666666664</v>
      </c>
      <c r="G1032" s="1">
        <v>44969.948611111111</v>
      </c>
      <c r="H1032">
        <v>46</v>
      </c>
      <c r="I1032">
        <v>33.25</v>
      </c>
      <c r="J1032" t="str">
        <f t="shared" si="49"/>
        <v>Medium</v>
      </c>
      <c r="K1032" t="s">
        <v>42</v>
      </c>
      <c r="L1032">
        <v>60</v>
      </c>
      <c r="M1032">
        <v>100</v>
      </c>
      <c r="N1032" t="str">
        <f t="shared" si="50"/>
        <v>Medium Cost</v>
      </c>
      <c r="O1032">
        <v>9.99</v>
      </c>
      <c r="P1032" t="s">
        <v>43</v>
      </c>
      <c r="Q1032" t="s">
        <v>34</v>
      </c>
      <c r="R1032" t="s">
        <v>35</v>
      </c>
      <c r="S1032" t="s">
        <v>496</v>
      </c>
      <c r="T1032" t="s">
        <v>60</v>
      </c>
      <c r="U1032">
        <v>51</v>
      </c>
      <c r="V1032">
        <v>3.7</v>
      </c>
      <c r="W1032" t="s">
        <v>38</v>
      </c>
      <c r="X1032" t="s">
        <v>62</v>
      </c>
    </row>
    <row r="1033" spans="1:24" x14ac:dyDescent="0.3">
      <c r="A1033" t="s">
        <v>2309</v>
      </c>
      <c r="B1033" t="s">
        <v>30</v>
      </c>
      <c r="C1033" t="s">
        <v>102</v>
      </c>
      <c r="D1033" t="str">
        <f t="shared" si="48"/>
        <v>Evening</v>
      </c>
      <c r="E1033">
        <f>HOUR(EV_Data[[#This Row],[Charging Start Time]])</f>
        <v>23</v>
      </c>
      <c r="F1033" s="1">
        <v>44969.958333333336</v>
      </c>
      <c r="G1033" s="1">
        <v>44969.984722222223</v>
      </c>
      <c r="H1033">
        <v>38</v>
      </c>
      <c r="I1033">
        <v>35.28</v>
      </c>
      <c r="J1033" t="str">
        <f t="shared" si="49"/>
        <v>Medium</v>
      </c>
      <c r="K1033" t="s">
        <v>69</v>
      </c>
      <c r="L1033">
        <v>66</v>
      </c>
      <c r="M1033">
        <v>100</v>
      </c>
      <c r="N1033" t="str">
        <f t="shared" si="50"/>
        <v>Medium Cost</v>
      </c>
      <c r="O1033">
        <v>15.5</v>
      </c>
      <c r="P1033" t="s">
        <v>51</v>
      </c>
      <c r="Q1033" t="s">
        <v>24</v>
      </c>
      <c r="R1033" t="s">
        <v>25</v>
      </c>
      <c r="S1033" t="s">
        <v>432</v>
      </c>
      <c r="T1033" t="s">
        <v>27</v>
      </c>
      <c r="U1033">
        <v>55</v>
      </c>
      <c r="V1033">
        <v>3.6</v>
      </c>
      <c r="W1033" t="s">
        <v>38</v>
      </c>
      <c r="X1033" t="s">
        <v>83</v>
      </c>
    </row>
    <row r="1034" spans="1:24" x14ac:dyDescent="0.3">
      <c r="A1034" t="s">
        <v>2310</v>
      </c>
      <c r="B1034" t="s">
        <v>53</v>
      </c>
      <c r="C1034" t="s">
        <v>54</v>
      </c>
      <c r="D1034" t="str">
        <f t="shared" si="48"/>
        <v>Morning</v>
      </c>
      <c r="E1034">
        <f>HOUR(EV_Data[[#This Row],[Charging Start Time]])</f>
        <v>0</v>
      </c>
      <c r="F1034" s="1">
        <v>44970</v>
      </c>
      <c r="G1034" s="1">
        <v>44970.021527777782</v>
      </c>
      <c r="H1034">
        <v>31</v>
      </c>
      <c r="I1034">
        <v>34.85</v>
      </c>
      <c r="J1034" t="str">
        <f t="shared" si="49"/>
        <v>Medium</v>
      </c>
      <c r="K1034" t="s">
        <v>69</v>
      </c>
      <c r="L1034">
        <v>28</v>
      </c>
      <c r="M1034">
        <v>45</v>
      </c>
      <c r="N1034" t="str">
        <f t="shared" si="50"/>
        <v>Medium Cost</v>
      </c>
      <c r="O1034">
        <v>10.54</v>
      </c>
      <c r="P1034" t="s">
        <v>43</v>
      </c>
      <c r="Q1034" t="s">
        <v>34</v>
      </c>
      <c r="R1034" t="s">
        <v>35</v>
      </c>
      <c r="S1034" t="s">
        <v>859</v>
      </c>
      <c r="T1034" t="s">
        <v>27</v>
      </c>
      <c r="U1034">
        <v>31</v>
      </c>
      <c r="V1034">
        <v>4.5</v>
      </c>
      <c r="W1034" t="s">
        <v>28</v>
      </c>
      <c r="X1034" t="s">
        <v>68</v>
      </c>
    </row>
    <row r="1035" spans="1:24" x14ac:dyDescent="0.3">
      <c r="A1035" t="s">
        <v>2311</v>
      </c>
      <c r="B1035" t="s">
        <v>77</v>
      </c>
      <c r="C1035" t="s">
        <v>78</v>
      </c>
      <c r="D1035" t="str">
        <f t="shared" si="48"/>
        <v>Morning</v>
      </c>
      <c r="E1035">
        <f>HOUR(EV_Data[[#This Row],[Charging Start Time]])</f>
        <v>1</v>
      </c>
      <c r="F1035" s="1">
        <v>44970.041666666664</v>
      </c>
      <c r="G1035" s="1">
        <v>44970.071527777778</v>
      </c>
      <c r="H1035">
        <v>43</v>
      </c>
      <c r="I1035">
        <v>35.47</v>
      </c>
      <c r="J1035" t="str">
        <f t="shared" si="49"/>
        <v>Medium</v>
      </c>
      <c r="K1035" t="s">
        <v>55</v>
      </c>
      <c r="L1035">
        <v>74</v>
      </c>
      <c r="M1035">
        <v>85</v>
      </c>
      <c r="N1035" t="str">
        <f t="shared" si="50"/>
        <v>Medium Cost</v>
      </c>
      <c r="O1035">
        <v>12.42</v>
      </c>
      <c r="P1035" t="s">
        <v>51</v>
      </c>
      <c r="Q1035" t="s">
        <v>24</v>
      </c>
      <c r="R1035" t="s">
        <v>44</v>
      </c>
      <c r="S1035" t="s">
        <v>860</v>
      </c>
      <c r="T1035" t="s">
        <v>46</v>
      </c>
      <c r="U1035">
        <v>65</v>
      </c>
      <c r="V1035">
        <v>2.7</v>
      </c>
      <c r="W1035" t="s">
        <v>47</v>
      </c>
      <c r="X1035" t="s">
        <v>29</v>
      </c>
    </row>
    <row r="1036" spans="1:24" x14ac:dyDescent="0.3">
      <c r="A1036" t="s">
        <v>2312</v>
      </c>
      <c r="B1036" t="s">
        <v>77</v>
      </c>
      <c r="C1036" t="s">
        <v>78</v>
      </c>
      <c r="D1036" t="str">
        <f t="shared" si="48"/>
        <v>Morning</v>
      </c>
      <c r="E1036">
        <f>HOUR(EV_Data[[#This Row],[Charging Start Time]])</f>
        <v>2</v>
      </c>
      <c r="F1036" s="1">
        <v>44970.083333333336</v>
      </c>
      <c r="G1036" s="1">
        <v>44970.115277777782</v>
      </c>
      <c r="H1036">
        <v>46</v>
      </c>
      <c r="I1036">
        <v>18.55</v>
      </c>
      <c r="J1036" t="str">
        <f t="shared" si="49"/>
        <v>Low</v>
      </c>
      <c r="K1036" t="s">
        <v>50</v>
      </c>
      <c r="L1036">
        <v>35</v>
      </c>
      <c r="M1036">
        <v>54</v>
      </c>
      <c r="N1036" t="str">
        <f t="shared" si="50"/>
        <v>Low Cost</v>
      </c>
      <c r="O1036">
        <v>7.99</v>
      </c>
      <c r="P1036" t="s">
        <v>23</v>
      </c>
      <c r="Q1036" t="s">
        <v>48</v>
      </c>
      <c r="R1036" t="s">
        <v>44</v>
      </c>
      <c r="S1036" t="s">
        <v>705</v>
      </c>
      <c r="T1036" t="s">
        <v>46</v>
      </c>
      <c r="U1036">
        <v>82</v>
      </c>
      <c r="V1036">
        <v>5</v>
      </c>
      <c r="W1036" t="s">
        <v>28</v>
      </c>
      <c r="X1036" t="s">
        <v>68</v>
      </c>
    </row>
    <row r="1037" spans="1:24" x14ac:dyDescent="0.3">
      <c r="A1037" t="s">
        <v>2313</v>
      </c>
      <c r="B1037" t="s">
        <v>30</v>
      </c>
      <c r="C1037" t="s">
        <v>102</v>
      </c>
      <c r="D1037" t="str">
        <f t="shared" si="48"/>
        <v>Morning</v>
      </c>
      <c r="E1037">
        <f>HOUR(EV_Data[[#This Row],[Charging Start Time]])</f>
        <v>3</v>
      </c>
      <c r="F1037" s="1">
        <v>44970.125</v>
      </c>
      <c r="G1037" s="1">
        <v>44970.151388888888</v>
      </c>
      <c r="H1037">
        <v>38</v>
      </c>
      <c r="I1037">
        <v>32.56</v>
      </c>
      <c r="J1037" t="str">
        <f t="shared" si="49"/>
        <v>Medium</v>
      </c>
      <c r="K1037" t="s">
        <v>42</v>
      </c>
      <c r="L1037">
        <v>58</v>
      </c>
      <c r="M1037">
        <v>92</v>
      </c>
      <c r="N1037" t="str">
        <f t="shared" si="50"/>
        <v>Medium Cost</v>
      </c>
      <c r="O1037">
        <v>13.31</v>
      </c>
      <c r="P1037" t="s">
        <v>43</v>
      </c>
      <c r="Q1037" t="s">
        <v>48</v>
      </c>
      <c r="R1037" t="s">
        <v>56</v>
      </c>
      <c r="S1037" t="s">
        <v>477</v>
      </c>
      <c r="T1037" t="s">
        <v>27</v>
      </c>
      <c r="U1037">
        <v>91</v>
      </c>
      <c r="V1037">
        <v>4.3</v>
      </c>
      <c r="W1037" t="s">
        <v>47</v>
      </c>
      <c r="X1037" t="s">
        <v>29</v>
      </c>
    </row>
    <row r="1038" spans="1:24" x14ac:dyDescent="0.3">
      <c r="A1038" t="s">
        <v>2314</v>
      </c>
      <c r="B1038" t="s">
        <v>53</v>
      </c>
      <c r="C1038" t="s">
        <v>54</v>
      </c>
      <c r="D1038" t="str">
        <f t="shared" si="48"/>
        <v>Morning</v>
      </c>
      <c r="E1038">
        <f>HOUR(EV_Data[[#This Row],[Charging Start Time]])</f>
        <v>4</v>
      </c>
      <c r="F1038" s="1">
        <v>44970.166666666664</v>
      </c>
      <c r="G1038" s="1">
        <v>44970.201388888891</v>
      </c>
      <c r="H1038">
        <v>50</v>
      </c>
      <c r="I1038">
        <v>10.38</v>
      </c>
      <c r="J1038" t="str">
        <f t="shared" si="49"/>
        <v>Low</v>
      </c>
      <c r="K1038" t="s">
        <v>32</v>
      </c>
      <c r="L1038">
        <v>55</v>
      </c>
      <c r="M1038">
        <v>95</v>
      </c>
      <c r="N1038" t="str">
        <f t="shared" si="50"/>
        <v>Low Cost</v>
      </c>
      <c r="O1038">
        <v>3.86</v>
      </c>
      <c r="P1038" t="s">
        <v>51</v>
      </c>
      <c r="Q1038" t="s">
        <v>58</v>
      </c>
      <c r="R1038" t="s">
        <v>56</v>
      </c>
      <c r="S1038" t="s">
        <v>861</v>
      </c>
      <c r="T1038" t="s">
        <v>37</v>
      </c>
      <c r="U1038">
        <v>10</v>
      </c>
      <c r="V1038">
        <v>4.7</v>
      </c>
      <c r="W1038" t="s">
        <v>47</v>
      </c>
      <c r="X1038" t="s">
        <v>29</v>
      </c>
    </row>
    <row r="1039" spans="1:24" x14ac:dyDescent="0.3">
      <c r="A1039" t="s">
        <v>2315</v>
      </c>
      <c r="B1039" t="s">
        <v>40</v>
      </c>
      <c r="C1039" t="s">
        <v>41</v>
      </c>
      <c r="D1039" t="str">
        <f t="shared" si="48"/>
        <v>Morning</v>
      </c>
      <c r="E1039">
        <f>HOUR(EV_Data[[#This Row],[Charging Start Time]])</f>
        <v>5</v>
      </c>
      <c r="F1039" s="1">
        <v>44970.208333333336</v>
      </c>
      <c r="G1039" s="1">
        <v>44970.238194444442</v>
      </c>
      <c r="H1039">
        <v>43</v>
      </c>
      <c r="I1039">
        <v>43.17</v>
      </c>
      <c r="J1039" t="str">
        <f t="shared" si="49"/>
        <v>Medium</v>
      </c>
      <c r="K1039" t="s">
        <v>22</v>
      </c>
      <c r="L1039">
        <v>69</v>
      </c>
      <c r="M1039">
        <v>98</v>
      </c>
      <c r="N1039" t="str">
        <f t="shared" si="50"/>
        <v>Medium Cost</v>
      </c>
      <c r="O1039">
        <v>15.39</v>
      </c>
      <c r="P1039" t="s">
        <v>64</v>
      </c>
      <c r="Q1039" t="s">
        <v>34</v>
      </c>
      <c r="R1039" t="s">
        <v>25</v>
      </c>
      <c r="S1039" t="s">
        <v>862</v>
      </c>
      <c r="T1039" t="s">
        <v>60</v>
      </c>
      <c r="U1039">
        <v>79</v>
      </c>
      <c r="V1039">
        <v>1.5</v>
      </c>
      <c r="W1039" t="s">
        <v>28</v>
      </c>
      <c r="X1039" t="s">
        <v>68</v>
      </c>
    </row>
    <row r="1040" spans="1:24" x14ac:dyDescent="0.3">
      <c r="A1040" t="s">
        <v>2316</v>
      </c>
      <c r="B1040" t="s">
        <v>77</v>
      </c>
      <c r="C1040" t="s">
        <v>78</v>
      </c>
      <c r="D1040" t="str">
        <f t="shared" si="48"/>
        <v>Morning</v>
      </c>
      <c r="E1040">
        <f>HOUR(EV_Data[[#This Row],[Charging Start Time]])</f>
        <v>6</v>
      </c>
      <c r="F1040" s="1">
        <v>44970.25</v>
      </c>
      <c r="G1040" s="1">
        <v>44970.305555555547</v>
      </c>
      <c r="H1040">
        <v>80</v>
      </c>
      <c r="I1040">
        <v>5.34</v>
      </c>
      <c r="J1040" t="str">
        <f t="shared" si="49"/>
        <v>Low</v>
      </c>
      <c r="K1040" t="s">
        <v>22</v>
      </c>
      <c r="L1040">
        <v>29</v>
      </c>
      <c r="M1040">
        <v>44</v>
      </c>
      <c r="N1040" t="str">
        <f t="shared" si="50"/>
        <v>Low Cost</v>
      </c>
      <c r="O1040">
        <v>2.52</v>
      </c>
      <c r="P1040" t="s">
        <v>43</v>
      </c>
      <c r="Q1040" t="s">
        <v>48</v>
      </c>
      <c r="R1040" t="s">
        <v>56</v>
      </c>
      <c r="S1040" t="s">
        <v>404</v>
      </c>
      <c r="T1040" t="s">
        <v>60</v>
      </c>
      <c r="U1040">
        <v>79</v>
      </c>
      <c r="V1040">
        <v>1.4</v>
      </c>
      <c r="W1040" t="s">
        <v>47</v>
      </c>
      <c r="X1040" t="s">
        <v>29</v>
      </c>
    </row>
    <row r="1041" spans="1:24" x14ac:dyDescent="0.3">
      <c r="A1041" t="s">
        <v>2317</v>
      </c>
      <c r="B1041" t="s">
        <v>126</v>
      </c>
      <c r="C1041" t="s">
        <v>31</v>
      </c>
      <c r="D1041" t="str">
        <f t="shared" si="48"/>
        <v>Morning</v>
      </c>
      <c r="E1041">
        <f>HOUR(EV_Data[[#This Row],[Charging Start Time]])</f>
        <v>7</v>
      </c>
      <c r="F1041" s="1">
        <v>44970.291666666664</v>
      </c>
      <c r="G1041" s="1">
        <v>44970.313888888893</v>
      </c>
      <c r="H1041">
        <v>32</v>
      </c>
      <c r="I1041">
        <v>25.93</v>
      </c>
      <c r="J1041" t="str">
        <f t="shared" si="49"/>
        <v>Medium</v>
      </c>
      <c r="K1041" t="s">
        <v>42</v>
      </c>
      <c r="L1041">
        <v>12</v>
      </c>
      <c r="M1041">
        <v>41</v>
      </c>
      <c r="N1041" t="str">
        <f t="shared" si="50"/>
        <v>Medium Cost</v>
      </c>
      <c r="O1041">
        <v>9.9</v>
      </c>
      <c r="P1041" t="s">
        <v>23</v>
      </c>
      <c r="Q1041" t="s">
        <v>58</v>
      </c>
      <c r="R1041" t="s">
        <v>56</v>
      </c>
      <c r="S1041" t="s">
        <v>863</v>
      </c>
      <c r="T1041" t="s">
        <v>46</v>
      </c>
      <c r="U1041">
        <v>88</v>
      </c>
      <c r="V1041">
        <v>1.2</v>
      </c>
      <c r="W1041" t="s">
        <v>28</v>
      </c>
      <c r="X1041" t="s">
        <v>68</v>
      </c>
    </row>
    <row r="1042" spans="1:24" x14ac:dyDescent="0.3">
      <c r="A1042" t="s">
        <v>2318</v>
      </c>
      <c r="B1042" t="s">
        <v>40</v>
      </c>
      <c r="C1042" t="s">
        <v>41</v>
      </c>
      <c r="D1042" t="str">
        <f t="shared" si="48"/>
        <v>Morning</v>
      </c>
      <c r="E1042">
        <f>HOUR(EV_Data[[#This Row],[Charging Start Time]])</f>
        <v>8</v>
      </c>
      <c r="F1042" s="1">
        <v>44970.333333333336</v>
      </c>
      <c r="G1042" s="1">
        <v>44970.370138888888</v>
      </c>
      <c r="H1042">
        <v>53</v>
      </c>
      <c r="I1042">
        <v>15.16</v>
      </c>
      <c r="J1042" t="str">
        <f t="shared" si="49"/>
        <v>Low</v>
      </c>
      <c r="K1042" t="s">
        <v>69</v>
      </c>
      <c r="L1042">
        <v>77</v>
      </c>
      <c r="M1042">
        <v>95</v>
      </c>
      <c r="N1042" t="str">
        <f t="shared" si="50"/>
        <v>Low Cost</v>
      </c>
      <c r="O1042">
        <v>3.65</v>
      </c>
      <c r="P1042" t="s">
        <v>64</v>
      </c>
      <c r="Q1042" t="s">
        <v>58</v>
      </c>
      <c r="R1042" t="s">
        <v>35</v>
      </c>
      <c r="S1042" t="s">
        <v>207</v>
      </c>
      <c r="T1042" t="s">
        <v>46</v>
      </c>
      <c r="U1042">
        <v>4</v>
      </c>
      <c r="V1042">
        <v>4.3</v>
      </c>
      <c r="W1042" t="s">
        <v>28</v>
      </c>
      <c r="X1042" t="s">
        <v>68</v>
      </c>
    </row>
    <row r="1043" spans="1:24" x14ac:dyDescent="0.3">
      <c r="A1043" t="s">
        <v>2319</v>
      </c>
      <c r="B1043" t="s">
        <v>20</v>
      </c>
      <c r="C1043" t="s">
        <v>21</v>
      </c>
      <c r="D1043" t="str">
        <f t="shared" si="48"/>
        <v>Morning</v>
      </c>
      <c r="E1043">
        <f>HOUR(EV_Data[[#This Row],[Charging Start Time]])</f>
        <v>9</v>
      </c>
      <c r="F1043" s="1">
        <v>44970.375</v>
      </c>
      <c r="G1043" s="1">
        <v>44970.394444444442</v>
      </c>
      <c r="H1043">
        <v>28</v>
      </c>
      <c r="I1043">
        <v>17.100000000000001</v>
      </c>
      <c r="J1043" t="str">
        <f t="shared" si="49"/>
        <v>Low</v>
      </c>
      <c r="K1043" t="s">
        <v>42</v>
      </c>
      <c r="L1043">
        <v>38</v>
      </c>
      <c r="M1043">
        <v>77</v>
      </c>
      <c r="N1043" t="str">
        <f t="shared" si="50"/>
        <v>Medium Cost</v>
      </c>
      <c r="O1043">
        <v>8.5399999999999991</v>
      </c>
      <c r="P1043" t="s">
        <v>51</v>
      </c>
      <c r="Q1043" t="s">
        <v>58</v>
      </c>
      <c r="R1043" t="s">
        <v>25</v>
      </c>
      <c r="S1043" t="s">
        <v>844</v>
      </c>
      <c r="T1043" t="s">
        <v>46</v>
      </c>
      <c r="U1043">
        <v>26</v>
      </c>
      <c r="V1043">
        <v>4.5</v>
      </c>
      <c r="W1043" t="s">
        <v>47</v>
      </c>
      <c r="X1043" t="s">
        <v>29</v>
      </c>
    </row>
    <row r="1044" spans="1:24" x14ac:dyDescent="0.3">
      <c r="A1044" t="s">
        <v>2320</v>
      </c>
      <c r="B1044" t="s">
        <v>53</v>
      </c>
      <c r="C1044" t="s">
        <v>54</v>
      </c>
      <c r="D1044" t="str">
        <f t="shared" si="48"/>
        <v>Morning</v>
      </c>
      <c r="E1044">
        <f>HOUR(EV_Data[[#This Row],[Charging Start Time]])</f>
        <v>10</v>
      </c>
      <c r="F1044" s="1">
        <v>44970.416666666664</v>
      </c>
      <c r="G1044" s="1">
        <v>44970.469444444447</v>
      </c>
      <c r="H1044">
        <v>76</v>
      </c>
      <c r="I1044">
        <v>6.94</v>
      </c>
      <c r="J1044" t="str">
        <f t="shared" si="49"/>
        <v>Low</v>
      </c>
      <c r="K1044" t="s">
        <v>55</v>
      </c>
      <c r="L1044">
        <v>42</v>
      </c>
      <c r="M1044">
        <v>65</v>
      </c>
      <c r="N1044" t="str">
        <f t="shared" si="50"/>
        <v>Low Cost</v>
      </c>
      <c r="O1044">
        <v>2.16</v>
      </c>
      <c r="P1044" t="s">
        <v>51</v>
      </c>
      <c r="Q1044" t="s">
        <v>58</v>
      </c>
      <c r="R1044" t="s">
        <v>56</v>
      </c>
      <c r="S1044" t="s">
        <v>864</v>
      </c>
      <c r="T1044" t="s">
        <v>37</v>
      </c>
      <c r="U1044">
        <v>4</v>
      </c>
      <c r="V1044">
        <v>4.4000000000000004</v>
      </c>
      <c r="W1044" t="s">
        <v>28</v>
      </c>
      <c r="X1044" t="s">
        <v>68</v>
      </c>
    </row>
    <row r="1045" spans="1:24" x14ac:dyDescent="0.3">
      <c r="A1045" t="s">
        <v>2321</v>
      </c>
      <c r="B1045" t="s">
        <v>126</v>
      </c>
      <c r="C1045" t="s">
        <v>31</v>
      </c>
      <c r="D1045" t="str">
        <f t="shared" si="48"/>
        <v>Morning</v>
      </c>
      <c r="E1045">
        <f>HOUR(EV_Data[[#This Row],[Charging Start Time]])</f>
        <v>11</v>
      </c>
      <c r="F1045" s="1">
        <v>44970.458333333336</v>
      </c>
      <c r="G1045" s="1">
        <v>44970.470138888893</v>
      </c>
      <c r="H1045">
        <v>17</v>
      </c>
      <c r="I1045">
        <v>30.63</v>
      </c>
      <c r="J1045" t="str">
        <f t="shared" si="49"/>
        <v>Medium</v>
      </c>
      <c r="K1045" t="s">
        <v>69</v>
      </c>
      <c r="L1045">
        <v>53</v>
      </c>
      <c r="M1045">
        <v>72</v>
      </c>
      <c r="N1045" t="str">
        <f t="shared" si="50"/>
        <v>Medium Cost</v>
      </c>
      <c r="O1045">
        <v>10.58</v>
      </c>
      <c r="P1045" t="s">
        <v>33</v>
      </c>
      <c r="Q1045" t="s">
        <v>34</v>
      </c>
      <c r="R1045" t="s">
        <v>25</v>
      </c>
      <c r="S1045" t="s">
        <v>865</v>
      </c>
      <c r="T1045" t="s">
        <v>37</v>
      </c>
      <c r="U1045">
        <v>68</v>
      </c>
      <c r="V1045">
        <v>4.4000000000000004</v>
      </c>
      <c r="W1045" t="s">
        <v>28</v>
      </c>
      <c r="X1045" t="s">
        <v>68</v>
      </c>
    </row>
    <row r="1046" spans="1:24" x14ac:dyDescent="0.3">
      <c r="A1046" t="s">
        <v>2322</v>
      </c>
      <c r="B1046" t="s">
        <v>126</v>
      </c>
      <c r="C1046" t="s">
        <v>31</v>
      </c>
      <c r="D1046" t="str">
        <f t="shared" si="48"/>
        <v>Afternoon</v>
      </c>
      <c r="E1046">
        <f>HOUR(EV_Data[[#This Row],[Charging Start Time]])</f>
        <v>12</v>
      </c>
      <c r="F1046" s="1">
        <v>44970.5</v>
      </c>
      <c r="G1046" s="1">
        <v>44970.500694444447</v>
      </c>
      <c r="H1046">
        <v>1</v>
      </c>
      <c r="I1046">
        <v>47.63</v>
      </c>
      <c r="J1046" t="str">
        <f t="shared" si="49"/>
        <v>Medium</v>
      </c>
      <c r="K1046" t="s">
        <v>32</v>
      </c>
      <c r="L1046">
        <v>38</v>
      </c>
      <c r="M1046">
        <v>71</v>
      </c>
      <c r="N1046" t="str">
        <f t="shared" si="50"/>
        <v>High Cost</v>
      </c>
      <c r="O1046">
        <v>20.65</v>
      </c>
      <c r="P1046" t="s">
        <v>23</v>
      </c>
      <c r="Q1046" t="s">
        <v>34</v>
      </c>
      <c r="R1046" t="s">
        <v>56</v>
      </c>
      <c r="S1046" t="s">
        <v>866</v>
      </c>
      <c r="T1046" t="s">
        <v>27</v>
      </c>
      <c r="U1046">
        <v>42</v>
      </c>
      <c r="V1046">
        <v>3.3</v>
      </c>
      <c r="W1046" t="s">
        <v>47</v>
      </c>
      <c r="X1046" t="s">
        <v>29</v>
      </c>
    </row>
    <row r="1047" spans="1:24" x14ac:dyDescent="0.3">
      <c r="A1047" t="s">
        <v>2323</v>
      </c>
      <c r="B1047" t="s">
        <v>92</v>
      </c>
      <c r="C1047" t="s">
        <v>93</v>
      </c>
      <c r="D1047" t="str">
        <f t="shared" si="48"/>
        <v>Afternoon</v>
      </c>
      <c r="E1047">
        <f>HOUR(EV_Data[[#This Row],[Charging Start Time]])</f>
        <v>13</v>
      </c>
      <c r="F1047" s="1">
        <v>44970.541666666664</v>
      </c>
      <c r="G1047" s="1">
        <v>44970.6</v>
      </c>
      <c r="H1047">
        <v>84</v>
      </c>
      <c r="I1047">
        <v>36.28</v>
      </c>
      <c r="J1047" t="str">
        <f t="shared" si="49"/>
        <v>Medium</v>
      </c>
      <c r="K1047" t="s">
        <v>55</v>
      </c>
      <c r="L1047">
        <v>78</v>
      </c>
      <c r="M1047">
        <v>88</v>
      </c>
      <c r="N1047" t="str">
        <f t="shared" si="50"/>
        <v>Medium Cost</v>
      </c>
      <c r="O1047">
        <v>16.64</v>
      </c>
      <c r="P1047" t="s">
        <v>23</v>
      </c>
      <c r="Q1047" t="s">
        <v>24</v>
      </c>
      <c r="R1047" t="s">
        <v>44</v>
      </c>
      <c r="S1047" t="s">
        <v>867</v>
      </c>
      <c r="T1047" t="s">
        <v>46</v>
      </c>
      <c r="U1047">
        <v>93</v>
      </c>
      <c r="V1047">
        <v>3.8</v>
      </c>
      <c r="W1047" t="s">
        <v>28</v>
      </c>
      <c r="X1047" t="s">
        <v>68</v>
      </c>
    </row>
    <row r="1048" spans="1:24" x14ac:dyDescent="0.3">
      <c r="A1048" t="s">
        <v>2324</v>
      </c>
      <c r="B1048" t="s">
        <v>77</v>
      </c>
      <c r="C1048" t="s">
        <v>78</v>
      </c>
      <c r="D1048" t="str">
        <f t="shared" si="48"/>
        <v>Afternoon</v>
      </c>
      <c r="E1048">
        <f>HOUR(EV_Data[[#This Row],[Charging Start Time]])</f>
        <v>14</v>
      </c>
      <c r="F1048" s="1">
        <v>44970.583333333336</v>
      </c>
      <c r="G1048" s="1">
        <v>44970.607638888891</v>
      </c>
      <c r="H1048">
        <v>35</v>
      </c>
      <c r="I1048">
        <v>48.35</v>
      </c>
      <c r="J1048" t="str">
        <f t="shared" si="49"/>
        <v>Medium</v>
      </c>
      <c r="K1048" t="s">
        <v>42</v>
      </c>
      <c r="L1048">
        <v>6</v>
      </c>
      <c r="M1048">
        <v>16</v>
      </c>
      <c r="N1048" t="str">
        <f t="shared" si="50"/>
        <v>High Cost</v>
      </c>
      <c r="O1048">
        <v>19.7</v>
      </c>
      <c r="P1048" t="s">
        <v>64</v>
      </c>
      <c r="Q1048" t="s">
        <v>48</v>
      </c>
      <c r="R1048" t="s">
        <v>56</v>
      </c>
      <c r="S1048" t="s">
        <v>868</v>
      </c>
      <c r="T1048" t="s">
        <v>46</v>
      </c>
      <c r="U1048">
        <v>100</v>
      </c>
      <c r="V1048">
        <v>1.4</v>
      </c>
      <c r="W1048" t="s">
        <v>47</v>
      </c>
      <c r="X1048" t="s">
        <v>29</v>
      </c>
    </row>
    <row r="1049" spans="1:24" x14ac:dyDescent="0.3">
      <c r="A1049" t="s">
        <v>2325</v>
      </c>
      <c r="B1049" t="s">
        <v>126</v>
      </c>
      <c r="C1049" t="s">
        <v>31</v>
      </c>
      <c r="D1049" t="str">
        <f t="shared" si="48"/>
        <v>Afternoon</v>
      </c>
      <c r="E1049">
        <f>HOUR(EV_Data[[#This Row],[Charging Start Time]])</f>
        <v>15</v>
      </c>
      <c r="F1049" s="1">
        <v>44970.625</v>
      </c>
      <c r="G1049" s="1">
        <v>44970.691666666673</v>
      </c>
      <c r="H1049">
        <v>96</v>
      </c>
      <c r="I1049">
        <v>37.71</v>
      </c>
      <c r="J1049" t="str">
        <f t="shared" si="49"/>
        <v>Medium</v>
      </c>
      <c r="K1049" t="s">
        <v>50</v>
      </c>
      <c r="L1049">
        <v>64</v>
      </c>
      <c r="M1049">
        <v>84</v>
      </c>
      <c r="N1049" t="str">
        <f t="shared" si="50"/>
        <v>Medium Cost</v>
      </c>
      <c r="O1049">
        <v>9.74</v>
      </c>
      <c r="P1049" t="s">
        <v>64</v>
      </c>
      <c r="Q1049" t="s">
        <v>24</v>
      </c>
      <c r="R1049" t="s">
        <v>44</v>
      </c>
      <c r="S1049" t="s">
        <v>450</v>
      </c>
      <c r="T1049" t="s">
        <v>27</v>
      </c>
      <c r="U1049">
        <v>30</v>
      </c>
      <c r="V1049">
        <v>1.4</v>
      </c>
      <c r="W1049" t="s">
        <v>28</v>
      </c>
      <c r="X1049" t="s">
        <v>68</v>
      </c>
    </row>
    <row r="1050" spans="1:24" x14ac:dyDescent="0.3">
      <c r="A1050" t="s">
        <v>2326</v>
      </c>
      <c r="B1050" t="s">
        <v>92</v>
      </c>
      <c r="C1050" t="s">
        <v>93</v>
      </c>
      <c r="D1050" t="str">
        <f t="shared" si="48"/>
        <v>Afternoon</v>
      </c>
      <c r="E1050">
        <f>HOUR(EV_Data[[#This Row],[Charging Start Time]])</f>
        <v>16</v>
      </c>
      <c r="F1050" s="1">
        <v>44970.666666666664</v>
      </c>
      <c r="G1050" s="1">
        <v>44970.714583333327</v>
      </c>
      <c r="H1050">
        <v>69</v>
      </c>
      <c r="I1050">
        <v>39.26</v>
      </c>
      <c r="J1050" t="str">
        <f t="shared" si="49"/>
        <v>Medium</v>
      </c>
      <c r="K1050" t="s">
        <v>69</v>
      </c>
      <c r="L1050">
        <v>32</v>
      </c>
      <c r="M1050">
        <v>71</v>
      </c>
      <c r="N1050" t="str">
        <f t="shared" si="50"/>
        <v>High Cost</v>
      </c>
      <c r="O1050">
        <v>18.11</v>
      </c>
      <c r="P1050" t="s">
        <v>64</v>
      </c>
      <c r="Q1050" t="s">
        <v>34</v>
      </c>
      <c r="R1050" t="s">
        <v>35</v>
      </c>
      <c r="S1050" t="s">
        <v>813</v>
      </c>
      <c r="T1050" t="s">
        <v>37</v>
      </c>
      <c r="U1050">
        <v>46</v>
      </c>
      <c r="V1050">
        <v>1.4</v>
      </c>
      <c r="W1050" t="s">
        <v>28</v>
      </c>
      <c r="X1050" t="s">
        <v>68</v>
      </c>
    </row>
    <row r="1051" spans="1:24" x14ac:dyDescent="0.3">
      <c r="A1051" t="s">
        <v>2327</v>
      </c>
      <c r="B1051" t="s">
        <v>30</v>
      </c>
      <c r="C1051" t="s">
        <v>102</v>
      </c>
      <c r="D1051" t="str">
        <f t="shared" si="48"/>
        <v>Evening</v>
      </c>
      <c r="E1051">
        <f>HOUR(EV_Data[[#This Row],[Charging Start Time]])</f>
        <v>17</v>
      </c>
      <c r="F1051" s="1">
        <v>44970.708333333336</v>
      </c>
      <c r="G1051" s="1">
        <v>44970.763194444437</v>
      </c>
      <c r="H1051">
        <v>79</v>
      </c>
      <c r="I1051">
        <v>25.59</v>
      </c>
      <c r="J1051" t="str">
        <f t="shared" si="49"/>
        <v>Medium</v>
      </c>
      <c r="K1051" t="s">
        <v>32</v>
      </c>
      <c r="L1051">
        <v>42</v>
      </c>
      <c r="M1051">
        <v>68</v>
      </c>
      <c r="N1051" t="str">
        <f t="shared" si="50"/>
        <v>Medium Cost</v>
      </c>
      <c r="O1051">
        <v>11.37</v>
      </c>
      <c r="P1051" t="s">
        <v>33</v>
      </c>
      <c r="Q1051" t="s">
        <v>24</v>
      </c>
      <c r="R1051" t="s">
        <v>35</v>
      </c>
      <c r="S1051" t="s">
        <v>869</v>
      </c>
      <c r="T1051" t="s">
        <v>37</v>
      </c>
      <c r="U1051">
        <v>25</v>
      </c>
      <c r="V1051">
        <v>2.9</v>
      </c>
      <c r="W1051" t="s">
        <v>28</v>
      </c>
      <c r="X1051" t="s">
        <v>68</v>
      </c>
    </row>
    <row r="1052" spans="1:24" x14ac:dyDescent="0.3">
      <c r="A1052" t="s">
        <v>2328</v>
      </c>
      <c r="B1052" t="s">
        <v>77</v>
      </c>
      <c r="C1052" t="s">
        <v>78</v>
      </c>
      <c r="D1052" t="str">
        <f t="shared" si="48"/>
        <v>Evening</v>
      </c>
      <c r="E1052">
        <f>HOUR(EV_Data[[#This Row],[Charging Start Time]])</f>
        <v>18</v>
      </c>
      <c r="F1052" s="1">
        <v>44970.75</v>
      </c>
      <c r="G1052" s="1">
        <v>44970.798611111109</v>
      </c>
      <c r="H1052">
        <v>70</v>
      </c>
      <c r="I1052">
        <v>42.75</v>
      </c>
      <c r="J1052" t="str">
        <f t="shared" si="49"/>
        <v>Medium</v>
      </c>
      <c r="K1052" t="s">
        <v>55</v>
      </c>
      <c r="L1052">
        <v>23</v>
      </c>
      <c r="M1052">
        <v>34</v>
      </c>
      <c r="N1052" t="str">
        <f t="shared" si="50"/>
        <v>Medium Cost</v>
      </c>
      <c r="O1052">
        <v>8.89</v>
      </c>
      <c r="P1052" t="s">
        <v>23</v>
      </c>
      <c r="Q1052" t="s">
        <v>58</v>
      </c>
      <c r="R1052" t="s">
        <v>44</v>
      </c>
      <c r="S1052" t="s">
        <v>74</v>
      </c>
      <c r="T1052" t="s">
        <v>46</v>
      </c>
      <c r="U1052">
        <v>67</v>
      </c>
      <c r="V1052">
        <v>4.7</v>
      </c>
      <c r="W1052" t="s">
        <v>28</v>
      </c>
      <c r="X1052" t="s">
        <v>68</v>
      </c>
    </row>
    <row r="1053" spans="1:24" x14ac:dyDescent="0.3">
      <c r="A1053" t="s">
        <v>2329</v>
      </c>
      <c r="B1053" t="s">
        <v>30</v>
      </c>
      <c r="C1053" t="s">
        <v>102</v>
      </c>
      <c r="D1053" t="str">
        <f t="shared" si="48"/>
        <v>Evening</v>
      </c>
      <c r="E1053">
        <f>HOUR(EV_Data[[#This Row],[Charging Start Time]])</f>
        <v>19</v>
      </c>
      <c r="F1053" s="1">
        <v>44970.791666666664</v>
      </c>
      <c r="G1053" s="1">
        <v>44970.811111111107</v>
      </c>
      <c r="H1053">
        <v>28</v>
      </c>
      <c r="I1053">
        <v>30.16</v>
      </c>
      <c r="J1053" t="str">
        <f t="shared" si="49"/>
        <v>Medium</v>
      </c>
      <c r="K1053" t="s">
        <v>55</v>
      </c>
      <c r="L1053">
        <v>45</v>
      </c>
      <c r="M1053">
        <v>81</v>
      </c>
      <c r="N1053" t="str">
        <f t="shared" si="50"/>
        <v>Medium Cost</v>
      </c>
      <c r="O1053">
        <v>8.31</v>
      </c>
      <c r="P1053" t="s">
        <v>64</v>
      </c>
      <c r="Q1053" t="s">
        <v>58</v>
      </c>
      <c r="R1053" t="s">
        <v>25</v>
      </c>
      <c r="S1053" t="s">
        <v>870</v>
      </c>
      <c r="T1053" t="s">
        <v>46</v>
      </c>
      <c r="U1053">
        <v>17</v>
      </c>
      <c r="V1053">
        <v>4.3</v>
      </c>
      <c r="W1053" t="s">
        <v>47</v>
      </c>
      <c r="X1053" t="s">
        <v>29</v>
      </c>
    </row>
    <row r="1054" spans="1:24" x14ac:dyDescent="0.3">
      <c r="A1054" t="s">
        <v>2330</v>
      </c>
      <c r="B1054" t="s">
        <v>53</v>
      </c>
      <c r="C1054" t="s">
        <v>54</v>
      </c>
      <c r="D1054" t="str">
        <f t="shared" si="48"/>
        <v>Evening</v>
      </c>
      <c r="E1054">
        <f>HOUR(EV_Data[[#This Row],[Charging Start Time]])</f>
        <v>20</v>
      </c>
      <c r="F1054" s="1">
        <v>44970.833333333336</v>
      </c>
      <c r="G1054" s="1">
        <v>44970.859722222223</v>
      </c>
      <c r="H1054">
        <v>38</v>
      </c>
      <c r="I1054">
        <v>46.74</v>
      </c>
      <c r="J1054" t="str">
        <f t="shared" si="49"/>
        <v>Medium</v>
      </c>
      <c r="K1054" t="s">
        <v>42</v>
      </c>
      <c r="L1054">
        <v>55</v>
      </c>
      <c r="M1054">
        <v>70</v>
      </c>
      <c r="N1054" t="str">
        <f t="shared" si="50"/>
        <v>Medium Cost</v>
      </c>
      <c r="O1054">
        <v>15.67</v>
      </c>
      <c r="P1054" t="s">
        <v>64</v>
      </c>
      <c r="Q1054" t="s">
        <v>34</v>
      </c>
      <c r="R1054" t="s">
        <v>25</v>
      </c>
      <c r="S1054" t="s">
        <v>570</v>
      </c>
      <c r="T1054" t="s">
        <v>46</v>
      </c>
      <c r="U1054">
        <v>16</v>
      </c>
      <c r="V1054">
        <v>3</v>
      </c>
      <c r="W1054" t="s">
        <v>38</v>
      </c>
      <c r="X1054" t="s">
        <v>39</v>
      </c>
    </row>
    <row r="1055" spans="1:24" x14ac:dyDescent="0.3">
      <c r="A1055" t="s">
        <v>2331</v>
      </c>
      <c r="B1055" t="s">
        <v>126</v>
      </c>
      <c r="C1055" t="s">
        <v>31</v>
      </c>
      <c r="D1055" t="str">
        <f t="shared" si="48"/>
        <v>Evening</v>
      </c>
      <c r="E1055">
        <f>HOUR(EV_Data[[#This Row],[Charging Start Time]])</f>
        <v>21</v>
      </c>
      <c r="F1055" s="1">
        <v>44970.875</v>
      </c>
      <c r="G1055" s="1">
        <v>44970.915277777778</v>
      </c>
      <c r="H1055">
        <v>58</v>
      </c>
      <c r="I1055">
        <v>17.95</v>
      </c>
      <c r="J1055" t="str">
        <f t="shared" si="49"/>
        <v>Low</v>
      </c>
      <c r="K1055" t="s">
        <v>55</v>
      </c>
      <c r="L1055">
        <v>72</v>
      </c>
      <c r="M1055">
        <v>85</v>
      </c>
      <c r="N1055" t="str">
        <f t="shared" si="50"/>
        <v>Low Cost</v>
      </c>
      <c r="O1055">
        <v>4.53</v>
      </c>
      <c r="P1055" t="s">
        <v>33</v>
      </c>
      <c r="Q1055" t="s">
        <v>48</v>
      </c>
      <c r="R1055" t="s">
        <v>35</v>
      </c>
      <c r="S1055" t="s">
        <v>636</v>
      </c>
      <c r="T1055" t="s">
        <v>46</v>
      </c>
      <c r="U1055">
        <v>27</v>
      </c>
      <c r="V1055">
        <v>3</v>
      </c>
      <c r="W1055" t="s">
        <v>47</v>
      </c>
      <c r="X1055" t="s">
        <v>29</v>
      </c>
    </row>
    <row r="1056" spans="1:24" x14ac:dyDescent="0.3">
      <c r="A1056" t="s">
        <v>2332</v>
      </c>
      <c r="B1056" t="s">
        <v>53</v>
      </c>
      <c r="C1056" t="s">
        <v>54</v>
      </c>
      <c r="D1056" t="str">
        <f t="shared" si="48"/>
        <v>Evening</v>
      </c>
      <c r="E1056">
        <f>HOUR(EV_Data[[#This Row],[Charging Start Time]])</f>
        <v>22</v>
      </c>
      <c r="F1056" s="1">
        <v>44970.916666666664</v>
      </c>
      <c r="G1056" s="1">
        <v>44970.943055555559</v>
      </c>
      <c r="H1056">
        <v>38</v>
      </c>
      <c r="I1056">
        <v>10.09</v>
      </c>
      <c r="J1056" t="str">
        <f t="shared" si="49"/>
        <v>Low</v>
      </c>
      <c r="K1056" t="s">
        <v>69</v>
      </c>
      <c r="L1056">
        <v>10</v>
      </c>
      <c r="M1056">
        <v>50</v>
      </c>
      <c r="N1056" t="str">
        <f t="shared" si="50"/>
        <v>Low Cost</v>
      </c>
      <c r="O1056">
        <v>2.4</v>
      </c>
      <c r="P1056" t="s">
        <v>64</v>
      </c>
      <c r="Q1056" t="s">
        <v>58</v>
      </c>
      <c r="R1056" t="s">
        <v>35</v>
      </c>
      <c r="S1056" t="s">
        <v>851</v>
      </c>
      <c r="T1056" t="s">
        <v>60</v>
      </c>
      <c r="U1056">
        <v>64</v>
      </c>
      <c r="V1056">
        <v>2.2999999999999998</v>
      </c>
      <c r="W1056" t="s">
        <v>28</v>
      </c>
      <c r="X1056" t="s">
        <v>68</v>
      </c>
    </row>
    <row r="1057" spans="1:24" x14ac:dyDescent="0.3">
      <c r="A1057" t="s">
        <v>2333</v>
      </c>
      <c r="B1057" t="s">
        <v>126</v>
      </c>
      <c r="C1057" t="s">
        <v>31</v>
      </c>
      <c r="D1057" t="str">
        <f t="shared" si="48"/>
        <v>Evening</v>
      </c>
      <c r="E1057">
        <f>HOUR(EV_Data[[#This Row],[Charging Start Time]])</f>
        <v>23</v>
      </c>
      <c r="F1057" s="1">
        <v>44970.958333333336</v>
      </c>
      <c r="G1057" s="1">
        <v>44971.000694444447</v>
      </c>
      <c r="H1057">
        <v>61</v>
      </c>
      <c r="I1057">
        <v>36.65</v>
      </c>
      <c r="J1057" t="str">
        <f t="shared" si="49"/>
        <v>Medium</v>
      </c>
      <c r="K1057" t="s">
        <v>55</v>
      </c>
      <c r="L1057">
        <v>60</v>
      </c>
      <c r="M1057">
        <v>98</v>
      </c>
      <c r="N1057" t="str">
        <f t="shared" si="50"/>
        <v>Medium Cost</v>
      </c>
      <c r="O1057">
        <v>12.66</v>
      </c>
      <c r="P1057" t="s">
        <v>51</v>
      </c>
      <c r="Q1057" t="s">
        <v>48</v>
      </c>
      <c r="R1057" t="s">
        <v>25</v>
      </c>
      <c r="S1057" t="s">
        <v>871</v>
      </c>
      <c r="T1057" t="s">
        <v>60</v>
      </c>
      <c r="U1057">
        <v>40</v>
      </c>
      <c r="V1057">
        <v>1</v>
      </c>
      <c r="W1057" t="s">
        <v>28</v>
      </c>
      <c r="X1057" t="s">
        <v>68</v>
      </c>
    </row>
    <row r="1058" spans="1:24" x14ac:dyDescent="0.3">
      <c r="A1058" t="s">
        <v>2334</v>
      </c>
      <c r="B1058" t="s">
        <v>40</v>
      </c>
      <c r="C1058" t="s">
        <v>41</v>
      </c>
      <c r="D1058" t="str">
        <f t="shared" si="48"/>
        <v>Morning</v>
      </c>
      <c r="E1058">
        <f>HOUR(EV_Data[[#This Row],[Charging Start Time]])</f>
        <v>0</v>
      </c>
      <c r="F1058" s="1">
        <v>44971</v>
      </c>
      <c r="G1058" s="1">
        <v>44971.038194444453</v>
      </c>
      <c r="H1058">
        <v>55</v>
      </c>
      <c r="I1058">
        <v>10.34</v>
      </c>
      <c r="J1058" t="str">
        <f t="shared" si="49"/>
        <v>Low</v>
      </c>
      <c r="K1058" t="s">
        <v>42</v>
      </c>
      <c r="L1058">
        <v>27</v>
      </c>
      <c r="M1058">
        <v>50</v>
      </c>
      <c r="N1058" t="str">
        <f t="shared" si="50"/>
        <v>Low Cost</v>
      </c>
      <c r="O1058">
        <v>2.65</v>
      </c>
      <c r="P1058" t="s">
        <v>64</v>
      </c>
      <c r="Q1058" t="s">
        <v>58</v>
      </c>
      <c r="R1058" t="s">
        <v>44</v>
      </c>
      <c r="S1058" t="s">
        <v>872</v>
      </c>
      <c r="T1058" t="s">
        <v>60</v>
      </c>
      <c r="U1058">
        <v>7</v>
      </c>
      <c r="V1058">
        <v>2.9</v>
      </c>
      <c r="W1058" t="s">
        <v>38</v>
      </c>
      <c r="X1058" t="s">
        <v>85</v>
      </c>
    </row>
    <row r="1059" spans="1:24" x14ac:dyDescent="0.3">
      <c r="A1059" t="s">
        <v>2335</v>
      </c>
      <c r="B1059" t="s">
        <v>126</v>
      </c>
      <c r="C1059" t="s">
        <v>31</v>
      </c>
      <c r="D1059" t="str">
        <f t="shared" si="48"/>
        <v>Morning</v>
      </c>
      <c r="E1059">
        <f>HOUR(EV_Data[[#This Row],[Charging Start Time]])</f>
        <v>1</v>
      </c>
      <c r="F1059" s="1">
        <v>44971.041666666664</v>
      </c>
      <c r="G1059" s="1">
        <v>44971.077777777777</v>
      </c>
      <c r="H1059">
        <v>52</v>
      </c>
      <c r="I1059">
        <v>31.92</v>
      </c>
      <c r="J1059" t="str">
        <f t="shared" si="49"/>
        <v>Medium</v>
      </c>
      <c r="K1059" t="s">
        <v>50</v>
      </c>
      <c r="L1059">
        <v>20</v>
      </c>
      <c r="M1059">
        <v>53</v>
      </c>
      <c r="N1059" t="str">
        <f t="shared" si="50"/>
        <v>Medium Cost</v>
      </c>
      <c r="O1059">
        <v>12.92</v>
      </c>
      <c r="P1059" t="s">
        <v>64</v>
      </c>
      <c r="Q1059" t="s">
        <v>48</v>
      </c>
      <c r="R1059" t="s">
        <v>44</v>
      </c>
      <c r="S1059" t="s">
        <v>873</v>
      </c>
      <c r="T1059" t="s">
        <v>46</v>
      </c>
      <c r="U1059">
        <v>30</v>
      </c>
      <c r="V1059">
        <v>2.4</v>
      </c>
      <c r="W1059" t="s">
        <v>28</v>
      </c>
      <c r="X1059" t="s">
        <v>68</v>
      </c>
    </row>
    <row r="1060" spans="1:24" x14ac:dyDescent="0.3">
      <c r="A1060" t="s">
        <v>2336</v>
      </c>
      <c r="B1060" t="s">
        <v>92</v>
      </c>
      <c r="C1060" t="s">
        <v>93</v>
      </c>
      <c r="D1060" t="str">
        <f t="shared" si="48"/>
        <v>Morning</v>
      </c>
      <c r="E1060">
        <f>HOUR(EV_Data[[#This Row],[Charging Start Time]])</f>
        <v>2</v>
      </c>
      <c r="F1060" s="1">
        <v>44971.083333333336</v>
      </c>
      <c r="G1060" s="1">
        <v>44971.084027777782</v>
      </c>
      <c r="H1060">
        <v>1</v>
      </c>
      <c r="I1060">
        <v>6.88</v>
      </c>
      <c r="J1060" t="str">
        <f t="shared" si="49"/>
        <v>Low</v>
      </c>
      <c r="K1060" t="s">
        <v>42</v>
      </c>
      <c r="L1060">
        <v>47</v>
      </c>
      <c r="M1060">
        <v>80</v>
      </c>
      <c r="N1060" t="str">
        <f t="shared" si="50"/>
        <v>Low Cost</v>
      </c>
      <c r="O1060">
        <v>2.72</v>
      </c>
      <c r="P1060" t="s">
        <v>64</v>
      </c>
      <c r="Q1060" t="s">
        <v>34</v>
      </c>
      <c r="R1060" t="s">
        <v>56</v>
      </c>
      <c r="S1060" t="s">
        <v>874</v>
      </c>
      <c r="T1060" t="s">
        <v>60</v>
      </c>
      <c r="U1060">
        <v>21</v>
      </c>
      <c r="V1060">
        <v>3.2</v>
      </c>
      <c r="W1060" t="s">
        <v>38</v>
      </c>
      <c r="X1060" t="s">
        <v>39</v>
      </c>
    </row>
    <row r="1061" spans="1:24" x14ac:dyDescent="0.3">
      <c r="A1061" t="s">
        <v>2337</v>
      </c>
      <c r="B1061" t="s">
        <v>126</v>
      </c>
      <c r="C1061" t="s">
        <v>31</v>
      </c>
      <c r="D1061" t="str">
        <f t="shared" si="48"/>
        <v>Morning</v>
      </c>
      <c r="E1061">
        <f>HOUR(EV_Data[[#This Row],[Charging Start Time]])</f>
        <v>3</v>
      </c>
      <c r="F1061" s="1">
        <v>44971.125</v>
      </c>
      <c r="G1061" s="1">
        <v>44971.207638888889</v>
      </c>
      <c r="H1061">
        <v>119</v>
      </c>
      <c r="I1061">
        <v>42.82</v>
      </c>
      <c r="J1061" t="str">
        <f t="shared" si="49"/>
        <v>Medium</v>
      </c>
      <c r="K1061" t="s">
        <v>50</v>
      </c>
      <c r="L1061">
        <v>12</v>
      </c>
      <c r="M1061">
        <v>25</v>
      </c>
      <c r="N1061" t="str">
        <f t="shared" si="50"/>
        <v>High Cost</v>
      </c>
      <c r="O1061">
        <v>18.7</v>
      </c>
      <c r="P1061" t="s">
        <v>23</v>
      </c>
      <c r="Q1061" t="s">
        <v>34</v>
      </c>
      <c r="R1061" t="s">
        <v>25</v>
      </c>
      <c r="S1061" t="s">
        <v>801</v>
      </c>
      <c r="T1061" t="s">
        <v>60</v>
      </c>
      <c r="U1061">
        <v>69</v>
      </c>
      <c r="V1061">
        <v>3.2</v>
      </c>
      <c r="W1061" t="s">
        <v>28</v>
      </c>
      <c r="X1061" t="s">
        <v>68</v>
      </c>
    </row>
    <row r="1062" spans="1:24" x14ac:dyDescent="0.3">
      <c r="A1062" t="s">
        <v>2338</v>
      </c>
      <c r="B1062" t="s">
        <v>92</v>
      </c>
      <c r="C1062" t="s">
        <v>93</v>
      </c>
      <c r="D1062" t="str">
        <f t="shared" si="48"/>
        <v>Morning</v>
      </c>
      <c r="E1062">
        <f>HOUR(EV_Data[[#This Row],[Charging Start Time]])</f>
        <v>4</v>
      </c>
      <c r="F1062" s="1">
        <v>44971.166666666664</v>
      </c>
      <c r="G1062" s="1">
        <v>44971.201388888891</v>
      </c>
      <c r="H1062">
        <v>50</v>
      </c>
      <c r="I1062">
        <v>22.19</v>
      </c>
      <c r="J1062" t="str">
        <f t="shared" si="49"/>
        <v>Medium</v>
      </c>
      <c r="K1062" t="s">
        <v>32</v>
      </c>
      <c r="L1062">
        <v>10</v>
      </c>
      <c r="M1062">
        <v>41</v>
      </c>
      <c r="N1062" t="str">
        <f t="shared" si="50"/>
        <v>Medium Cost</v>
      </c>
      <c r="O1062">
        <v>11.09</v>
      </c>
      <c r="P1062" t="s">
        <v>64</v>
      </c>
      <c r="Q1062" t="s">
        <v>34</v>
      </c>
      <c r="R1062" t="s">
        <v>35</v>
      </c>
      <c r="S1062" t="s">
        <v>462</v>
      </c>
      <c r="T1062" t="s">
        <v>60</v>
      </c>
      <c r="U1062">
        <v>63</v>
      </c>
      <c r="V1062">
        <v>4.2</v>
      </c>
      <c r="W1062" t="s">
        <v>47</v>
      </c>
      <c r="X1062" t="s">
        <v>29</v>
      </c>
    </row>
    <row r="1063" spans="1:24" x14ac:dyDescent="0.3">
      <c r="A1063" t="s">
        <v>2339</v>
      </c>
      <c r="B1063" t="s">
        <v>20</v>
      </c>
      <c r="C1063" t="s">
        <v>21</v>
      </c>
      <c r="D1063" t="str">
        <f t="shared" si="48"/>
        <v>Morning</v>
      </c>
      <c r="E1063">
        <f>HOUR(EV_Data[[#This Row],[Charging Start Time]])</f>
        <v>5</v>
      </c>
      <c r="F1063" s="1">
        <v>44971.208333333336</v>
      </c>
      <c r="G1063" s="1">
        <v>44971.226388888892</v>
      </c>
      <c r="H1063">
        <v>26</v>
      </c>
      <c r="I1063">
        <v>42.63</v>
      </c>
      <c r="J1063" t="str">
        <f t="shared" si="49"/>
        <v>Medium</v>
      </c>
      <c r="K1063" t="s">
        <v>22</v>
      </c>
      <c r="L1063">
        <v>47</v>
      </c>
      <c r="M1063">
        <v>82</v>
      </c>
      <c r="N1063" t="str">
        <f t="shared" si="50"/>
        <v>Medium Cost</v>
      </c>
      <c r="O1063">
        <v>12.22</v>
      </c>
      <c r="P1063" t="s">
        <v>43</v>
      </c>
      <c r="Q1063" t="s">
        <v>24</v>
      </c>
      <c r="R1063" t="s">
        <v>25</v>
      </c>
      <c r="S1063" t="s">
        <v>875</v>
      </c>
      <c r="T1063" t="s">
        <v>46</v>
      </c>
      <c r="U1063">
        <v>6</v>
      </c>
      <c r="V1063">
        <v>3.2</v>
      </c>
      <c r="W1063" t="s">
        <v>28</v>
      </c>
      <c r="X1063" t="s">
        <v>68</v>
      </c>
    </row>
    <row r="1064" spans="1:24" x14ac:dyDescent="0.3">
      <c r="A1064" t="s">
        <v>2340</v>
      </c>
      <c r="B1064" t="s">
        <v>53</v>
      </c>
      <c r="C1064" t="s">
        <v>54</v>
      </c>
      <c r="D1064" t="str">
        <f t="shared" si="48"/>
        <v>Morning</v>
      </c>
      <c r="E1064">
        <f>HOUR(EV_Data[[#This Row],[Charging Start Time]])</f>
        <v>6</v>
      </c>
      <c r="F1064" s="1">
        <v>44971.25</v>
      </c>
      <c r="G1064" s="1">
        <v>44971.271527777782</v>
      </c>
      <c r="H1064">
        <v>31</v>
      </c>
      <c r="I1064">
        <v>5.54</v>
      </c>
      <c r="J1064" t="str">
        <f t="shared" si="49"/>
        <v>Low</v>
      </c>
      <c r="K1064" t="s">
        <v>42</v>
      </c>
      <c r="L1064">
        <v>78</v>
      </c>
      <c r="M1064">
        <v>100</v>
      </c>
      <c r="N1064" t="str">
        <f t="shared" si="50"/>
        <v>Low Cost</v>
      </c>
      <c r="O1064">
        <v>1.59</v>
      </c>
      <c r="P1064" t="s">
        <v>23</v>
      </c>
      <c r="Q1064" t="s">
        <v>34</v>
      </c>
      <c r="R1064" t="s">
        <v>56</v>
      </c>
      <c r="S1064" t="s">
        <v>730</v>
      </c>
      <c r="T1064" t="s">
        <v>60</v>
      </c>
      <c r="U1064">
        <v>57</v>
      </c>
      <c r="V1064">
        <v>1.9</v>
      </c>
      <c r="W1064" t="s">
        <v>38</v>
      </c>
      <c r="X1064" t="s">
        <v>62</v>
      </c>
    </row>
    <row r="1065" spans="1:24" x14ac:dyDescent="0.3">
      <c r="A1065" t="s">
        <v>2341</v>
      </c>
      <c r="B1065" t="s">
        <v>30</v>
      </c>
      <c r="C1065" t="s">
        <v>102</v>
      </c>
      <c r="D1065" t="str">
        <f t="shared" si="48"/>
        <v>Morning</v>
      </c>
      <c r="E1065">
        <f>HOUR(EV_Data[[#This Row],[Charging Start Time]])</f>
        <v>7</v>
      </c>
      <c r="F1065" s="1">
        <v>44971.291666666664</v>
      </c>
      <c r="G1065" s="1">
        <v>44971.302777777782</v>
      </c>
      <c r="H1065">
        <v>16</v>
      </c>
      <c r="I1065">
        <v>37.46</v>
      </c>
      <c r="J1065" t="str">
        <f t="shared" si="49"/>
        <v>Medium</v>
      </c>
      <c r="K1065" t="s">
        <v>50</v>
      </c>
      <c r="L1065">
        <v>46</v>
      </c>
      <c r="M1065">
        <v>78</v>
      </c>
      <c r="N1065" t="str">
        <f t="shared" si="50"/>
        <v>Medium Cost</v>
      </c>
      <c r="O1065">
        <v>14.4</v>
      </c>
      <c r="P1065" t="s">
        <v>43</v>
      </c>
      <c r="Q1065" t="s">
        <v>58</v>
      </c>
      <c r="R1065" t="s">
        <v>56</v>
      </c>
      <c r="S1065" t="s">
        <v>233</v>
      </c>
      <c r="T1065" t="s">
        <v>37</v>
      </c>
      <c r="U1065">
        <v>53</v>
      </c>
      <c r="V1065">
        <v>4.9000000000000004</v>
      </c>
      <c r="W1065" t="s">
        <v>38</v>
      </c>
      <c r="X1065" t="s">
        <v>85</v>
      </c>
    </row>
    <row r="1066" spans="1:24" x14ac:dyDescent="0.3">
      <c r="A1066" t="s">
        <v>2342</v>
      </c>
      <c r="B1066" t="s">
        <v>92</v>
      </c>
      <c r="C1066" t="s">
        <v>93</v>
      </c>
      <c r="D1066" t="str">
        <f t="shared" si="48"/>
        <v>Morning</v>
      </c>
      <c r="E1066">
        <f>HOUR(EV_Data[[#This Row],[Charging Start Time]])</f>
        <v>8</v>
      </c>
      <c r="F1066" s="1">
        <v>44971.333333333336</v>
      </c>
      <c r="G1066" s="1">
        <v>44971.359027777777</v>
      </c>
      <c r="H1066">
        <v>37</v>
      </c>
      <c r="I1066">
        <v>34.78</v>
      </c>
      <c r="J1066" t="str">
        <f t="shared" si="49"/>
        <v>Medium</v>
      </c>
      <c r="K1066" t="s">
        <v>42</v>
      </c>
      <c r="L1066">
        <v>79</v>
      </c>
      <c r="M1066">
        <v>90</v>
      </c>
      <c r="N1066" t="str">
        <f t="shared" si="50"/>
        <v>Medium Cost</v>
      </c>
      <c r="O1066">
        <v>15.3</v>
      </c>
      <c r="P1066" t="s">
        <v>33</v>
      </c>
      <c r="Q1066" t="s">
        <v>48</v>
      </c>
      <c r="R1066" t="s">
        <v>56</v>
      </c>
      <c r="S1066" t="s">
        <v>876</v>
      </c>
      <c r="T1066" t="s">
        <v>37</v>
      </c>
      <c r="U1066">
        <v>50</v>
      </c>
      <c r="V1066">
        <v>2.5</v>
      </c>
      <c r="W1066" t="s">
        <v>47</v>
      </c>
      <c r="X1066" t="s">
        <v>29</v>
      </c>
    </row>
    <row r="1067" spans="1:24" x14ac:dyDescent="0.3">
      <c r="A1067" t="s">
        <v>2343</v>
      </c>
      <c r="B1067" t="s">
        <v>77</v>
      </c>
      <c r="C1067" t="s">
        <v>78</v>
      </c>
      <c r="D1067" t="str">
        <f t="shared" si="48"/>
        <v>Morning</v>
      </c>
      <c r="E1067">
        <f>HOUR(EV_Data[[#This Row],[Charging Start Time]])</f>
        <v>9</v>
      </c>
      <c r="F1067" s="1">
        <v>44971.375</v>
      </c>
      <c r="G1067" s="1">
        <v>44971.415972222218</v>
      </c>
      <c r="H1067">
        <v>59</v>
      </c>
      <c r="I1067">
        <v>34.270000000000003</v>
      </c>
      <c r="J1067" t="str">
        <f t="shared" si="49"/>
        <v>Medium</v>
      </c>
      <c r="K1067" t="s">
        <v>22</v>
      </c>
      <c r="L1067">
        <v>43</v>
      </c>
      <c r="M1067">
        <v>79</v>
      </c>
      <c r="N1067" t="str">
        <f t="shared" si="50"/>
        <v>Medium Cost</v>
      </c>
      <c r="O1067">
        <v>8.8800000000000008</v>
      </c>
      <c r="P1067" t="s">
        <v>33</v>
      </c>
      <c r="Q1067" t="s">
        <v>58</v>
      </c>
      <c r="R1067" t="s">
        <v>56</v>
      </c>
      <c r="S1067" t="s">
        <v>454</v>
      </c>
      <c r="T1067" t="s">
        <v>60</v>
      </c>
      <c r="U1067">
        <v>5</v>
      </c>
      <c r="V1067">
        <v>4</v>
      </c>
      <c r="W1067" t="s">
        <v>47</v>
      </c>
      <c r="X1067" t="s">
        <v>29</v>
      </c>
    </row>
    <row r="1068" spans="1:24" x14ac:dyDescent="0.3">
      <c r="A1068" t="s">
        <v>2344</v>
      </c>
      <c r="B1068" t="s">
        <v>126</v>
      </c>
      <c r="C1068" t="s">
        <v>31</v>
      </c>
      <c r="D1068" t="str">
        <f t="shared" si="48"/>
        <v>Morning</v>
      </c>
      <c r="E1068">
        <f>HOUR(EV_Data[[#This Row],[Charging Start Time]])</f>
        <v>10</v>
      </c>
      <c r="F1068" s="1">
        <v>44971.416666666664</v>
      </c>
      <c r="G1068" s="1">
        <v>44971.45208333333</v>
      </c>
      <c r="H1068">
        <v>51</v>
      </c>
      <c r="I1068">
        <v>33.020000000000003</v>
      </c>
      <c r="J1068" t="str">
        <f t="shared" si="49"/>
        <v>Medium</v>
      </c>
      <c r="K1068" t="s">
        <v>22</v>
      </c>
      <c r="L1068">
        <v>50</v>
      </c>
      <c r="M1068">
        <v>90</v>
      </c>
      <c r="N1068" t="str">
        <f t="shared" si="50"/>
        <v>Medium Cost</v>
      </c>
      <c r="O1068">
        <v>10.79</v>
      </c>
      <c r="P1068" t="s">
        <v>43</v>
      </c>
      <c r="Q1068" t="s">
        <v>58</v>
      </c>
      <c r="R1068" t="s">
        <v>25</v>
      </c>
      <c r="S1068" t="s">
        <v>318</v>
      </c>
      <c r="T1068" t="s">
        <v>46</v>
      </c>
      <c r="U1068">
        <v>35</v>
      </c>
      <c r="V1068">
        <v>3.2</v>
      </c>
      <c r="W1068" t="s">
        <v>38</v>
      </c>
      <c r="X1068" t="s">
        <v>83</v>
      </c>
    </row>
    <row r="1069" spans="1:24" x14ac:dyDescent="0.3">
      <c r="A1069" t="s">
        <v>2345</v>
      </c>
      <c r="B1069" t="s">
        <v>92</v>
      </c>
      <c r="C1069" t="s">
        <v>93</v>
      </c>
      <c r="D1069" t="str">
        <f t="shared" si="48"/>
        <v>Morning</v>
      </c>
      <c r="E1069">
        <f>HOUR(EV_Data[[#This Row],[Charging Start Time]])</f>
        <v>11</v>
      </c>
      <c r="F1069" s="1">
        <v>44971.458333333336</v>
      </c>
      <c r="G1069" s="1">
        <v>44971.535416666673</v>
      </c>
      <c r="H1069">
        <v>111</v>
      </c>
      <c r="I1069">
        <v>7.64</v>
      </c>
      <c r="J1069" t="str">
        <f t="shared" si="49"/>
        <v>Low</v>
      </c>
      <c r="K1069" t="s">
        <v>32</v>
      </c>
      <c r="L1069">
        <v>6</v>
      </c>
      <c r="M1069">
        <v>26</v>
      </c>
      <c r="N1069" t="str">
        <f t="shared" si="50"/>
        <v>Low Cost</v>
      </c>
      <c r="O1069">
        <v>2.2599999999999998</v>
      </c>
      <c r="P1069" t="s">
        <v>43</v>
      </c>
      <c r="Q1069" t="s">
        <v>58</v>
      </c>
      <c r="R1069" t="s">
        <v>44</v>
      </c>
      <c r="S1069" t="s">
        <v>535</v>
      </c>
      <c r="T1069" t="s">
        <v>60</v>
      </c>
      <c r="U1069">
        <v>23</v>
      </c>
      <c r="V1069">
        <v>5</v>
      </c>
      <c r="W1069" t="s">
        <v>38</v>
      </c>
      <c r="X1069" t="s">
        <v>62</v>
      </c>
    </row>
    <row r="1070" spans="1:24" x14ac:dyDescent="0.3">
      <c r="A1070" t="s">
        <v>2346</v>
      </c>
      <c r="B1070" t="s">
        <v>92</v>
      </c>
      <c r="C1070" t="s">
        <v>93</v>
      </c>
      <c r="D1070" t="str">
        <f t="shared" si="48"/>
        <v>Afternoon</v>
      </c>
      <c r="E1070">
        <f>HOUR(EV_Data[[#This Row],[Charging Start Time]])</f>
        <v>12</v>
      </c>
      <c r="F1070" s="1">
        <v>44971.5</v>
      </c>
      <c r="G1070" s="1">
        <v>44971.543749999997</v>
      </c>
      <c r="H1070">
        <v>63</v>
      </c>
      <c r="I1070">
        <v>25.66</v>
      </c>
      <c r="J1070" t="str">
        <f t="shared" si="49"/>
        <v>Medium</v>
      </c>
      <c r="K1070" t="s">
        <v>55</v>
      </c>
      <c r="L1070">
        <v>49</v>
      </c>
      <c r="M1070">
        <v>65</v>
      </c>
      <c r="N1070" t="str">
        <f t="shared" si="50"/>
        <v>Medium Cost</v>
      </c>
      <c r="O1070">
        <v>10.199999999999999</v>
      </c>
      <c r="P1070" t="s">
        <v>51</v>
      </c>
      <c r="Q1070" t="s">
        <v>58</v>
      </c>
      <c r="R1070" t="s">
        <v>56</v>
      </c>
      <c r="S1070" t="s">
        <v>747</v>
      </c>
      <c r="T1070" t="s">
        <v>37</v>
      </c>
      <c r="U1070">
        <v>22</v>
      </c>
      <c r="V1070">
        <v>2.2000000000000002</v>
      </c>
      <c r="W1070" t="s">
        <v>47</v>
      </c>
      <c r="X1070" t="s">
        <v>29</v>
      </c>
    </row>
    <row r="1071" spans="1:24" x14ac:dyDescent="0.3">
      <c r="A1071" t="s">
        <v>2347</v>
      </c>
      <c r="B1071" t="s">
        <v>30</v>
      </c>
      <c r="C1071" t="s">
        <v>102</v>
      </c>
      <c r="D1071" t="str">
        <f t="shared" si="48"/>
        <v>Afternoon</v>
      </c>
      <c r="E1071">
        <f>HOUR(EV_Data[[#This Row],[Charging Start Time]])</f>
        <v>13</v>
      </c>
      <c r="F1071" s="1">
        <v>44971.541666666664</v>
      </c>
      <c r="G1071" s="1">
        <v>44971.586805555547</v>
      </c>
      <c r="H1071">
        <v>65</v>
      </c>
      <c r="I1071">
        <v>10.38</v>
      </c>
      <c r="J1071" t="str">
        <f t="shared" si="49"/>
        <v>Low</v>
      </c>
      <c r="K1071" t="s">
        <v>22</v>
      </c>
      <c r="L1071">
        <v>78</v>
      </c>
      <c r="M1071">
        <v>100</v>
      </c>
      <c r="N1071" t="str">
        <f t="shared" si="50"/>
        <v>Low Cost</v>
      </c>
      <c r="O1071">
        <v>3.11</v>
      </c>
      <c r="P1071" t="s">
        <v>64</v>
      </c>
      <c r="Q1071" t="s">
        <v>24</v>
      </c>
      <c r="R1071" t="s">
        <v>25</v>
      </c>
      <c r="S1071" t="s">
        <v>877</v>
      </c>
      <c r="T1071" t="s">
        <v>60</v>
      </c>
      <c r="U1071">
        <v>13</v>
      </c>
      <c r="V1071">
        <v>4</v>
      </c>
      <c r="W1071" t="s">
        <v>28</v>
      </c>
      <c r="X1071" t="s">
        <v>68</v>
      </c>
    </row>
    <row r="1072" spans="1:24" x14ac:dyDescent="0.3">
      <c r="A1072" t="s">
        <v>2348</v>
      </c>
      <c r="B1072" t="s">
        <v>92</v>
      </c>
      <c r="C1072" t="s">
        <v>93</v>
      </c>
      <c r="D1072" t="str">
        <f t="shared" si="48"/>
        <v>Afternoon</v>
      </c>
      <c r="E1072">
        <f>HOUR(EV_Data[[#This Row],[Charging Start Time]])</f>
        <v>14</v>
      </c>
      <c r="F1072" s="1">
        <v>44971.583333333336</v>
      </c>
      <c r="G1072" s="1">
        <v>44971.629166666673</v>
      </c>
      <c r="H1072">
        <v>66</v>
      </c>
      <c r="I1072">
        <v>37.090000000000003</v>
      </c>
      <c r="J1072" t="str">
        <f t="shared" si="49"/>
        <v>Medium</v>
      </c>
      <c r="K1072" t="s">
        <v>55</v>
      </c>
      <c r="L1072">
        <v>63</v>
      </c>
      <c r="M1072">
        <v>86</v>
      </c>
      <c r="N1072" t="str">
        <f t="shared" si="50"/>
        <v>Medium Cost</v>
      </c>
      <c r="O1072">
        <v>12.22</v>
      </c>
      <c r="P1072" t="s">
        <v>33</v>
      </c>
      <c r="Q1072" t="s">
        <v>24</v>
      </c>
      <c r="R1072" t="s">
        <v>44</v>
      </c>
      <c r="S1072" t="s">
        <v>878</v>
      </c>
      <c r="T1072" t="s">
        <v>37</v>
      </c>
      <c r="U1072">
        <v>73</v>
      </c>
      <c r="V1072">
        <v>1.3</v>
      </c>
      <c r="W1072" t="s">
        <v>28</v>
      </c>
      <c r="X1072" t="s">
        <v>68</v>
      </c>
    </row>
    <row r="1073" spans="1:24" x14ac:dyDescent="0.3">
      <c r="A1073" t="s">
        <v>2349</v>
      </c>
      <c r="B1073" t="s">
        <v>53</v>
      </c>
      <c r="C1073" t="s">
        <v>54</v>
      </c>
      <c r="D1073" t="str">
        <f t="shared" si="48"/>
        <v>Afternoon</v>
      </c>
      <c r="E1073">
        <f>HOUR(EV_Data[[#This Row],[Charging Start Time]])</f>
        <v>15</v>
      </c>
      <c r="F1073" s="1">
        <v>44971.625</v>
      </c>
      <c r="G1073" s="1">
        <v>44971.664583333331</v>
      </c>
      <c r="H1073">
        <v>57</v>
      </c>
      <c r="I1073">
        <v>35.85</v>
      </c>
      <c r="J1073" t="str">
        <f t="shared" si="49"/>
        <v>Medium</v>
      </c>
      <c r="K1073" t="s">
        <v>32</v>
      </c>
      <c r="L1073">
        <v>43</v>
      </c>
      <c r="M1073">
        <v>60</v>
      </c>
      <c r="N1073" t="str">
        <f t="shared" si="50"/>
        <v>Medium Cost</v>
      </c>
      <c r="O1073">
        <v>16.350000000000001</v>
      </c>
      <c r="P1073" t="s">
        <v>64</v>
      </c>
      <c r="Q1073" t="s">
        <v>34</v>
      </c>
      <c r="R1073" t="s">
        <v>25</v>
      </c>
      <c r="S1073" t="s">
        <v>879</v>
      </c>
      <c r="T1073" t="s">
        <v>60</v>
      </c>
      <c r="U1073">
        <v>83</v>
      </c>
      <c r="V1073">
        <v>5</v>
      </c>
      <c r="W1073" t="s">
        <v>28</v>
      </c>
      <c r="X1073" t="s">
        <v>68</v>
      </c>
    </row>
    <row r="1074" spans="1:24" x14ac:dyDescent="0.3">
      <c r="A1074" t="s">
        <v>2350</v>
      </c>
      <c r="B1074" t="s">
        <v>53</v>
      </c>
      <c r="C1074" t="s">
        <v>54</v>
      </c>
      <c r="D1074" t="str">
        <f t="shared" si="48"/>
        <v>Afternoon</v>
      </c>
      <c r="E1074">
        <f>HOUR(EV_Data[[#This Row],[Charging Start Time]])</f>
        <v>16</v>
      </c>
      <c r="F1074" s="1">
        <v>44971.666666666664</v>
      </c>
      <c r="G1074" s="1">
        <v>44971.69027777778</v>
      </c>
      <c r="H1074">
        <v>34</v>
      </c>
      <c r="I1074">
        <v>26.09</v>
      </c>
      <c r="J1074" t="str">
        <f t="shared" si="49"/>
        <v>Medium</v>
      </c>
      <c r="K1074" t="s">
        <v>22</v>
      </c>
      <c r="L1074">
        <v>13</v>
      </c>
      <c r="M1074">
        <v>52</v>
      </c>
      <c r="N1074" t="str">
        <f t="shared" si="50"/>
        <v>Medium Cost</v>
      </c>
      <c r="O1074">
        <v>8.94</v>
      </c>
      <c r="P1074" t="s">
        <v>23</v>
      </c>
      <c r="Q1074" t="s">
        <v>58</v>
      </c>
      <c r="R1074" t="s">
        <v>25</v>
      </c>
      <c r="S1074" t="s">
        <v>263</v>
      </c>
      <c r="T1074" t="s">
        <v>46</v>
      </c>
      <c r="U1074">
        <v>55</v>
      </c>
      <c r="V1074">
        <v>4.5</v>
      </c>
      <c r="W1074" t="s">
        <v>47</v>
      </c>
      <c r="X1074" t="s">
        <v>29</v>
      </c>
    </row>
    <row r="1075" spans="1:24" x14ac:dyDescent="0.3">
      <c r="A1075" t="s">
        <v>2351</v>
      </c>
      <c r="B1075" t="s">
        <v>20</v>
      </c>
      <c r="C1075" t="s">
        <v>21</v>
      </c>
      <c r="D1075" t="str">
        <f t="shared" si="48"/>
        <v>Evening</v>
      </c>
      <c r="E1075">
        <f>HOUR(EV_Data[[#This Row],[Charging Start Time]])</f>
        <v>17</v>
      </c>
      <c r="F1075" s="1">
        <v>44971.708333333336</v>
      </c>
      <c r="G1075" s="1">
        <v>44971.756944444453</v>
      </c>
      <c r="H1075">
        <v>70</v>
      </c>
      <c r="I1075">
        <v>45.92</v>
      </c>
      <c r="J1075" t="str">
        <f t="shared" si="49"/>
        <v>Medium</v>
      </c>
      <c r="K1075" t="s">
        <v>32</v>
      </c>
      <c r="L1075">
        <v>74</v>
      </c>
      <c r="M1075">
        <v>100</v>
      </c>
      <c r="N1075" t="str">
        <f t="shared" si="50"/>
        <v>High Cost</v>
      </c>
      <c r="O1075">
        <v>21.46</v>
      </c>
      <c r="P1075" t="s">
        <v>51</v>
      </c>
      <c r="Q1075" t="s">
        <v>48</v>
      </c>
      <c r="R1075" t="s">
        <v>56</v>
      </c>
      <c r="S1075" t="s">
        <v>502</v>
      </c>
      <c r="T1075" t="s">
        <v>27</v>
      </c>
      <c r="U1075">
        <v>67</v>
      </c>
      <c r="V1075">
        <v>1.8</v>
      </c>
      <c r="W1075" t="s">
        <v>38</v>
      </c>
      <c r="X1075" t="s">
        <v>62</v>
      </c>
    </row>
    <row r="1076" spans="1:24" x14ac:dyDescent="0.3">
      <c r="A1076" t="s">
        <v>2352</v>
      </c>
      <c r="B1076" t="s">
        <v>20</v>
      </c>
      <c r="C1076" t="s">
        <v>21</v>
      </c>
      <c r="D1076" t="str">
        <f t="shared" si="48"/>
        <v>Evening</v>
      </c>
      <c r="E1076">
        <f>HOUR(EV_Data[[#This Row],[Charging Start Time]])</f>
        <v>18</v>
      </c>
      <c r="F1076" s="1">
        <v>44971.75</v>
      </c>
      <c r="G1076" s="1">
        <v>44971.788194444453</v>
      </c>
      <c r="H1076">
        <v>55</v>
      </c>
      <c r="I1076">
        <v>48.38</v>
      </c>
      <c r="J1076" t="str">
        <f t="shared" si="49"/>
        <v>Medium</v>
      </c>
      <c r="K1076" t="s">
        <v>42</v>
      </c>
      <c r="L1076">
        <v>23</v>
      </c>
      <c r="M1076">
        <v>48</v>
      </c>
      <c r="N1076" t="str">
        <f t="shared" si="50"/>
        <v>Medium Cost</v>
      </c>
      <c r="O1076">
        <v>16.329999999999998</v>
      </c>
      <c r="P1076" t="s">
        <v>33</v>
      </c>
      <c r="Q1076" t="s">
        <v>24</v>
      </c>
      <c r="R1076" t="s">
        <v>44</v>
      </c>
      <c r="S1076" t="s">
        <v>144</v>
      </c>
      <c r="T1076" t="s">
        <v>37</v>
      </c>
      <c r="U1076">
        <v>20</v>
      </c>
      <c r="V1076">
        <v>3.2</v>
      </c>
      <c r="W1076" t="s">
        <v>28</v>
      </c>
      <c r="X1076" t="s">
        <v>68</v>
      </c>
    </row>
    <row r="1077" spans="1:24" x14ac:dyDescent="0.3">
      <c r="A1077" t="s">
        <v>2353</v>
      </c>
      <c r="B1077" t="s">
        <v>71</v>
      </c>
      <c r="C1077" t="s">
        <v>72</v>
      </c>
      <c r="D1077" t="str">
        <f t="shared" si="48"/>
        <v>Evening</v>
      </c>
      <c r="E1077">
        <f>HOUR(EV_Data[[#This Row],[Charging Start Time]])</f>
        <v>19</v>
      </c>
      <c r="F1077" s="1">
        <v>44971.791666666664</v>
      </c>
      <c r="G1077" s="1">
        <v>44971.810416666667</v>
      </c>
      <c r="H1077">
        <v>27</v>
      </c>
      <c r="I1077">
        <v>22.73</v>
      </c>
      <c r="J1077" t="str">
        <f t="shared" si="49"/>
        <v>Medium</v>
      </c>
      <c r="K1077" t="s">
        <v>55</v>
      </c>
      <c r="L1077">
        <v>76</v>
      </c>
      <c r="M1077">
        <v>100</v>
      </c>
      <c r="N1077" t="str">
        <f t="shared" si="50"/>
        <v>Medium Cost</v>
      </c>
      <c r="O1077">
        <v>11.21</v>
      </c>
      <c r="P1077" t="s">
        <v>43</v>
      </c>
      <c r="Q1077" t="s">
        <v>24</v>
      </c>
      <c r="R1077" t="s">
        <v>35</v>
      </c>
      <c r="S1077" t="s">
        <v>272</v>
      </c>
      <c r="T1077" t="s">
        <v>60</v>
      </c>
      <c r="U1077">
        <v>9</v>
      </c>
      <c r="V1077">
        <v>2.4</v>
      </c>
      <c r="W1077" t="s">
        <v>28</v>
      </c>
      <c r="X1077" t="s">
        <v>68</v>
      </c>
    </row>
    <row r="1078" spans="1:24" x14ac:dyDescent="0.3">
      <c r="A1078" t="s">
        <v>2354</v>
      </c>
      <c r="B1078" t="s">
        <v>53</v>
      </c>
      <c r="C1078" t="s">
        <v>54</v>
      </c>
      <c r="D1078" t="str">
        <f t="shared" si="48"/>
        <v>Evening</v>
      </c>
      <c r="E1078">
        <f>HOUR(EV_Data[[#This Row],[Charging Start Time]])</f>
        <v>20</v>
      </c>
      <c r="F1078" s="1">
        <v>44971.833333333336</v>
      </c>
      <c r="G1078" s="1">
        <v>44971.834027777782</v>
      </c>
      <c r="H1078">
        <v>1</v>
      </c>
      <c r="I1078">
        <v>14.14</v>
      </c>
      <c r="J1078" t="str">
        <f t="shared" si="49"/>
        <v>Low</v>
      </c>
      <c r="K1078" t="s">
        <v>55</v>
      </c>
      <c r="L1078">
        <v>46</v>
      </c>
      <c r="M1078">
        <v>66</v>
      </c>
      <c r="N1078" t="str">
        <f t="shared" si="50"/>
        <v>Low Cost</v>
      </c>
      <c r="O1078">
        <v>3.25</v>
      </c>
      <c r="P1078" t="s">
        <v>51</v>
      </c>
      <c r="Q1078" t="s">
        <v>48</v>
      </c>
      <c r="R1078" t="s">
        <v>56</v>
      </c>
      <c r="S1078" t="s">
        <v>880</v>
      </c>
      <c r="T1078" t="s">
        <v>60</v>
      </c>
      <c r="U1078">
        <v>40</v>
      </c>
      <c r="V1078">
        <v>4.9000000000000004</v>
      </c>
      <c r="W1078" t="s">
        <v>38</v>
      </c>
      <c r="X1078" t="s">
        <v>83</v>
      </c>
    </row>
    <row r="1079" spans="1:24" x14ac:dyDescent="0.3">
      <c r="A1079" t="s">
        <v>2355</v>
      </c>
      <c r="B1079" t="s">
        <v>92</v>
      </c>
      <c r="C1079" t="s">
        <v>93</v>
      </c>
      <c r="D1079" t="str">
        <f t="shared" si="48"/>
        <v>Evening</v>
      </c>
      <c r="E1079">
        <f>HOUR(EV_Data[[#This Row],[Charging Start Time]])</f>
        <v>21</v>
      </c>
      <c r="F1079" s="1">
        <v>44971.875</v>
      </c>
      <c r="G1079" s="1">
        <v>44971.943749999999</v>
      </c>
      <c r="H1079">
        <v>99</v>
      </c>
      <c r="I1079">
        <v>9.42</v>
      </c>
      <c r="J1079" t="str">
        <f t="shared" si="49"/>
        <v>Low</v>
      </c>
      <c r="K1079" t="s">
        <v>22</v>
      </c>
      <c r="L1079">
        <v>75</v>
      </c>
      <c r="M1079">
        <v>100</v>
      </c>
      <c r="N1079" t="str">
        <f t="shared" si="50"/>
        <v>Low Cost</v>
      </c>
      <c r="O1079">
        <v>2.95</v>
      </c>
      <c r="P1079" t="s">
        <v>64</v>
      </c>
      <c r="Q1079" t="s">
        <v>48</v>
      </c>
      <c r="R1079" t="s">
        <v>44</v>
      </c>
      <c r="S1079" t="s">
        <v>881</v>
      </c>
      <c r="T1079" t="s">
        <v>37</v>
      </c>
      <c r="U1079">
        <v>24</v>
      </c>
      <c r="V1079">
        <v>1.6</v>
      </c>
      <c r="W1079" t="s">
        <v>47</v>
      </c>
      <c r="X1079" t="s">
        <v>29</v>
      </c>
    </row>
    <row r="1080" spans="1:24" x14ac:dyDescent="0.3">
      <c r="A1080" t="s">
        <v>2356</v>
      </c>
      <c r="B1080" t="s">
        <v>30</v>
      </c>
      <c r="C1080" t="s">
        <v>102</v>
      </c>
      <c r="D1080" t="str">
        <f t="shared" si="48"/>
        <v>Evening</v>
      </c>
      <c r="E1080">
        <f>HOUR(EV_Data[[#This Row],[Charging Start Time]])</f>
        <v>22</v>
      </c>
      <c r="F1080" s="1">
        <v>44971.916666666664</v>
      </c>
      <c r="G1080" s="1">
        <v>44971.952777777777</v>
      </c>
      <c r="H1080">
        <v>52</v>
      </c>
      <c r="I1080">
        <v>39.14</v>
      </c>
      <c r="J1080" t="str">
        <f t="shared" si="49"/>
        <v>Medium</v>
      </c>
      <c r="K1080" t="s">
        <v>22</v>
      </c>
      <c r="L1080">
        <v>68</v>
      </c>
      <c r="M1080">
        <v>82</v>
      </c>
      <c r="N1080" t="str">
        <f t="shared" si="50"/>
        <v>Medium Cost</v>
      </c>
      <c r="O1080">
        <v>10.63</v>
      </c>
      <c r="P1080" t="s">
        <v>23</v>
      </c>
      <c r="Q1080" t="s">
        <v>58</v>
      </c>
      <c r="R1080" t="s">
        <v>44</v>
      </c>
      <c r="S1080" t="s">
        <v>882</v>
      </c>
      <c r="T1080" t="s">
        <v>60</v>
      </c>
      <c r="U1080">
        <v>97</v>
      </c>
      <c r="V1080">
        <v>1.6</v>
      </c>
      <c r="W1080" t="s">
        <v>28</v>
      </c>
      <c r="X1080" t="s">
        <v>68</v>
      </c>
    </row>
    <row r="1081" spans="1:24" x14ac:dyDescent="0.3">
      <c r="A1081" t="s">
        <v>2357</v>
      </c>
      <c r="B1081" t="s">
        <v>92</v>
      </c>
      <c r="C1081" t="s">
        <v>93</v>
      </c>
      <c r="D1081" t="str">
        <f t="shared" si="48"/>
        <v>Evening</v>
      </c>
      <c r="E1081">
        <f>HOUR(EV_Data[[#This Row],[Charging Start Time]])</f>
        <v>23</v>
      </c>
      <c r="F1081" s="1">
        <v>44971.958333333336</v>
      </c>
      <c r="G1081" s="1">
        <v>44971.982638888891</v>
      </c>
      <c r="H1081">
        <v>35</v>
      </c>
      <c r="I1081">
        <v>49.59</v>
      </c>
      <c r="J1081" t="str">
        <f t="shared" si="49"/>
        <v>Medium</v>
      </c>
      <c r="K1081" t="s">
        <v>50</v>
      </c>
      <c r="L1081">
        <v>32</v>
      </c>
      <c r="M1081">
        <v>43</v>
      </c>
      <c r="N1081" t="str">
        <f t="shared" si="50"/>
        <v>Medium Cost</v>
      </c>
      <c r="O1081">
        <v>15.85</v>
      </c>
      <c r="P1081" t="s">
        <v>51</v>
      </c>
      <c r="Q1081" t="s">
        <v>58</v>
      </c>
      <c r="R1081" t="s">
        <v>35</v>
      </c>
      <c r="S1081" t="s">
        <v>127</v>
      </c>
      <c r="T1081" t="s">
        <v>37</v>
      </c>
      <c r="U1081">
        <v>49</v>
      </c>
      <c r="V1081">
        <v>2.6</v>
      </c>
      <c r="W1081" t="s">
        <v>47</v>
      </c>
      <c r="X1081" t="s">
        <v>29</v>
      </c>
    </row>
    <row r="1082" spans="1:24" x14ac:dyDescent="0.3">
      <c r="A1082" t="s">
        <v>2358</v>
      </c>
      <c r="B1082" t="s">
        <v>40</v>
      </c>
      <c r="C1082" t="s">
        <v>41</v>
      </c>
      <c r="D1082" t="str">
        <f t="shared" si="48"/>
        <v>Morning</v>
      </c>
      <c r="E1082">
        <f>HOUR(EV_Data[[#This Row],[Charging Start Time]])</f>
        <v>0</v>
      </c>
      <c r="F1082" s="1">
        <v>44972</v>
      </c>
      <c r="G1082" s="1">
        <v>44972.050694444442</v>
      </c>
      <c r="H1082">
        <v>73</v>
      </c>
      <c r="I1082">
        <v>17.57</v>
      </c>
      <c r="J1082" t="str">
        <f t="shared" si="49"/>
        <v>Low</v>
      </c>
      <c r="K1082" t="s">
        <v>42</v>
      </c>
      <c r="L1082">
        <v>22</v>
      </c>
      <c r="M1082">
        <v>44</v>
      </c>
      <c r="N1082" t="str">
        <f t="shared" si="50"/>
        <v>Low Cost</v>
      </c>
      <c r="O1082">
        <v>7.17</v>
      </c>
      <c r="P1082" t="s">
        <v>43</v>
      </c>
      <c r="Q1082" t="s">
        <v>34</v>
      </c>
      <c r="R1082" t="s">
        <v>35</v>
      </c>
      <c r="S1082" t="s">
        <v>883</v>
      </c>
      <c r="T1082" t="s">
        <v>37</v>
      </c>
      <c r="U1082">
        <v>94</v>
      </c>
      <c r="V1082">
        <v>5</v>
      </c>
      <c r="W1082" t="s">
        <v>47</v>
      </c>
      <c r="X1082" t="s">
        <v>29</v>
      </c>
    </row>
    <row r="1083" spans="1:24" x14ac:dyDescent="0.3">
      <c r="A1083" t="s">
        <v>2359</v>
      </c>
      <c r="B1083" t="s">
        <v>71</v>
      </c>
      <c r="C1083" t="s">
        <v>72</v>
      </c>
      <c r="D1083" t="str">
        <f t="shared" si="48"/>
        <v>Morning</v>
      </c>
      <c r="E1083">
        <f>HOUR(EV_Data[[#This Row],[Charging Start Time]])</f>
        <v>1</v>
      </c>
      <c r="F1083" s="1">
        <v>44972.041666666664</v>
      </c>
      <c r="G1083" s="1">
        <v>44972.075694444437</v>
      </c>
      <c r="H1083">
        <v>49</v>
      </c>
      <c r="I1083">
        <v>10.53</v>
      </c>
      <c r="J1083" t="str">
        <f t="shared" si="49"/>
        <v>Low</v>
      </c>
      <c r="K1083" t="s">
        <v>55</v>
      </c>
      <c r="L1083">
        <v>44</v>
      </c>
      <c r="M1083">
        <v>80</v>
      </c>
      <c r="N1083" t="str">
        <f t="shared" si="50"/>
        <v>Low Cost</v>
      </c>
      <c r="O1083">
        <v>4.2</v>
      </c>
      <c r="P1083" t="s">
        <v>64</v>
      </c>
      <c r="Q1083" t="s">
        <v>24</v>
      </c>
      <c r="R1083" t="s">
        <v>25</v>
      </c>
      <c r="S1083" t="s">
        <v>884</v>
      </c>
      <c r="T1083" t="s">
        <v>60</v>
      </c>
      <c r="U1083">
        <v>34</v>
      </c>
      <c r="V1083">
        <v>2</v>
      </c>
      <c r="W1083" t="s">
        <v>47</v>
      </c>
      <c r="X1083" t="s">
        <v>29</v>
      </c>
    </row>
    <row r="1084" spans="1:24" x14ac:dyDescent="0.3">
      <c r="A1084" t="s">
        <v>2360</v>
      </c>
      <c r="B1084" t="s">
        <v>77</v>
      </c>
      <c r="C1084" t="s">
        <v>78</v>
      </c>
      <c r="D1084" t="str">
        <f t="shared" si="48"/>
        <v>Morning</v>
      </c>
      <c r="E1084">
        <f>HOUR(EV_Data[[#This Row],[Charging Start Time]])</f>
        <v>2</v>
      </c>
      <c r="F1084" s="1">
        <v>44972.083333333336</v>
      </c>
      <c r="G1084" s="1">
        <v>44972.155555555553</v>
      </c>
      <c r="H1084">
        <v>104</v>
      </c>
      <c r="I1084">
        <v>34.35</v>
      </c>
      <c r="J1084" t="str">
        <f t="shared" si="49"/>
        <v>Medium</v>
      </c>
      <c r="K1084" t="s">
        <v>42</v>
      </c>
      <c r="L1084">
        <v>38</v>
      </c>
      <c r="M1084">
        <v>75</v>
      </c>
      <c r="N1084" t="str">
        <f t="shared" si="50"/>
        <v>Medium Cost</v>
      </c>
      <c r="O1084">
        <v>16.66</v>
      </c>
      <c r="P1084" t="s">
        <v>23</v>
      </c>
      <c r="Q1084" t="s">
        <v>34</v>
      </c>
      <c r="R1084" t="s">
        <v>25</v>
      </c>
      <c r="S1084" t="s">
        <v>454</v>
      </c>
      <c r="T1084" t="s">
        <v>27</v>
      </c>
      <c r="U1084">
        <v>35</v>
      </c>
      <c r="V1084">
        <v>4.4000000000000004</v>
      </c>
      <c r="W1084" t="s">
        <v>38</v>
      </c>
      <c r="X1084" t="s">
        <v>85</v>
      </c>
    </row>
    <row r="1085" spans="1:24" x14ac:dyDescent="0.3">
      <c r="A1085" t="s">
        <v>2361</v>
      </c>
      <c r="B1085" t="s">
        <v>20</v>
      </c>
      <c r="C1085" t="s">
        <v>21</v>
      </c>
      <c r="D1085" t="str">
        <f t="shared" si="48"/>
        <v>Morning</v>
      </c>
      <c r="E1085">
        <f>HOUR(EV_Data[[#This Row],[Charging Start Time]])</f>
        <v>3</v>
      </c>
      <c r="F1085" s="1">
        <v>44972.125</v>
      </c>
      <c r="G1085" s="1">
        <v>44972.152083333327</v>
      </c>
      <c r="H1085">
        <v>39</v>
      </c>
      <c r="I1085">
        <v>48.94</v>
      </c>
      <c r="J1085" t="str">
        <f t="shared" si="49"/>
        <v>Medium</v>
      </c>
      <c r="K1085" t="s">
        <v>22</v>
      </c>
      <c r="L1085">
        <v>37</v>
      </c>
      <c r="M1085">
        <v>49</v>
      </c>
      <c r="N1085" t="str">
        <f t="shared" si="50"/>
        <v>Medium Cost</v>
      </c>
      <c r="O1085">
        <v>16.91</v>
      </c>
      <c r="P1085" t="s">
        <v>43</v>
      </c>
      <c r="Q1085" t="s">
        <v>34</v>
      </c>
      <c r="R1085" t="s">
        <v>56</v>
      </c>
      <c r="S1085" t="s">
        <v>434</v>
      </c>
      <c r="T1085" t="s">
        <v>60</v>
      </c>
      <c r="U1085">
        <v>89</v>
      </c>
      <c r="V1085">
        <v>4.9000000000000004</v>
      </c>
      <c r="W1085" t="s">
        <v>28</v>
      </c>
      <c r="X1085" t="s">
        <v>68</v>
      </c>
    </row>
    <row r="1086" spans="1:24" x14ac:dyDescent="0.3">
      <c r="A1086" t="s">
        <v>2362</v>
      </c>
      <c r="B1086" t="s">
        <v>71</v>
      </c>
      <c r="C1086" t="s">
        <v>72</v>
      </c>
      <c r="D1086" t="str">
        <f t="shared" si="48"/>
        <v>Morning</v>
      </c>
      <c r="E1086">
        <f>HOUR(EV_Data[[#This Row],[Charging Start Time]])</f>
        <v>4</v>
      </c>
      <c r="F1086" s="1">
        <v>44972.166666666664</v>
      </c>
      <c r="G1086" s="1">
        <v>44972.188194444447</v>
      </c>
      <c r="H1086">
        <v>31</v>
      </c>
      <c r="I1086">
        <v>6.68</v>
      </c>
      <c r="J1086" t="str">
        <f t="shared" si="49"/>
        <v>Low</v>
      </c>
      <c r="K1086" t="s">
        <v>50</v>
      </c>
      <c r="L1086">
        <v>74</v>
      </c>
      <c r="M1086">
        <v>95</v>
      </c>
      <c r="N1086" t="str">
        <f t="shared" si="50"/>
        <v>Low Cost</v>
      </c>
      <c r="O1086">
        <v>2.77</v>
      </c>
      <c r="P1086" t="s">
        <v>33</v>
      </c>
      <c r="Q1086" t="s">
        <v>34</v>
      </c>
      <c r="R1086" t="s">
        <v>25</v>
      </c>
      <c r="S1086" t="s">
        <v>362</v>
      </c>
      <c r="T1086" t="s">
        <v>27</v>
      </c>
      <c r="U1086">
        <v>87</v>
      </c>
      <c r="V1086">
        <v>4.0999999999999996</v>
      </c>
      <c r="W1086" t="s">
        <v>28</v>
      </c>
      <c r="X1086" t="s">
        <v>68</v>
      </c>
    </row>
    <row r="1087" spans="1:24" x14ac:dyDescent="0.3">
      <c r="A1087" t="s">
        <v>2363</v>
      </c>
      <c r="B1087" t="s">
        <v>53</v>
      </c>
      <c r="C1087" t="s">
        <v>54</v>
      </c>
      <c r="D1087" t="str">
        <f t="shared" si="48"/>
        <v>Morning</v>
      </c>
      <c r="E1087">
        <f>HOUR(EV_Data[[#This Row],[Charging Start Time]])</f>
        <v>5</v>
      </c>
      <c r="F1087" s="1">
        <v>44972.208333333336</v>
      </c>
      <c r="G1087" s="1">
        <v>44972.295138888891</v>
      </c>
      <c r="H1087">
        <v>125</v>
      </c>
      <c r="I1087">
        <v>16.28</v>
      </c>
      <c r="J1087" t="str">
        <f t="shared" si="49"/>
        <v>Low</v>
      </c>
      <c r="K1087" t="s">
        <v>32</v>
      </c>
      <c r="L1087">
        <v>9</v>
      </c>
      <c r="M1087">
        <v>38</v>
      </c>
      <c r="N1087" t="str">
        <f t="shared" si="50"/>
        <v>Low Cost</v>
      </c>
      <c r="O1087">
        <v>3.9</v>
      </c>
      <c r="P1087" t="s">
        <v>43</v>
      </c>
      <c r="Q1087" t="s">
        <v>34</v>
      </c>
      <c r="R1087" t="s">
        <v>56</v>
      </c>
      <c r="S1087" t="s">
        <v>885</v>
      </c>
      <c r="T1087" t="s">
        <v>37</v>
      </c>
      <c r="U1087">
        <v>10</v>
      </c>
      <c r="V1087">
        <v>1</v>
      </c>
      <c r="W1087" t="s">
        <v>47</v>
      </c>
      <c r="X1087" t="s">
        <v>29</v>
      </c>
    </row>
    <row r="1088" spans="1:24" x14ac:dyDescent="0.3">
      <c r="A1088" t="s">
        <v>2364</v>
      </c>
      <c r="B1088" t="s">
        <v>20</v>
      </c>
      <c r="C1088" t="s">
        <v>21</v>
      </c>
      <c r="D1088" t="str">
        <f t="shared" si="48"/>
        <v>Morning</v>
      </c>
      <c r="E1088">
        <f>HOUR(EV_Data[[#This Row],[Charging Start Time]])</f>
        <v>6</v>
      </c>
      <c r="F1088" s="1">
        <v>44972.25</v>
      </c>
      <c r="G1088" s="1">
        <v>44972.263194444437</v>
      </c>
      <c r="H1088">
        <v>19</v>
      </c>
      <c r="I1088">
        <v>23.22</v>
      </c>
      <c r="J1088" t="str">
        <f t="shared" si="49"/>
        <v>Medium</v>
      </c>
      <c r="K1088" t="s">
        <v>22</v>
      </c>
      <c r="L1088">
        <v>50</v>
      </c>
      <c r="M1088">
        <v>82</v>
      </c>
      <c r="N1088" t="str">
        <f t="shared" si="50"/>
        <v>Medium Cost</v>
      </c>
      <c r="O1088">
        <v>8.85</v>
      </c>
      <c r="P1088" t="s">
        <v>23</v>
      </c>
      <c r="Q1088" t="s">
        <v>34</v>
      </c>
      <c r="R1088" t="s">
        <v>44</v>
      </c>
      <c r="S1088" t="s">
        <v>593</v>
      </c>
      <c r="T1088" t="s">
        <v>37</v>
      </c>
      <c r="U1088">
        <v>15</v>
      </c>
      <c r="V1088">
        <v>4</v>
      </c>
      <c r="W1088" t="s">
        <v>28</v>
      </c>
      <c r="X1088" t="s">
        <v>68</v>
      </c>
    </row>
    <row r="1089" spans="1:24" x14ac:dyDescent="0.3">
      <c r="A1089" t="s">
        <v>2365</v>
      </c>
      <c r="B1089" t="s">
        <v>20</v>
      </c>
      <c r="C1089" t="s">
        <v>21</v>
      </c>
      <c r="D1089" t="str">
        <f t="shared" si="48"/>
        <v>Morning</v>
      </c>
      <c r="E1089">
        <f>HOUR(EV_Data[[#This Row],[Charging Start Time]])</f>
        <v>7</v>
      </c>
      <c r="F1089" s="1">
        <v>44972.291666666664</v>
      </c>
      <c r="G1089" s="1">
        <v>44972.351388888892</v>
      </c>
      <c r="H1089">
        <v>86</v>
      </c>
      <c r="I1089">
        <v>21.49</v>
      </c>
      <c r="J1089" t="str">
        <f t="shared" si="49"/>
        <v>Medium</v>
      </c>
      <c r="K1089" t="s">
        <v>42</v>
      </c>
      <c r="L1089">
        <v>70</v>
      </c>
      <c r="M1089">
        <v>85</v>
      </c>
      <c r="N1089" t="str">
        <f t="shared" si="50"/>
        <v>Medium Cost</v>
      </c>
      <c r="O1089">
        <v>9.0399999999999991</v>
      </c>
      <c r="P1089" t="s">
        <v>51</v>
      </c>
      <c r="Q1089" t="s">
        <v>48</v>
      </c>
      <c r="R1089" t="s">
        <v>44</v>
      </c>
      <c r="S1089" t="s">
        <v>886</v>
      </c>
      <c r="T1089" t="s">
        <v>27</v>
      </c>
      <c r="U1089">
        <v>88</v>
      </c>
      <c r="V1089">
        <v>3.1</v>
      </c>
      <c r="W1089" t="s">
        <v>47</v>
      </c>
      <c r="X1089" t="s">
        <v>29</v>
      </c>
    </row>
    <row r="1090" spans="1:24" x14ac:dyDescent="0.3">
      <c r="A1090" t="s">
        <v>2366</v>
      </c>
      <c r="B1090" t="s">
        <v>71</v>
      </c>
      <c r="C1090" t="s">
        <v>72</v>
      </c>
      <c r="D1090" t="str">
        <f t="shared" ref="D1090:D1153" si="51">IF(E1090&lt;12,"Morning",IF(E1090&lt;17,"Afternoon","Evening"))</f>
        <v>Morning</v>
      </c>
      <c r="E1090">
        <f>HOUR(EV_Data[[#This Row],[Charging Start Time]])</f>
        <v>8</v>
      </c>
      <c r="F1090" s="1">
        <v>44972.333333333336</v>
      </c>
      <c r="G1090" s="1">
        <v>44972.365972222222</v>
      </c>
      <c r="H1090">
        <v>47</v>
      </c>
      <c r="I1090">
        <v>21.15</v>
      </c>
      <c r="J1090" t="str">
        <f t="shared" ref="J1090:J1153" si="52">IF(I1090&lt;20,"Low",IF(I1090&lt;50,"Medium","High"))</f>
        <v>Medium</v>
      </c>
      <c r="K1090" t="s">
        <v>42</v>
      </c>
      <c r="L1090">
        <v>74</v>
      </c>
      <c r="M1090">
        <v>100</v>
      </c>
      <c r="N1090" t="str">
        <f t="shared" ref="N1090:N1153" si="53">IF(O1090&lt;8,"Low Cost",IF(O1090&lt;17,"Medium Cost","High Cost"))</f>
        <v>Medium Cost</v>
      </c>
      <c r="O1090">
        <v>8.3000000000000007</v>
      </c>
      <c r="P1090" t="s">
        <v>51</v>
      </c>
      <c r="Q1090" t="s">
        <v>48</v>
      </c>
      <c r="R1090" t="s">
        <v>44</v>
      </c>
      <c r="S1090" t="s">
        <v>221</v>
      </c>
      <c r="T1090" t="s">
        <v>60</v>
      </c>
      <c r="U1090">
        <v>92</v>
      </c>
      <c r="V1090">
        <v>1.1000000000000001</v>
      </c>
      <c r="W1090" t="s">
        <v>47</v>
      </c>
      <c r="X1090" t="s">
        <v>29</v>
      </c>
    </row>
    <row r="1091" spans="1:24" x14ac:dyDescent="0.3">
      <c r="A1091" t="s">
        <v>2367</v>
      </c>
      <c r="B1091" t="s">
        <v>53</v>
      </c>
      <c r="C1091" t="s">
        <v>54</v>
      </c>
      <c r="D1091" t="str">
        <f t="shared" si="51"/>
        <v>Morning</v>
      </c>
      <c r="E1091">
        <f>HOUR(EV_Data[[#This Row],[Charging Start Time]])</f>
        <v>9</v>
      </c>
      <c r="F1091" s="1">
        <v>44972.375</v>
      </c>
      <c r="G1091" s="1">
        <v>44972.411805555559</v>
      </c>
      <c r="H1091">
        <v>53</v>
      </c>
      <c r="I1091">
        <v>11.49</v>
      </c>
      <c r="J1091" t="str">
        <f t="shared" si="52"/>
        <v>Low</v>
      </c>
      <c r="K1091" t="s">
        <v>32</v>
      </c>
      <c r="L1091">
        <v>61</v>
      </c>
      <c r="M1091">
        <v>90</v>
      </c>
      <c r="N1091" t="str">
        <f t="shared" si="53"/>
        <v>Low Cost</v>
      </c>
      <c r="O1091">
        <v>2.34</v>
      </c>
      <c r="P1091" t="s">
        <v>23</v>
      </c>
      <c r="Q1091" t="s">
        <v>24</v>
      </c>
      <c r="R1091" t="s">
        <v>44</v>
      </c>
      <c r="S1091" t="s">
        <v>590</v>
      </c>
      <c r="T1091" t="s">
        <v>46</v>
      </c>
      <c r="U1091">
        <v>92</v>
      </c>
      <c r="V1091">
        <v>1.1000000000000001</v>
      </c>
      <c r="W1091" t="s">
        <v>28</v>
      </c>
      <c r="X1091" t="s">
        <v>68</v>
      </c>
    </row>
    <row r="1092" spans="1:24" x14ac:dyDescent="0.3">
      <c r="A1092" t="s">
        <v>2368</v>
      </c>
      <c r="B1092" t="s">
        <v>30</v>
      </c>
      <c r="C1092" t="s">
        <v>102</v>
      </c>
      <c r="D1092" t="str">
        <f t="shared" si="51"/>
        <v>Morning</v>
      </c>
      <c r="E1092">
        <f>HOUR(EV_Data[[#This Row],[Charging Start Time]])</f>
        <v>10</v>
      </c>
      <c r="F1092" s="1">
        <v>44972.416666666664</v>
      </c>
      <c r="G1092" s="1">
        <v>44972.468055555553</v>
      </c>
      <c r="H1092">
        <v>74</v>
      </c>
      <c r="I1092">
        <v>41.62</v>
      </c>
      <c r="J1092" t="str">
        <f t="shared" si="52"/>
        <v>Medium</v>
      </c>
      <c r="K1092" t="s">
        <v>32</v>
      </c>
      <c r="L1092">
        <v>66</v>
      </c>
      <c r="M1092">
        <v>95</v>
      </c>
      <c r="N1092" t="str">
        <f t="shared" si="53"/>
        <v>Medium Cost</v>
      </c>
      <c r="O1092">
        <v>14.68</v>
      </c>
      <c r="P1092" t="s">
        <v>51</v>
      </c>
      <c r="Q1092" t="s">
        <v>48</v>
      </c>
      <c r="R1092" t="s">
        <v>56</v>
      </c>
      <c r="S1092" t="s">
        <v>887</v>
      </c>
      <c r="T1092" t="s">
        <v>27</v>
      </c>
      <c r="U1092">
        <v>74</v>
      </c>
      <c r="V1092">
        <v>1.2</v>
      </c>
      <c r="W1092" t="s">
        <v>28</v>
      </c>
      <c r="X1092" t="s">
        <v>68</v>
      </c>
    </row>
    <row r="1093" spans="1:24" x14ac:dyDescent="0.3">
      <c r="A1093" t="s">
        <v>2369</v>
      </c>
      <c r="B1093" t="s">
        <v>53</v>
      </c>
      <c r="C1093" t="s">
        <v>54</v>
      </c>
      <c r="D1093" t="str">
        <f t="shared" si="51"/>
        <v>Morning</v>
      </c>
      <c r="E1093">
        <f>HOUR(EV_Data[[#This Row],[Charging Start Time]])</f>
        <v>11</v>
      </c>
      <c r="F1093" s="1">
        <v>44972.458333333336</v>
      </c>
      <c r="G1093" s="1">
        <v>44972.503472222219</v>
      </c>
      <c r="H1093">
        <v>65</v>
      </c>
      <c r="I1093">
        <v>10.19</v>
      </c>
      <c r="J1093" t="str">
        <f t="shared" si="52"/>
        <v>Low</v>
      </c>
      <c r="K1093" t="s">
        <v>69</v>
      </c>
      <c r="L1093">
        <v>35</v>
      </c>
      <c r="M1093">
        <v>65</v>
      </c>
      <c r="N1093" t="str">
        <f t="shared" si="53"/>
        <v>Low Cost</v>
      </c>
      <c r="O1093">
        <v>4.76</v>
      </c>
      <c r="P1093" t="s">
        <v>23</v>
      </c>
      <c r="Q1093" t="s">
        <v>48</v>
      </c>
      <c r="R1093" t="s">
        <v>44</v>
      </c>
      <c r="S1093" t="s">
        <v>380</v>
      </c>
      <c r="T1093" t="s">
        <v>46</v>
      </c>
      <c r="U1093">
        <v>51</v>
      </c>
      <c r="V1093">
        <v>3.5</v>
      </c>
      <c r="W1093" t="s">
        <v>28</v>
      </c>
      <c r="X1093" t="s">
        <v>68</v>
      </c>
    </row>
    <row r="1094" spans="1:24" x14ac:dyDescent="0.3">
      <c r="A1094" t="s">
        <v>2370</v>
      </c>
      <c r="B1094" t="s">
        <v>77</v>
      </c>
      <c r="C1094" t="s">
        <v>78</v>
      </c>
      <c r="D1094" t="str">
        <f t="shared" si="51"/>
        <v>Afternoon</v>
      </c>
      <c r="E1094">
        <f>HOUR(EV_Data[[#This Row],[Charging Start Time]])</f>
        <v>12</v>
      </c>
      <c r="F1094" s="1">
        <v>44972.5</v>
      </c>
      <c r="G1094" s="1">
        <v>44972.536111111112</v>
      </c>
      <c r="H1094">
        <v>52</v>
      </c>
      <c r="I1094">
        <v>25.1</v>
      </c>
      <c r="J1094" t="str">
        <f t="shared" si="52"/>
        <v>Medium</v>
      </c>
      <c r="K1094" t="s">
        <v>50</v>
      </c>
      <c r="L1094">
        <v>38</v>
      </c>
      <c r="M1094">
        <v>50</v>
      </c>
      <c r="N1094" t="str">
        <f t="shared" si="53"/>
        <v>Medium Cost</v>
      </c>
      <c r="O1094">
        <v>8.5299999999999994</v>
      </c>
      <c r="P1094" t="s">
        <v>33</v>
      </c>
      <c r="Q1094" t="s">
        <v>48</v>
      </c>
      <c r="R1094" t="s">
        <v>25</v>
      </c>
      <c r="S1094" t="s">
        <v>610</v>
      </c>
      <c r="T1094" t="s">
        <v>46</v>
      </c>
      <c r="U1094">
        <v>84</v>
      </c>
      <c r="V1094">
        <v>2.9</v>
      </c>
      <c r="W1094" t="s">
        <v>28</v>
      </c>
      <c r="X1094" t="s">
        <v>68</v>
      </c>
    </row>
    <row r="1095" spans="1:24" x14ac:dyDescent="0.3">
      <c r="A1095" t="s">
        <v>2371</v>
      </c>
      <c r="B1095" t="s">
        <v>20</v>
      </c>
      <c r="C1095" t="s">
        <v>21</v>
      </c>
      <c r="D1095" t="str">
        <f t="shared" si="51"/>
        <v>Afternoon</v>
      </c>
      <c r="E1095">
        <f>HOUR(EV_Data[[#This Row],[Charging Start Time]])</f>
        <v>13</v>
      </c>
      <c r="F1095" s="1">
        <v>44972.541666666664</v>
      </c>
      <c r="G1095" s="1">
        <v>44972.571527777778</v>
      </c>
      <c r="H1095">
        <v>43</v>
      </c>
      <c r="I1095">
        <v>46.9</v>
      </c>
      <c r="J1095" t="str">
        <f t="shared" si="52"/>
        <v>Medium</v>
      </c>
      <c r="K1095" t="s">
        <v>42</v>
      </c>
      <c r="L1095">
        <v>55</v>
      </c>
      <c r="M1095">
        <v>77</v>
      </c>
      <c r="N1095" t="str">
        <f t="shared" si="53"/>
        <v>Medium Cost</v>
      </c>
      <c r="O1095">
        <v>12.4</v>
      </c>
      <c r="P1095" t="s">
        <v>23</v>
      </c>
      <c r="Q1095" t="s">
        <v>34</v>
      </c>
      <c r="R1095" t="s">
        <v>44</v>
      </c>
      <c r="S1095" t="s">
        <v>888</v>
      </c>
      <c r="T1095" t="s">
        <v>37</v>
      </c>
      <c r="U1095">
        <v>75</v>
      </c>
      <c r="V1095">
        <v>1.7</v>
      </c>
      <c r="W1095" t="s">
        <v>47</v>
      </c>
      <c r="X1095" t="s">
        <v>29</v>
      </c>
    </row>
    <row r="1096" spans="1:24" x14ac:dyDescent="0.3">
      <c r="A1096" t="s">
        <v>2372</v>
      </c>
      <c r="B1096" t="s">
        <v>126</v>
      </c>
      <c r="C1096" t="s">
        <v>31</v>
      </c>
      <c r="D1096" t="str">
        <f t="shared" si="51"/>
        <v>Afternoon</v>
      </c>
      <c r="E1096">
        <f>HOUR(EV_Data[[#This Row],[Charging Start Time]])</f>
        <v>14</v>
      </c>
      <c r="F1096" s="1">
        <v>44972.583333333336</v>
      </c>
      <c r="G1096" s="1">
        <v>44972.616666666669</v>
      </c>
      <c r="H1096">
        <v>48</v>
      </c>
      <c r="I1096">
        <v>34.93</v>
      </c>
      <c r="J1096" t="str">
        <f t="shared" si="52"/>
        <v>Medium</v>
      </c>
      <c r="K1096" t="s">
        <v>69</v>
      </c>
      <c r="L1096">
        <v>40</v>
      </c>
      <c r="M1096">
        <v>67</v>
      </c>
      <c r="N1096" t="str">
        <f t="shared" si="53"/>
        <v>Medium Cost</v>
      </c>
      <c r="O1096">
        <v>8.7100000000000009</v>
      </c>
      <c r="P1096" t="s">
        <v>51</v>
      </c>
      <c r="Q1096" t="s">
        <v>48</v>
      </c>
      <c r="R1096" t="s">
        <v>35</v>
      </c>
      <c r="S1096" t="s">
        <v>417</v>
      </c>
      <c r="T1096" t="s">
        <v>27</v>
      </c>
      <c r="U1096">
        <v>9</v>
      </c>
      <c r="V1096">
        <v>4.9000000000000004</v>
      </c>
      <c r="W1096" t="s">
        <v>28</v>
      </c>
      <c r="X1096" t="s">
        <v>68</v>
      </c>
    </row>
    <row r="1097" spans="1:24" x14ac:dyDescent="0.3">
      <c r="A1097" t="s">
        <v>2373</v>
      </c>
      <c r="B1097" t="s">
        <v>126</v>
      </c>
      <c r="C1097" t="s">
        <v>31</v>
      </c>
      <c r="D1097" t="str">
        <f t="shared" si="51"/>
        <v>Afternoon</v>
      </c>
      <c r="E1097">
        <f>HOUR(EV_Data[[#This Row],[Charging Start Time]])</f>
        <v>15</v>
      </c>
      <c r="F1097" s="1">
        <v>44972.625</v>
      </c>
      <c r="G1097" s="1">
        <v>44972.671527777777</v>
      </c>
      <c r="H1097">
        <v>67</v>
      </c>
      <c r="I1097">
        <v>7.46</v>
      </c>
      <c r="J1097" t="str">
        <f t="shared" si="52"/>
        <v>Low</v>
      </c>
      <c r="K1097" t="s">
        <v>69</v>
      </c>
      <c r="L1097">
        <v>67</v>
      </c>
      <c r="M1097">
        <v>82</v>
      </c>
      <c r="N1097" t="str">
        <f t="shared" si="53"/>
        <v>Low Cost</v>
      </c>
      <c r="O1097">
        <v>3.55</v>
      </c>
      <c r="P1097" t="s">
        <v>43</v>
      </c>
      <c r="Q1097" t="s">
        <v>48</v>
      </c>
      <c r="R1097" t="s">
        <v>56</v>
      </c>
      <c r="S1097" t="s">
        <v>889</v>
      </c>
      <c r="T1097" t="s">
        <v>37</v>
      </c>
      <c r="U1097">
        <v>69</v>
      </c>
      <c r="V1097">
        <v>1.4</v>
      </c>
      <c r="W1097" t="s">
        <v>47</v>
      </c>
      <c r="X1097" t="s">
        <v>29</v>
      </c>
    </row>
    <row r="1098" spans="1:24" x14ac:dyDescent="0.3">
      <c r="A1098" t="s">
        <v>2374</v>
      </c>
      <c r="B1098" t="s">
        <v>53</v>
      </c>
      <c r="C1098" t="s">
        <v>54</v>
      </c>
      <c r="D1098" t="str">
        <f t="shared" si="51"/>
        <v>Afternoon</v>
      </c>
      <c r="E1098">
        <f>HOUR(EV_Data[[#This Row],[Charging Start Time]])</f>
        <v>16</v>
      </c>
      <c r="F1098" s="1">
        <v>44972.666666666664</v>
      </c>
      <c r="G1098" s="1">
        <v>44972.712500000001</v>
      </c>
      <c r="H1098">
        <v>66</v>
      </c>
      <c r="I1098">
        <v>12.11</v>
      </c>
      <c r="J1098" t="str">
        <f t="shared" si="52"/>
        <v>Low</v>
      </c>
      <c r="K1098" t="s">
        <v>42</v>
      </c>
      <c r="L1098">
        <v>59</v>
      </c>
      <c r="M1098">
        <v>69</v>
      </c>
      <c r="N1098" t="str">
        <f t="shared" si="53"/>
        <v>Low Cost</v>
      </c>
      <c r="O1098">
        <v>4.03</v>
      </c>
      <c r="P1098" t="s">
        <v>23</v>
      </c>
      <c r="Q1098" t="s">
        <v>24</v>
      </c>
      <c r="R1098" t="s">
        <v>35</v>
      </c>
      <c r="S1098" t="s">
        <v>636</v>
      </c>
      <c r="T1098" t="s">
        <v>27</v>
      </c>
      <c r="U1098">
        <v>49</v>
      </c>
      <c r="V1098">
        <v>1.1000000000000001</v>
      </c>
      <c r="W1098" t="s">
        <v>47</v>
      </c>
      <c r="X1098" t="s">
        <v>29</v>
      </c>
    </row>
    <row r="1099" spans="1:24" x14ac:dyDescent="0.3">
      <c r="A1099" t="s">
        <v>2375</v>
      </c>
      <c r="B1099" t="s">
        <v>53</v>
      </c>
      <c r="C1099" t="s">
        <v>54</v>
      </c>
      <c r="D1099" t="str">
        <f t="shared" si="51"/>
        <v>Evening</v>
      </c>
      <c r="E1099">
        <f>HOUR(EV_Data[[#This Row],[Charging Start Time]])</f>
        <v>17</v>
      </c>
      <c r="F1099" s="1">
        <v>44972.708333333336</v>
      </c>
      <c r="G1099" s="1">
        <v>44972.740972222222</v>
      </c>
      <c r="H1099">
        <v>47</v>
      </c>
      <c r="I1099">
        <v>29.67</v>
      </c>
      <c r="J1099" t="str">
        <f t="shared" si="52"/>
        <v>Medium</v>
      </c>
      <c r="K1099" t="s">
        <v>42</v>
      </c>
      <c r="L1099">
        <v>77</v>
      </c>
      <c r="M1099">
        <v>100</v>
      </c>
      <c r="N1099" t="str">
        <f t="shared" si="53"/>
        <v>Medium Cost</v>
      </c>
      <c r="O1099">
        <v>14.13</v>
      </c>
      <c r="P1099" t="s">
        <v>64</v>
      </c>
      <c r="Q1099" t="s">
        <v>58</v>
      </c>
      <c r="R1099" t="s">
        <v>35</v>
      </c>
      <c r="S1099" t="s">
        <v>890</v>
      </c>
      <c r="T1099" t="s">
        <v>46</v>
      </c>
      <c r="U1099">
        <v>70</v>
      </c>
      <c r="V1099">
        <v>2.2999999999999998</v>
      </c>
      <c r="W1099" t="s">
        <v>47</v>
      </c>
      <c r="X1099" t="s">
        <v>29</v>
      </c>
    </row>
    <row r="1100" spans="1:24" x14ac:dyDescent="0.3">
      <c r="A1100" t="s">
        <v>2376</v>
      </c>
      <c r="B1100" t="s">
        <v>92</v>
      </c>
      <c r="C1100" t="s">
        <v>93</v>
      </c>
      <c r="D1100" t="str">
        <f t="shared" si="51"/>
        <v>Evening</v>
      </c>
      <c r="E1100">
        <f>HOUR(EV_Data[[#This Row],[Charging Start Time]])</f>
        <v>18</v>
      </c>
      <c r="F1100" s="1">
        <v>44972.75</v>
      </c>
      <c r="G1100" s="1">
        <v>44972.793055555558</v>
      </c>
      <c r="H1100">
        <v>62</v>
      </c>
      <c r="I1100">
        <v>7.69</v>
      </c>
      <c r="J1100" t="str">
        <f t="shared" si="52"/>
        <v>Low</v>
      </c>
      <c r="K1100" t="s">
        <v>42</v>
      </c>
      <c r="L1100">
        <v>26</v>
      </c>
      <c r="M1100">
        <v>64</v>
      </c>
      <c r="N1100" t="str">
        <f t="shared" si="53"/>
        <v>Low Cost</v>
      </c>
      <c r="O1100">
        <v>2.4900000000000002</v>
      </c>
      <c r="P1100" t="s">
        <v>23</v>
      </c>
      <c r="Q1100" t="s">
        <v>48</v>
      </c>
      <c r="R1100" t="s">
        <v>44</v>
      </c>
      <c r="S1100" t="s">
        <v>891</v>
      </c>
      <c r="T1100" t="s">
        <v>46</v>
      </c>
      <c r="U1100">
        <v>71</v>
      </c>
      <c r="V1100">
        <v>2.8</v>
      </c>
      <c r="W1100" t="s">
        <v>38</v>
      </c>
      <c r="X1100" t="s">
        <v>85</v>
      </c>
    </row>
    <row r="1101" spans="1:24" x14ac:dyDescent="0.3">
      <c r="A1101" t="s">
        <v>2377</v>
      </c>
      <c r="B1101" t="s">
        <v>40</v>
      </c>
      <c r="C1101" t="s">
        <v>41</v>
      </c>
      <c r="D1101" t="str">
        <f t="shared" si="51"/>
        <v>Evening</v>
      </c>
      <c r="E1101">
        <f>HOUR(EV_Data[[#This Row],[Charging Start Time]])</f>
        <v>19</v>
      </c>
      <c r="F1101" s="1">
        <v>44972.791666666664</v>
      </c>
      <c r="G1101" s="1">
        <v>44972.82916666667</v>
      </c>
      <c r="H1101">
        <v>54</v>
      </c>
      <c r="I1101">
        <v>41.83</v>
      </c>
      <c r="J1101" t="str">
        <f t="shared" si="52"/>
        <v>Medium</v>
      </c>
      <c r="K1101" t="s">
        <v>22</v>
      </c>
      <c r="L1101">
        <v>51</v>
      </c>
      <c r="M1101">
        <v>75</v>
      </c>
      <c r="N1101" t="str">
        <f t="shared" si="53"/>
        <v>Medium Cost</v>
      </c>
      <c r="O1101">
        <v>13</v>
      </c>
      <c r="P1101" t="s">
        <v>23</v>
      </c>
      <c r="Q1101" t="s">
        <v>34</v>
      </c>
      <c r="R1101" t="s">
        <v>35</v>
      </c>
      <c r="S1101" t="s">
        <v>892</v>
      </c>
      <c r="T1101" t="s">
        <v>37</v>
      </c>
      <c r="U1101">
        <v>56</v>
      </c>
      <c r="V1101">
        <v>1.9</v>
      </c>
      <c r="W1101" t="s">
        <v>38</v>
      </c>
      <c r="X1101" t="s">
        <v>39</v>
      </c>
    </row>
    <row r="1102" spans="1:24" x14ac:dyDescent="0.3">
      <c r="A1102" t="s">
        <v>2378</v>
      </c>
      <c r="B1102" t="s">
        <v>20</v>
      </c>
      <c r="C1102" t="s">
        <v>21</v>
      </c>
      <c r="D1102" t="str">
        <f t="shared" si="51"/>
        <v>Evening</v>
      </c>
      <c r="E1102">
        <f>HOUR(EV_Data[[#This Row],[Charging Start Time]])</f>
        <v>20</v>
      </c>
      <c r="F1102" s="1">
        <v>44972.833333333336</v>
      </c>
      <c r="G1102" s="1">
        <v>44972.863888888889</v>
      </c>
      <c r="H1102">
        <v>44</v>
      </c>
      <c r="I1102">
        <v>40.450000000000003</v>
      </c>
      <c r="J1102" t="str">
        <f t="shared" si="52"/>
        <v>Medium</v>
      </c>
      <c r="K1102" t="s">
        <v>32</v>
      </c>
      <c r="L1102">
        <v>16</v>
      </c>
      <c r="M1102">
        <v>50</v>
      </c>
      <c r="N1102" t="str">
        <f t="shared" si="53"/>
        <v>Medium Cost</v>
      </c>
      <c r="O1102">
        <v>10.57</v>
      </c>
      <c r="P1102" t="s">
        <v>33</v>
      </c>
      <c r="Q1102" t="s">
        <v>34</v>
      </c>
      <c r="R1102" t="s">
        <v>56</v>
      </c>
      <c r="S1102" t="s">
        <v>893</v>
      </c>
      <c r="T1102" t="s">
        <v>60</v>
      </c>
      <c r="U1102">
        <v>79</v>
      </c>
      <c r="V1102">
        <v>2.2999999999999998</v>
      </c>
      <c r="W1102" t="s">
        <v>47</v>
      </c>
      <c r="X1102" t="s">
        <v>29</v>
      </c>
    </row>
    <row r="1103" spans="1:24" x14ac:dyDescent="0.3">
      <c r="A1103" t="s">
        <v>2379</v>
      </c>
      <c r="B1103" t="s">
        <v>20</v>
      </c>
      <c r="C1103" t="s">
        <v>21</v>
      </c>
      <c r="D1103" t="str">
        <f t="shared" si="51"/>
        <v>Evening</v>
      </c>
      <c r="E1103">
        <f>HOUR(EV_Data[[#This Row],[Charging Start Time]])</f>
        <v>21</v>
      </c>
      <c r="F1103" s="1">
        <v>44972.875</v>
      </c>
      <c r="G1103" s="1">
        <v>44972.927777777782</v>
      </c>
      <c r="H1103">
        <v>76</v>
      </c>
      <c r="I1103">
        <v>32.270000000000003</v>
      </c>
      <c r="J1103" t="str">
        <f t="shared" si="52"/>
        <v>Medium</v>
      </c>
      <c r="K1103" t="s">
        <v>50</v>
      </c>
      <c r="L1103">
        <v>79</v>
      </c>
      <c r="M1103">
        <v>99</v>
      </c>
      <c r="N1103" t="str">
        <f t="shared" si="53"/>
        <v>Medium Cost</v>
      </c>
      <c r="O1103">
        <v>12.63</v>
      </c>
      <c r="P1103" t="s">
        <v>64</v>
      </c>
      <c r="Q1103" t="s">
        <v>58</v>
      </c>
      <c r="R1103" t="s">
        <v>35</v>
      </c>
      <c r="S1103" t="s">
        <v>851</v>
      </c>
      <c r="T1103" t="s">
        <v>27</v>
      </c>
      <c r="U1103">
        <v>71</v>
      </c>
      <c r="V1103">
        <v>1.1000000000000001</v>
      </c>
      <c r="W1103" t="s">
        <v>47</v>
      </c>
      <c r="X1103" t="s">
        <v>29</v>
      </c>
    </row>
    <row r="1104" spans="1:24" x14ac:dyDescent="0.3">
      <c r="A1104" t="s">
        <v>2380</v>
      </c>
      <c r="B1104" t="s">
        <v>53</v>
      </c>
      <c r="C1104" t="s">
        <v>54</v>
      </c>
      <c r="D1104" t="str">
        <f t="shared" si="51"/>
        <v>Evening</v>
      </c>
      <c r="E1104">
        <f>HOUR(EV_Data[[#This Row],[Charging Start Time]])</f>
        <v>22</v>
      </c>
      <c r="F1104" s="1">
        <v>44972.916666666664</v>
      </c>
      <c r="G1104" s="1">
        <v>44972.974999999999</v>
      </c>
      <c r="H1104">
        <v>84</v>
      </c>
      <c r="I1104">
        <v>9.76</v>
      </c>
      <c r="J1104" t="str">
        <f t="shared" si="52"/>
        <v>Low</v>
      </c>
      <c r="K1104" t="s">
        <v>69</v>
      </c>
      <c r="L1104">
        <v>71</v>
      </c>
      <c r="M1104">
        <v>83</v>
      </c>
      <c r="N1104" t="str">
        <f t="shared" si="53"/>
        <v>Low Cost</v>
      </c>
      <c r="O1104">
        <v>3.57</v>
      </c>
      <c r="P1104" t="s">
        <v>51</v>
      </c>
      <c r="Q1104" t="s">
        <v>48</v>
      </c>
      <c r="R1104" t="s">
        <v>56</v>
      </c>
      <c r="S1104" t="s">
        <v>894</v>
      </c>
      <c r="T1104" t="s">
        <v>46</v>
      </c>
      <c r="U1104">
        <v>15</v>
      </c>
      <c r="V1104">
        <v>3.6</v>
      </c>
      <c r="W1104" t="s">
        <v>28</v>
      </c>
      <c r="X1104" t="s">
        <v>68</v>
      </c>
    </row>
    <row r="1105" spans="1:24" x14ac:dyDescent="0.3">
      <c r="A1105" t="s">
        <v>2381</v>
      </c>
      <c r="B1105" t="s">
        <v>126</v>
      </c>
      <c r="C1105" t="s">
        <v>31</v>
      </c>
      <c r="D1105" t="str">
        <f t="shared" si="51"/>
        <v>Evening</v>
      </c>
      <c r="E1105">
        <f>HOUR(EV_Data[[#This Row],[Charging Start Time]])</f>
        <v>23</v>
      </c>
      <c r="F1105" s="1">
        <v>44972.958333333336</v>
      </c>
      <c r="G1105" s="1">
        <v>44973.002083333333</v>
      </c>
      <c r="H1105">
        <v>63</v>
      </c>
      <c r="I1105">
        <v>14.03</v>
      </c>
      <c r="J1105" t="str">
        <f t="shared" si="52"/>
        <v>Low</v>
      </c>
      <c r="K1105" t="s">
        <v>55</v>
      </c>
      <c r="L1105">
        <v>19</v>
      </c>
      <c r="M1105">
        <v>50</v>
      </c>
      <c r="N1105" t="str">
        <f t="shared" si="53"/>
        <v>Low Cost</v>
      </c>
      <c r="O1105">
        <v>6.73</v>
      </c>
      <c r="P1105" t="s">
        <v>23</v>
      </c>
      <c r="Q1105" t="s">
        <v>34</v>
      </c>
      <c r="R1105" t="s">
        <v>25</v>
      </c>
      <c r="S1105" t="s">
        <v>498</v>
      </c>
      <c r="T1105" t="s">
        <v>37</v>
      </c>
      <c r="U1105">
        <v>4</v>
      </c>
      <c r="V1105">
        <v>2.4</v>
      </c>
      <c r="W1105" t="s">
        <v>38</v>
      </c>
      <c r="X1105" t="s">
        <v>62</v>
      </c>
    </row>
    <row r="1106" spans="1:24" x14ac:dyDescent="0.3">
      <c r="A1106" t="s">
        <v>2382</v>
      </c>
      <c r="B1106" t="s">
        <v>20</v>
      </c>
      <c r="C1106" t="s">
        <v>21</v>
      </c>
      <c r="D1106" t="str">
        <f t="shared" si="51"/>
        <v>Morning</v>
      </c>
      <c r="E1106">
        <f>HOUR(EV_Data[[#This Row],[Charging Start Time]])</f>
        <v>0</v>
      </c>
      <c r="F1106" s="1">
        <v>44973</v>
      </c>
      <c r="G1106" s="1">
        <v>44973.05</v>
      </c>
      <c r="H1106">
        <v>72</v>
      </c>
      <c r="I1106">
        <v>22.42</v>
      </c>
      <c r="J1106" t="str">
        <f t="shared" si="52"/>
        <v>Medium</v>
      </c>
      <c r="K1106" t="s">
        <v>32</v>
      </c>
      <c r="L1106">
        <v>49</v>
      </c>
      <c r="M1106">
        <v>74</v>
      </c>
      <c r="N1106" t="str">
        <f t="shared" si="53"/>
        <v>Low Cost</v>
      </c>
      <c r="O1106">
        <v>7.16</v>
      </c>
      <c r="P1106" t="s">
        <v>64</v>
      </c>
      <c r="Q1106" t="s">
        <v>34</v>
      </c>
      <c r="R1106" t="s">
        <v>25</v>
      </c>
      <c r="S1106" t="s">
        <v>89</v>
      </c>
      <c r="T1106" t="s">
        <v>46</v>
      </c>
      <c r="U1106">
        <v>39</v>
      </c>
      <c r="V1106">
        <v>4.3</v>
      </c>
      <c r="W1106" t="s">
        <v>28</v>
      </c>
      <c r="X1106" t="s">
        <v>68</v>
      </c>
    </row>
    <row r="1107" spans="1:24" x14ac:dyDescent="0.3">
      <c r="A1107" t="s">
        <v>2383</v>
      </c>
      <c r="B1107" t="s">
        <v>71</v>
      </c>
      <c r="C1107" t="s">
        <v>72</v>
      </c>
      <c r="D1107" t="str">
        <f t="shared" si="51"/>
        <v>Morning</v>
      </c>
      <c r="E1107">
        <f>HOUR(EV_Data[[#This Row],[Charging Start Time]])</f>
        <v>1</v>
      </c>
      <c r="F1107" s="1">
        <v>44973.041666666664</v>
      </c>
      <c r="G1107" s="1">
        <v>44973.082638888889</v>
      </c>
      <c r="H1107">
        <v>59</v>
      </c>
      <c r="I1107">
        <v>38.22</v>
      </c>
      <c r="J1107" t="str">
        <f t="shared" si="52"/>
        <v>Medium</v>
      </c>
      <c r="K1107" t="s">
        <v>55</v>
      </c>
      <c r="L1107">
        <v>80</v>
      </c>
      <c r="M1107">
        <v>100</v>
      </c>
      <c r="N1107" t="str">
        <f t="shared" si="53"/>
        <v>Medium Cost</v>
      </c>
      <c r="O1107">
        <v>14.68</v>
      </c>
      <c r="P1107" t="s">
        <v>64</v>
      </c>
      <c r="Q1107" t="s">
        <v>34</v>
      </c>
      <c r="R1107" t="s">
        <v>25</v>
      </c>
      <c r="S1107" t="s">
        <v>606</v>
      </c>
      <c r="T1107" t="s">
        <v>60</v>
      </c>
      <c r="U1107">
        <v>50</v>
      </c>
      <c r="V1107">
        <v>1.3</v>
      </c>
      <c r="W1107" t="s">
        <v>47</v>
      </c>
      <c r="X1107" t="s">
        <v>29</v>
      </c>
    </row>
    <row r="1108" spans="1:24" x14ac:dyDescent="0.3">
      <c r="A1108" t="s">
        <v>2384</v>
      </c>
      <c r="B1108" t="s">
        <v>77</v>
      </c>
      <c r="C1108" t="s">
        <v>78</v>
      </c>
      <c r="D1108" t="str">
        <f t="shared" si="51"/>
        <v>Morning</v>
      </c>
      <c r="E1108">
        <f>HOUR(EV_Data[[#This Row],[Charging Start Time]])</f>
        <v>2</v>
      </c>
      <c r="F1108" s="1">
        <v>44973.083333333336</v>
      </c>
      <c r="G1108" s="1">
        <v>44973.097916666673</v>
      </c>
      <c r="H1108">
        <v>21</v>
      </c>
      <c r="I1108">
        <v>42.38</v>
      </c>
      <c r="J1108" t="str">
        <f t="shared" si="52"/>
        <v>Medium</v>
      </c>
      <c r="K1108" t="s">
        <v>50</v>
      </c>
      <c r="L1108">
        <v>77</v>
      </c>
      <c r="M1108">
        <v>100</v>
      </c>
      <c r="N1108" t="str">
        <f t="shared" si="53"/>
        <v>Medium Cost</v>
      </c>
      <c r="O1108">
        <v>9.49</v>
      </c>
      <c r="P1108" t="s">
        <v>51</v>
      </c>
      <c r="Q1108" t="s">
        <v>48</v>
      </c>
      <c r="R1108" t="s">
        <v>35</v>
      </c>
      <c r="S1108" t="s">
        <v>895</v>
      </c>
      <c r="T1108" t="s">
        <v>37</v>
      </c>
      <c r="U1108">
        <v>58</v>
      </c>
      <c r="V1108">
        <v>4.9000000000000004</v>
      </c>
      <c r="W1108" t="s">
        <v>47</v>
      </c>
      <c r="X1108" t="s">
        <v>29</v>
      </c>
    </row>
    <row r="1109" spans="1:24" x14ac:dyDescent="0.3">
      <c r="A1109" t="s">
        <v>2385</v>
      </c>
      <c r="B1109" t="s">
        <v>92</v>
      </c>
      <c r="C1109" t="s">
        <v>93</v>
      </c>
      <c r="D1109" t="str">
        <f t="shared" si="51"/>
        <v>Morning</v>
      </c>
      <c r="E1109">
        <f>HOUR(EV_Data[[#This Row],[Charging Start Time]])</f>
        <v>3</v>
      </c>
      <c r="F1109" s="1">
        <v>44973.125</v>
      </c>
      <c r="G1109" s="1">
        <v>44973.125694444447</v>
      </c>
      <c r="H1109">
        <v>1</v>
      </c>
      <c r="I1109">
        <v>45.81</v>
      </c>
      <c r="J1109" t="str">
        <f t="shared" si="52"/>
        <v>Medium</v>
      </c>
      <c r="K1109" t="s">
        <v>55</v>
      </c>
      <c r="L1109">
        <v>46</v>
      </c>
      <c r="M1109">
        <v>58</v>
      </c>
      <c r="N1109" t="str">
        <f t="shared" si="53"/>
        <v>High Cost</v>
      </c>
      <c r="O1109">
        <v>18.46</v>
      </c>
      <c r="P1109" t="s">
        <v>23</v>
      </c>
      <c r="Q1109" t="s">
        <v>24</v>
      </c>
      <c r="R1109" t="s">
        <v>25</v>
      </c>
      <c r="S1109" t="s">
        <v>896</v>
      </c>
      <c r="T1109" t="s">
        <v>37</v>
      </c>
      <c r="U1109">
        <v>18</v>
      </c>
      <c r="V1109">
        <v>1.7</v>
      </c>
      <c r="W1109" t="s">
        <v>28</v>
      </c>
      <c r="X1109" t="s">
        <v>68</v>
      </c>
    </row>
    <row r="1110" spans="1:24" x14ac:dyDescent="0.3">
      <c r="A1110" t="s">
        <v>2386</v>
      </c>
      <c r="B1110" t="s">
        <v>126</v>
      </c>
      <c r="C1110" t="s">
        <v>31</v>
      </c>
      <c r="D1110" t="str">
        <f t="shared" si="51"/>
        <v>Morning</v>
      </c>
      <c r="E1110">
        <f>HOUR(EV_Data[[#This Row],[Charging Start Time]])</f>
        <v>4</v>
      </c>
      <c r="F1110" s="1">
        <v>44973.166666666664</v>
      </c>
      <c r="G1110" s="1">
        <v>44973.197916666657</v>
      </c>
      <c r="H1110">
        <v>45</v>
      </c>
      <c r="I1110">
        <v>37.5</v>
      </c>
      <c r="J1110" t="str">
        <f t="shared" si="52"/>
        <v>Medium</v>
      </c>
      <c r="K1110" t="s">
        <v>42</v>
      </c>
      <c r="L1110">
        <v>37</v>
      </c>
      <c r="M1110">
        <v>71</v>
      </c>
      <c r="N1110" t="str">
        <f t="shared" si="53"/>
        <v>High Cost</v>
      </c>
      <c r="O1110">
        <v>17.04</v>
      </c>
      <c r="P1110" t="s">
        <v>33</v>
      </c>
      <c r="Q1110" t="s">
        <v>34</v>
      </c>
      <c r="R1110" t="s">
        <v>56</v>
      </c>
      <c r="S1110" t="s">
        <v>897</v>
      </c>
      <c r="T1110" t="s">
        <v>37</v>
      </c>
      <c r="U1110">
        <v>8</v>
      </c>
      <c r="V1110">
        <v>4</v>
      </c>
      <c r="W1110" t="s">
        <v>47</v>
      </c>
      <c r="X1110" t="s">
        <v>29</v>
      </c>
    </row>
    <row r="1111" spans="1:24" x14ac:dyDescent="0.3">
      <c r="A1111" t="s">
        <v>2387</v>
      </c>
      <c r="B1111" t="s">
        <v>126</v>
      </c>
      <c r="C1111" t="s">
        <v>31</v>
      </c>
      <c r="D1111" t="str">
        <f t="shared" si="51"/>
        <v>Morning</v>
      </c>
      <c r="E1111">
        <f>HOUR(EV_Data[[#This Row],[Charging Start Time]])</f>
        <v>5</v>
      </c>
      <c r="F1111" s="1">
        <v>44973.208333333336</v>
      </c>
      <c r="G1111" s="1">
        <v>44973.220833333333</v>
      </c>
      <c r="H1111">
        <v>18</v>
      </c>
      <c r="I1111">
        <v>14.48</v>
      </c>
      <c r="J1111" t="str">
        <f t="shared" si="52"/>
        <v>Low</v>
      </c>
      <c r="K1111" t="s">
        <v>55</v>
      </c>
      <c r="L1111">
        <v>58</v>
      </c>
      <c r="M1111">
        <v>88</v>
      </c>
      <c r="N1111" t="str">
        <f t="shared" si="53"/>
        <v>Low Cost</v>
      </c>
      <c r="O1111">
        <v>5.59</v>
      </c>
      <c r="P1111" t="s">
        <v>43</v>
      </c>
      <c r="Q1111" t="s">
        <v>58</v>
      </c>
      <c r="R1111" t="s">
        <v>25</v>
      </c>
      <c r="S1111" t="s">
        <v>898</v>
      </c>
      <c r="T1111" t="s">
        <v>27</v>
      </c>
      <c r="U1111">
        <v>2</v>
      </c>
      <c r="V1111">
        <v>1.2</v>
      </c>
      <c r="W1111" t="s">
        <v>38</v>
      </c>
      <c r="X1111" t="s">
        <v>62</v>
      </c>
    </row>
    <row r="1112" spans="1:24" x14ac:dyDescent="0.3">
      <c r="A1112" t="s">
        <v>2388</v>
      </c>
      <c r="B1112" t="s">
        <v>53</v>
      </c>
      <c r="C1112" t="s">
        <v>54</v>
      </c>
      <c r="D1112" t="str">
        <f t="shared" si="51"/>
        <v>Morning</v>
      </c>
      <c r="E1112">
        <f>HOUR(EV_Data[[#This Row],[Charging Start Time]])</f>
        <v>6</v>
      </c>
      <c r="F1112" s="1">
        <v>44973.25</v>
      </c>
      <c r="G1112" s="1">
        <v>44973.306944444441</v>
      </c>
      <c r="H1112">
        <v>82</v>
      </c>
      <c r="I1112">
        <v>42.85</v>
      </c>
      <c r="J1112" t="str">
        <f t="shared" si="52"/>
        <v>Medium</v>
      </c>
      <c r="K1112" t="s">
        <v>22</v>
      </c>
      <c r="L1112">
        <v>21</v>
      </c>
      <c r="M1112">
        <v>35</v>
      </c>
      <c r="N1112" t="str">
        <f t="shared" si="53"/>
        <v>Medium Cost</v>
      </c>
      <c r="O1112">
        <v>14.91</v>
      </c>
      <c r="P1112" t="s">
        <v>33</v>
      </c>
      <c r="Q1112" t="s">
        <v>34</v>
      </c>
      <c r="R1112" t="s">
        <v>35</v>
      </c>
      <c r="S1112" t="s">
        <v>826</v>
      </c>
      <c r="T1112" t="s">
        <v>60</v>
      </c>
      <c r="U1112">
        <v>45</v>
      </c>
      <c r="V1112">
        <v>2.8</v>
      </c>
      <c r="W1112" t="s">
        <v>28</v>
      </c>
      <c r="X1112" t="s">
        <v>68</v>
      </c>
    </row>
    <row r="1113" spans="1:24" x14ac:dyDescent="0.3">
      <c r="A1113" t="s">
        <v>2389</v>
      </c>
      <c r="B1113" t="s">
        <v>126</v>
      </c>
      <c r="C1113" t="s">
        <v>31</v>
      </c>
      <c r="D1113" t="str">
        <f t="shared" si="51"/>
        <v>Morning</v>
      </c>
      <c r="E1113">
        <f>HOUR(EV_Data[[#This Row],[Charging Start Time]])</f>
        <v>7</v>
      </c>
      <c r="F1113" s="1">
        <v>44973.291666666664</v>
      </c>
      <c r="G1113" s="1">
        <v>44973.313888888893</v>
      </c>
      <c r="H1113">
        <v>32</v>
      </c>
      <c r="I1113">
        <v>35.64</v>
      </c>
      <c r="J1113" t="str">
        <f t="shared" si="52"/>
        <v>Medium</v>
      </c>
      <c r="K1113" t="s">
        <v>42</v>
      </c>
      <c r="L1113">
        <v>71</v>
      </c>
      <c r="M1113">
        <v>100</v>
      </c>
      <c r="N1113" t="str">
        <f t="shared" si="53"/>
        <v>Medium Cost</v>
      </c>
      <c r="O1113">
        <v>12.75</v>
      </c>
      <c r="P1113" t="s">
        <v>51</v>
      </c>
      <c r="Q1113" t="s">
        <v>48</v>
      </c>
      <c r="R1113" t="s">
        <v>56</v>
      </c>
      <c r="S1113" t="s">
        <v>899</v>
      </c>
      <c r="T1113" t="s">
        <v>37</v>
      </c>
      <c r="U1113">
        <v>40</v>
      </c>
      <c r="V1113">
        <v>1.7</v>
      </c>
      <c r="W1113" t="s">
        <v>38</v>
      </c>
      <c r="X1113" t="s">
        <v>83</v>
      </c>
    </row>
    <row r="1114" spans="1:24" x14ac:dyDescent="0.3">
      <c r="A1114" t="s">
        <v>2390</v>
      </c>
      <c r="B1114" t="s">
        <v>71</v>
      </c>
      <c r="C1114" t="s">
        <v>72</v>
      </c>
      <c r="D1114" t="str">
        <f t="shared" si="51"/>
        <v>Morning</v>
      </c>
      <c r="E1114">
        <f>HOUR(EV_Data[[#This Row],[Charging Start Time]])</f>
        <v>8</v>
      </c>
      <c r="F1114" s="1">
        <v>44973.333333333336</v>
      </c>
      <c r="G1114" s="1">
        <v>44973.352777777778</v>
      </c>
      <c r="H1114">
        <v>28</v>
      </c>
      <c r="I1114">
        <v>41.53</v>
      </c>
      <c r="J1114" t="str">
        <f t="shared" si="52"/>
        <v>Medium</v>
      </c>
      <c r="K1114" t="s">
        <v>50</v>
      </c>
      <c r="L1114">
        <v>67</v>
      </c>
      <c r="M1114">
        <v>96</v>
      </c>
      <c r="N1114" t="str">
        <f t="shared" si="53"/>
        <v>Medium Cost</v>
      </c>
      <c r="O1114">
        <v>13.45</v>
      </c>
      <c r="P1114" t="s">
        <v>43</v>
      </c>
      <c r="Q1114" t="s">
        <v>58</v>
      </c>
      <c r="R1114" t="s">
        <v>35</v>
      </c>
      <c r="S1114" t="s">
        <v>400</v>
      </c>
      <c r="T1114" t="s">
        <v>37</v>
      </c>
      <c r="U1114">
        <v>78</v>
      </c>
      <c r="V1114">
        <v>5</v>
      </c>
      <c r="W1114" t="s">
        <v>38</v>
      </c>
      <c r="X1114" t="s">
        <v>39</v>
      </c>
    </row>
    <row r="1115" spans="1:24" x14ac:dyDescent="0.3">
      <c r="A1115" t="s">
        <v>2391</v>
      </c>
      <c r="B1115" t="s">
        <v>20</v>
      </c>
      <c r="C1115" t="s">
        <v>21</v>
      </c>
      <c r="D1115" t="str">
        <f t="shared" si="51"/>
        <v>Morning</v>
      </c>
      <c r="E1115">
        <f>HOUR(EV_Data[[#This Row],[Charging Start Time]])</f>
        <v>9</v>
      </c>
      <c r="F1115" s="1">
        <v>44973.375</v>
      </c>
      <c r="G1115" s="1">
        <v>44973.397222222222</v>
      </c>
      <c r="H1115">
        <v>32</v>
      </c>
      <c r="I1115">
        <v>48.53</v>
      </c>
      <c r="J1115" t="str">
        <f t="shared" si="52"/>
        <v>Medium</v>
      </c>
      <c r="K1115" t="s">
        <v>69</v>
      </c>
      <c r="L1115">
        <v>10</v>
      </c>
      <c r="M1115">
        <v>24</v>
      </c>
      <c r="N1115" t="str">
        <f t="shared" si="53"/>
        <v>Medium Cost</v>
      </c>
      <c r="O1115">
        <v>16.91</v>
      </c>
      <c r="P1115" t="s">
        <v>43</v>
      </c>
      <c r="Q1115" t="s">
        <v>58</v>
      </c>
      <c r="R1115" t="s">
        <v>25</v>
      </c>
      <c r="S1115" t="s">
        <v>900</v>
      </c>
      <c r="T1115" t="s">
        <v>46</v>
      </c>
      <c r="U1115">
        <v>21</v>
      </c>
      <c r="V1115">
        <v>3.9</v>
      </c>
      <c r="W1115" t="s">
        <v>47</v>
      </c>
      <c r="X1115" t="s">
        <v>29</v>
      </c>
    </row>
    <row r="1116" spans="1:24" x14ac:dyDescent="0.3">
      <c r="A1116" t="s">
        <v>2392</v>
      </c>
      <c r="B1116" t="s">
        <v>92</v>
      </c>
      <c r="C1116" t="s">
        <v>93</v>
      </c>
      <c r="D1116" t="str">
        <f t="shared" si="51"/>
        <v>Morning</v>
      </c>
      <c r="E1116">
        <f>HOUR(EV_Data[[#This Row],[Charging Start Time]])</f>
        <v>10</v>
      </c>
      <c r="F1116" s="1">
        <v>44973.416666666664</v>
      </c>
      <c r="G1116" s="1">
        <v>44973.477777777778</v>
      </c>
      <c r="H1116">
        <v>88</v>
      </c>
      <c r="I1116">
        <v>7.78</v>
      </c>
      <c r="J1116" t="str">
        <f t="shared" si="52"/>
        <v>Low</v>
      </c>
      <c r="K1116" t="s">
        <v>22</v>
      </c>
      <c r="L1116">
        <v>63</v>
      </c>
      <c r="M1116">
        <v>90</v>
      </c>
      <c r="N1116" t="str">
        <f t="shared" si="53"/>
        <v>Low Cost</v>
      </c>
      <c r="O1116">
        <v>3.6</v>
      </c>
      <c r="P1116" t="s">
        <v>43</v>
      </c>
      <c r="Q1116" t="s">
        <v>58</v>
      </c>
      <c r="R1116" t="s">
        <v>25</v>
      </c>
      <c r="S1116" t="s">
        <v>789</v>
      </c>
      <c r="T1116" t="s">
        <v>46</v>
      </c>
      <c r="U1116">
        <v>75</v>
      </c>
      <c r="V1116">
        <v>2.5</v>
      </c>
      <c r="W1116" t="s">
        <v>38</v>
      </c>
      <c r="X1116" t="s">
        <v>83</v>
      </c>
    </row>
    <row r="1117" spans="1:24" x14ac:dyDescent="0.3">
      <c r="A1117" t="s">
        <v>2393</v>
      </c>
      <c r="B1117" t="s">
        <v>30</v>
      </c>
      <c r="C1117" t="s">
        <v>102</v>
      </c>
      <c r="D1117" t="str">
        <f t="shared" si="51"/>
        <v>Morning</v>
      </c>
      <c r="E1117">
        <f>HOUR(EV_Data[[#This Row],[Charging Start Time]])</f>
        <v>11</v>
      </c>
      <c r="F1117" s="1">
        <v>44973.458333333336</v>
      </c>
      <c r="G1117" s="1">
        <v>44973.481249999997</v>
      </c>
      <c r="H1117">
        <v>33</v>
      </c>
      <c r="I1117">
        <v>29.34</v>
      </c>
      <c r="J1117" t="str">
        <f t="shared" si="52"/>
        <v>Medium</v>
      </c>
      <c r="K1117" t="s">
        <v>22</v>
      </c>
      <c r="L1117">
        <v>52</v>
      </c>
      <c r="M1117">
        <v>68</v>
      </c>
      <c r="N1117" t="str">
        <f t="shared" si="53"/>
        <v>Low Cost</v>
      </c>
      <c r="O1117">
        <v>5.9</v>
      </c>
      <c r="P1117" t="s">
        <v>23</v>
      </c>
      <c r="Q1117" t="s">
        <v>48</v>
      </c>
      <c r="R1117" t="s">
        <v>44</v>
      </c>
      <c r="S1117" t="s">
        <v>901</v>
      </c>
      <c r="T1117" t="s">
        <v>46</v>
      </c>
      <c r="U1117">
        <v>26</v>
      </c>
      <c r="V1117">
        <v>3.3</v>
      </c>
      <c r="W1117" t="s">
        <v>28</v>
      </c>
      <c r="X1117" t="s">
        <v>68</v>
      </c>
    </row>
    <row r="1118" spans="1:24" x14ac:dyDescent="0.3">
      <c r="A1118" t="s">
        <v>2394</v>
      </c>
      <c r="B1118" t="s">
        <v>77</v>
      </c>
      <c r="C1118" t="s">
        <v>78</v>
      </c>
      <c r="D1118" t="str">
        <f t="shared" si="51"/>
        <v>Afternoon</v>
      </c>
      <c r="E1118">
        <f>HOUR(EV_Data[[#This Row],[Charging Start Time]])</f>
        <v>12</v>
      </c>
      <c r="F1118" s="1">
        <v>44973.5</v>
      </c>
      <c r="G1118" s="1">
        <v>44973.530555555553</v>
      </c>
      <c r="H1118">
        <v>44</v>
      </c>
      <c r="I1118">
        <v>25.39</v>
      </c>
      <c r="J1118" t="str">
        <f t="shared" si="52"/>
        <v>Medium</v>
      </c>
      <c r="K1118" t="s">
        <v>50</v>
      </c>
      <c r="L1118">
        <v>64</v>
      </c>
      <c r="M1118">
        <v>91</v>
      </c>
      <c r="N1118" t="str">
        <f t="shared" si="53"/>
        <v>Low Cost</v>
      </c>
      <c r="O1118">
        <v>7.49</v>
      </c>
      <c r="P1118" t="s">
        <v>43</v>
      </c>
      <c r="Q1118" t="s">
        <v>48</v>
      </c>
      <c r="R1118" t="s">
        <v>35</v>
      </c>
      <c r="S1118" t="s">
        <v>623</v>
      </c>
      <c r="T1118" t="s">
        <v>37</v>
      </c>
      <c r="U1118">
        <v>2</v>
      </c>
      <c r="V1118">
        <v>3.3</v>
      </c>
      <c r="W1118" t="s">
        <v>47</v>
      </c>
      <c r="X1118" t="s">
        <v>29</v>
      </c>
    </row>
    <row r="1119" spans="1:24" x14ac:dyDescent="0.3">
      <c r="A1119" t="s">
        <v>2395</v>
      </c>
      <c r="B1119" t="s">
        <v>92</v>
      </c>
      <c r="C1119" t="s">
        <v>93</v>
      </c>
      <c r="D1119" t="str">
        <f t="shared" si="51"/>
        <v>Afternoon</v>
      </c>
      <c r="E1119">
        <f>HOUR(EV_Data[[#This Row],[Charging Start Time]])</f>
        <v>13</v>
      </c>
      <c r="F1119" s="1">
        <v>44973.541666666664</v>
      </c>
      <c r="G1119" s="1">
        <v>44973.588194444441</v>
      </c>
      <c r="H1119">
        <v>67</v>
      </c>
      <c r="I1119">
        <v>17.62</v>
      </c>
      <c r="J1119" t="str">
        <f t="shared" si="52"/>
        <v>Low</v>
      </c>
      <c r="K1119" t="s">
        <v>32</v>
      </c>
      <c r="L1119">
        <v>67</v>
      </c>
      <c r="M1119">
        <v>100</v>
      </c>
      <c r="N1119" t="str">
        <f t="shared" si="53"/>
        <v>Low Cost</v>
      </c>
      <c r="O1119">
        <v>5.72</v>
      </c>
      <c r="P1119" t="s">
        <v>43</v>
      </c>
      <c r="Q1119" t="s">
        <v>48</v>
      </c>
      <c r="R1119" t="s">
        <v>35</v>
      </c>
      <c r="S1119" t="s">
        <v>504</v>
      </c>
      <c r="T1119" t="s">
        <v>46</v>
      </c>
      <c r="U1119">
        <v>58</v>
      </c>
      <c r="V1119">
        <v>3.5</v>
      </c>
      <c r="W1119" t="s">
        <v>28</v>
      </c>
      <c r="X1119" t="s">
        <v>68</v>
      </c>
    </row>
    <row r="1120" spans="1:24" x14ac:dyDescent="0.3">
      <c r="A1120" t="s">
        <v>2396</v>
      </c>
      <c r="B1120" t="s">
        <v>53</v>
      </c>
      <c r="C1120" t="s">
        <v>54</v>
      </c>
      <c r="D1120" t="str">
        <f t="shared" si="51"/>
        <v>Afternoon</v>
      </c>
      <c r="E1120">
        <f>HOUR(EV_Data[[#This Row],[Charging Start Time]])</f>
        <v>14</v>
      </c>
      <c r="F1120" s="1">
        <v>44973.583333333336</v>
      </c>
      <c r="G1120" s="1">
        <v>44973.626388888893</v>
      </c>
      <c r="H1120">
        <v>62</v>
      </c>
      <c r="I1120">
        <v>9.5500000000000007</v>
      </c>
      <c r="J1120" t="str">
        <f t="shared" si="52"/>
        <v>Low</v>
      </c>
      <c r="K1120" t="s">
        <v>32</v>
      </c>
      <c r="L1120">
        <v>42</v>
      </c>
      <c r="M1120">
        <v>80</v>
      </c>
      <c r="N1120" t="str">
        <f t="shared" si="53"/>
        <v>Low Cost</v>
      </c>
      <c r="O1120">
        <v>3.32</v>
      </c>
      <c r="P1120" t="s">
        <v>23</v>
      </c>
      <c r="Q1120" t="s">
        <v>58</v>
      </c>
      <c r="R1120" t="s">
        <v>44</v>
      </c>
      <c r="S1120" t="s">
        <v>439</v>
      </c>
      <c r="T1120" t="s">
        <v>46</v>
      </c>
      <c r="U1120">
        <v>13</v>
      </c>
      <c r="V1120">
        <v>4.5</v>
      </c>
      <c r="W1120" t="s">
        <v>38</v>
      </c>
      <c r="X1120" t="s">
        <v>83</v>
      </c>
    </row>
    <row r="1121" spans="1:24" x14ac:dyDescent="0.3">
      <c r="A1121" t="s">
        <v>2397</v>
      </c>
      <c r="B1121" t="s">
        <v>92</v>
      </c>
      <c r="C1121" t="s">
        <v>93</v>
      </c>
      <c r="D1121" t="str">
        <f t="shared" si="51"/>
        <v>Afternoon</v>
      </c>
      <c r="E1121">
        <f>HOUR(EV_Data[[#This Row],[Charging Start Time]])</f>
        <v>15</v>
      </c>
      <c r="F1121" s="1">
        <v>44973.625</v>
      </c>
      <c r="G1121" s="1">
        <v>44973.67291666667</v>
      </c>
      <c r="H1121">
        <v>69</v>
      </c>
      <c r="I1121">
        <v>26.55</v>
      </c>
      <c r="J1121" t="str">
        <f t="shared" si="52"/>
        <v>Medium</v>
      </c>
      <c r="K1121" t="s">
        <v>55</v>
      </c>
      <c r="L1121">
        <v>65</v>
      </c>
      <c r="M1121">
        <v>98</v>
      </c>
      <c r="N1121" t="str">
        <f t="shared" si="53"/>
        <v>Low Cost</v>
      </c>
      <c r="O1121">
        <v>7.89</v>
      </c>
      <c r="P1121" t="s">
        <v>64</v>
      </c>
      <c r="Q1121" t="s">
        <v>34</v>
      </c>
      <c r="R1121" t="s">
        <v>44</v>
      </c>
      <c r="S1121" t="s">
        <v>52</v>
      </c>
      <c r="T1121" t="s">
        <v>27</v>
      </c>
      <c r="U1121">
        <v>35</v>
      </c>
      <c r="V1121">
        <v>1.5</v>
      </c>
      <c r="W1121" t="s">
        <v>38</v>
      </c>
    </row>
    <row r="1122" spans="1:24" x14ac:dyDescent="0.3">
      <c r="A1122" t="s">
        <v>2398</v>
      </c>
      <c r="B1122" t="s">
        <v>40</v>
      </c>
      <c r="C1122" t="s">
        <v>41</v>
      </c>
      <c r="D1122" t="str">
        <f t="shared" si="51"/>
        <v>Afternoon</v>
      </c>
      <c r="E1122">
        <f>HOUR(EV_Data[[#This Row],[Charging Start Time]])</f>
        <v>16</v>
      </c>
      <c r="F1122" s="1">
        <v>44973.666666666664</v>
      </c>
      <c r="G1122" s="1">
        <v>44973.708333333343</v>
      </c>
      <c r="H1122">
        <v>60</v>
      </c>
      <c r="I1122">
        <v>14.49</v>
      </c>
      <c r="J1122" t="str">
        <f t="shared" si="52"/>
        <v>Low</v>
      </c>
      <c r="K1122" t="s">
        <v>50</v>
      </c>
      <c r="L1122">
        <v>44</v>
      </c>
      <c r="M1122">
        <v>58</v>
      </c>
      <c r="N1122" t="str">
        <f t="shared" si="53"/>
        <v>Low Cost</v>
      </c>
      <c r="O1122">
        <v>4.59</v>
      </c>
      <c r="P1122" t="s">
        <v>23</v>
      </c>
      <c r="Q1122" t="s">
        <v>58</v>
      </c>
      <c r="R1122" t="s">
        <v>25</v>
      </c>
      <c r="S1122" t="s">
        <v>902</v>
      </c>
      <c r="T1122" t="s">
        <v>46</v>
      </c>
      <c r="U1122">
        <v>38</v>
      </c>
      <c r="V1122">
        <v>4</v>
      </c>
      <c r="W1122" t="s">
        <v>47</v>
      </c>
      <c r="X1122" t="s">
        <v>29</v>
      </c>
    </row>
    <row r="1123" spans="1:24" x14ac:dyDescent="0.3">
      <c r="A1123" t="s">
        <v>2399</v>
      </c>
      <c r="B1123" t="s">
        <v>71</v>
      </c>
      <c r="C1123" t="s">
        <v>72</v>
      </c>
      <c r="D1123" t="str">
        <f t="shared" si="51"/>
        <v>Evening</v>
      </c>
      <c r="E1123">
        <f>HOUR(EV_Data[[#This Row],[Charging Start Time]])</f>
        <v>17</v>
      </c>
      <c r="F1123" s="1">
        <v>44973.708333333336</v>
      </c>
      <c r="G1123" s="1">
        <v>44973.731944444437</v>
      </c>
      <c r="H1123">
        <v>34</v>
      </c>
      <c r="I1123">
        <v>24.42</v>
      </c>
      <c r="J1123" t="str">
        <f t="shared" si="52"/>
        <v>Medium</v>
      </c>
      <c r="K1123" t="s">
        <v>55</v>
      </c>
      <c r="L1123">
        <v>12</v>
      </c>
      <c r="M1123">
        <v>31</v>
      </c>
      <c r="N1123" t="str">
        <f t="shared" si="53"/>
        <v>Low Cost</v>
      </c>
      <c r="O1123">
        <v>7.43</v>
      </c>
      <c r="P1123" t="s">
        <v>23</v>
      </c>
      <c r="Q1123" t="s">
        <v>58</v>
      </c>
      <c r="R1123" t="s">
        <v>56</v>
      </c>
      <c r="S1123" t="s">
        <v>903</v>
      </c>
      <c r="T1123" t="s">
        <v>60</v>
      </c>
      <c r="U1123">
        <v>20</v>
      </c>
      <c r="V1123">
        <v>3.8</v>
      </c>
      <c r="W1123" t="s">
        <v>38</v>
      </c>
    </row>
    <row r="1124" spans="1:24" x14ac:dyDescent="0.3">
      <c r="A1124" t="s">
        <v>2400</v>
      </c>
      <c r="B1124" t="s">
        <v>20</v>
      </c>
      <c r="C1124" t="s">
        <v>21</v>
      </c>
      <c r="D1124" t="str">
        <f t="shared" si="51"/>
        <v>Evening</v>
      </c>
      <c r="E1124">
        <f>HOUR(EV_Data[[#This Row],[Charging Start Time]])</f>
        <v>18</v>
      </c>
      <c r="F1124" s="1">
        <v>44973.75</v>
      </c>
      <c r="G1124" s="1">
        <v>44973.777083333327</v>
      </c>
      <c r="H1124">
        <v>39</v>
      </c>
      <c r="I1124">
        <v>8.93</v>
      </c>
      <c r="J1124" t="str">
        <f t="shared" si="52"/>
        <v>Low</v>
      </c>
      <c r="K1124" t="s">
        <v>69</v>
      </c>
      <c r="L1124">
        <v>38</v>
      </c>
      <c r="M1124">
        <v>63</v>
      </c>
      <c r="N1124" t="str">
        <f t="shared" si="53"/>
        <v>Low Cost</v>
      </c>
      <c r="O1124">
        <v>4.34</v>
      </c>
      <c r="P1124" t="s">
        <v>64</v>
      </c>
      <c r="Q1124" t="s">
        <v>58</v>
      </c>
      <c r="R1124" t="s">
        <v>56</v>
      </c>
      <c r="S1124" t="s">
        <v>904</v>
      </c>
      <c r="T1124" t="s">
        <v>46</v>
      </c>
      <c r="U1124">
        <v>1</v>
      </c>
      <c r="V1124">
        <v>1.1000000000000001</v>
      </c>
      <c r="W1124" t="s">
        <v>38</v>
      </c>
      <c r="X1124" t="s">
        <v>39</v>
      </c>
    </row>
    <row r="1125" spans="1:24" x14ac:dyDescent="0.3">
      <c r="A1125" t="s">
        <v>2401</v>
      </c>
      <c r="B1125" t="s">
        <v>126</v>
      </c>
      <c r="C1125" t="s">
        <v>31</v>
      </c>
      <c r="D1125" t="str">
        <f t="shared" si="51"/>
        <v>Evening</v>
      </c>
      <c r="E1125">
        <f>HOUR(EV_Data[[#This Row],[Charging Start Time]])</f>
        <v>19</v>
      </c>
      <c r="F1125" s="1">
        <v>44973.791666666664</v>
      </c>
      <c r="G1125" s="1">
        <v>44973.835416666669</v>
      </c>
      <c r="H1125">
        <v>63</v>
      </c>
      <c r="I1125">
        <v>43.31</v>
      </c>
      <c r="J1125" t="str">
        <f t="shared" si="52"/>
        <v>Medium</v>
      </c>
      <c r="K1125" t="s">
        <v>69</v>
      </c>
      <c r="L1125">
        <v>66</v>
      </c>
      <c r="M1125">
        <v>100</v>
      </c>
      <c r="N1125" t="str">
        <f t="shared" si="53"/>
        <v>Medium Cost</v>
      </c>
      <c r="O1125">
        <v>11.06</v>
      </c>
      <c r="P1125" t="s">
        <v>51</v>
      </c>
      <c r="Q1125" t="s">
        <v>48</v>
      </c>
      <c r="R1125" t="s">
        <v>56</v>
      </c>
      <c r="S1125" t="s">
        <v>905</v>
      </c>
      <c r="T1125" t="s">
        <v>27</v>
      </c>
      <c r="U1125">
        <v>58</v>
      </c>
      <c r="V1125">
        <v>2.4</v>
      </c>
      <c r="W1125" t="s">
        <v>38</v>
      </c>
      <c r="X1125" t="s">
        <v>85</v>
      </c>
    </row>
    <row r="1126" spans="1:24" x14ac:dyDescent="0.3">
      <c r="A1126" t="s">
        <v>2402</v>
      </c>
      <c r="B1126" t="s">
        <v>126</v>
      </c>
      <c r="C1126" t="s">
        <v>31</v>
      </c>
      <c r="D1126" t="str">
        <f t="shared" si="51"/>
        <v>Evening</v>
      </c>
      <c r="E1126">
        <f>HOUR(EV_Data[[#This Row],[Charging Start Time]])</f>
        <v>20</v>
      </c>
      <c r="F1126" s="1">
        <v>44973.833333333336</v>
      </c>
      <c r="G1126" s="1">
        <v>44973.896527777782</v>
      </c>
      <c r="H1126">
        <v>91</v>
      </c>
      <c r="I1126">
        <v>27.96</v>
      </c>
      <c r="J1126" t="str">
        <f t="shared" si="52"/>
        <v>Medium</v>
      </c>
      <c r="K1126" t="s">
        <v>22</v>
      </c>
      <c r="L1126">
        <v>8</v>
      </c>
      <c r="M1126">
        <v>29</v>
      </c>
      <c r="N1126" t="str">
        <f t="shared" si="53"/>
        <v>Medium Cost</v>
      </c>
      <c r="O1126">
        <v>12.63</v>
      </c>
      <c r="P1126" t="s">
        <v>23</v>
      </c>
      <c r="Q1126" t="s">
        <v>58</v>
      </c>
      <c r="R1126" t="s">
        <v>44</v>
      </c>
      <c r="S1126" t="s">
        <v>800</v>
      </c>
      <c r="T1126" t="s">
        <v>37</v>
      </c>
      <c r="U1126">
        <v>61</v>
      </c>
      <c r="V1126">
        <v>3</v>
      </c>
      <c r="W1126" t="s">
        <v>38</v>
      </c>
      <c r="X1126" t="s">
        <v>39</v>
      </c>
    </row>
    <row r="1127" spans="1:24" x14ac:dyDescent="0.3">
      <c r="A1127" t="s">
        <v>2403</v>
      </c>
      <c r="B1127" t="s">
        <v>92</v>
      </c>
      <c r="C1127" t="s">
        <v>93</v>
      </c>
      <c r="D1127" t="str">
        <f t="shared" si="51"/>
        <v>Evening</v>
      </c>
      <c r="E1127">
        <f>HOUR(EV_Data[[#This Row],[Charging Start Time]])</f>
        <v>21</v>
      </c>
      <c r="F1127" s="1">
        <v>44973.875</v>
      </c>
      <c r="G1127" s="1">
        <v>44973.90625</v>
      </c>
      <c r="H1127">
        <v>45</v>
      </c>
      <c r="I1127">
        <v>36.049999999999997</v>
      </c>
      <c r="J1127" t="str">
        <f t="shared" si="52"/>
        <v>Medium</v>
      </c>
      <c r="K1127" t="s">
        <v>42</v>
      </c>
      <c r="L1127">
        <v>26</v>
      </c>
      <c r="M1127">
        <v>52</v>
      </c>
      <c r="N1127" t="str">
        <f t="shared" si="53"/>
        <v>Medium Cost</v>
      </c>
      <c r="O1127">
        <v>12.49</v>
      </c>
      <c r="P1127" t="s">
        <v>43</v>
      </c>
      <c r="Q1127" t="s">
        <v>58</v>
      </c>
      <c r="R1127" t="s">
        <v>35</v>
      </c>
      <c r="S1127" t="s">
        <v>906</v>
      </c>
      <c r="T1127" t="s">
        <v>37</v>
      </c>
      <c r="U1127">
        <v>15</v>
      </c>
      <c r="V1127">
        <v>4.7</v>
      </c>
      <c r="W1127" t="s">
        <v>28</v>
      </c>
      <c r="X1127" t="s">
        <v>68</v>
      </c>
    </row>
    <row r="1128" spans="1:24" x14ac:dyDescent="0.3">
      <c r="A1128" t="s">
        <v>2404</v>
      </c>
      <c r="B1128" t="s">
        <v>30</v>
      </c>
      <c r="C1128" t="s">
        <v>102</v>
      </c>
      <c r="D1128" t="str">
        <f t="shared" si="51"/>
        <v>Evening</v>
      </c>
      <c r="E1128">
        <f>HOUR(EV_Data[[#This Row],[Charging Start Time]])</f>
        <v>22</v>
      </c>
      <c r="F1128" s="1">
        <v>44973.916666666664</v>
      </c>
      <c r="G1128" s="1">
        <v>44973.917361111111</v>
      </c>
      <c r="H1128">
        <v>1</v>
      </c>
      <c r="I1128">
        <v>6.56</v>
      </c>
      <c r="J1128" t="str">
        <f t="shared" si="52"/>
        <v>Low</v>
      </c>
      <c r="K1128" t="s">
        <v>69</v>
      </c>
      <c r="L1128">
        <v>14</v>
      </c>
      <c r="M1128">
        <v>46</v>
      </c>
      <c r="N1128" t="str">
        <f t="shared" si="53"/>
        <v>Low Cost</v>
      </c>
      <c r="O1128">
        <v>3</v>
      </c>
      <c r="P1128" t="s">
        <v>64</v>
      </c>
      <c r="Q1128" t="s">
        <v>48</v>
      </c>
      <c r="R1128" t="s">
        <v>56</v>
      </c>
      <c r="S1128" t="s">
        <v>142</v>
      </c>
      <c r="T1128" t="s">
        <v>46</v>
      </c>
      <c r="U1128">
        <v>65</v>
      </c>
      <c r="V1128">
        <v>2.9</v>
      </c>
      <c r="W1128" t="s">
        <v>38</v>
      </c>
    </row>
    <row r="1129" spans="1:24" x14ac:dyDescent="0.3">
      <c r="A1129" t="s">
        <v>2405</v>
      </c>
      <c r="B1129" t="s">
        <v>77</v>
      </c>
      <c r="C1129" t="s">
        <v>78</v>
      </c>
      <c r="D1129" t="str">
        <f t="shared" si="51"/>
        <v>Evening</v>
      </c>
      <c r="E1129">
        <f>HOUR(EV_Data[[#This Row],[Charging Start Time]])</f>
        <v>23</v>
      </c>
      <c r="F1129" s="1">
        <v>44973.958333333336</v>
      </c>
      <c r="G1129" s="1">
        <v>44974.03125</v>
      </c>
      <c r="H1129">
        <v>105</v>
      </c>
      <c r="I1129">
        <v>31.33</v>
      </c>
      <c r="J1129" t="str">
        <f t="shared" si="52"/>
        <v>Medium</v>
      </c>
      <c r="K1129" t="s">
        <v>22</v>
      </c>
      <c r="L1129">
        <v>18</v>
      </c>
      <c r="M1129">
        <v>37</v>
      </c>
      <c r="N1129" t="str">
        <f t="shared" si="53"/>
        <v>Medium Cost</v>
      </c>
      <c r="O1129">
        <v>9.16</v>
      </c>
      <c r="P1129" t="s">
        <v>64</v>
      </c>
      <c r="Q1129" t="s">
        <v>24</v>
      </c>
      <c r="R1129" t="s">
        <v>25</v>
      </c>
      <c r="S1129" t="s">
        <v>907</v>
      </c>
      <c r="T1129" t="s">
        <v>60</v>
      </c>
      <c r="U1129">
        <v>36</v>
      </c>
      <c r="V1129">
        <v>4.8</v>
      </c>
      <c r="W1129" t="s">
        <v>38</v>
      </c>
    </row>
    <row r="1130" spans="1:24" x14ac:dyDescent="0.3">
      <c r="A1130" t="s">
        <v>2406</v>
      </c>
      <c r="B1130" t="s">
        <v>53</v>
      </c>
      <c r="C1130" t="s">
        <v>54</v>
      </c>
      <c r="D1130" t="str">
        <f t="shared" si="51"/>
        <v>Morning</v>
      </c>
      <c r="E1130">
        <f>HOUR(EV_Data[[#This Row],[Charging Start Time]])</f>
        <v>0</v>
      </c>
      <c r="F1130" s="1">
        <v>44974</v>
      </c>
      <c r="G1130" s="1">
        <v>44974.000694444447</v>
      </c>
      <c r="H1130">
        <v>1</v>
      </c>
      <c r="I1130">
        <v>14.95</v>
      </c>
      <c r="J1130" t="str">
        <f t="shared" si="52"/>
        <v>Low</v>
      </c>
      <c r="K1130" t="s">
        <v>50</v>
      </c>
      <c r="L1130">
        <v>27</v>
      </c>
      <c r="M1130">
        <v>37</v>
      </c>
      <c r="N1130" t="str">
        <f t="shared" si="53"/>
        <v>Low Cost</v>
      </c>
      <c r="O1130">
        <v>5.55</v>
      </c>
      <c r="P1130" t="s">
        <v>33</v>
      </c>
      <c r="Q1130" t="s">
        <v>48</v>
      </c>
      <c r="R1130" t="s">
        <v>35</v>
      </c>
      <c r="S1130" t="s">
        <v>817</v>
      </c>
      <c r="T1130" t="s">
        <v>27</v>
      </c>
      <c r="U1130">
        <v>83</v>
      </c>
      <c r="V1130">
        <v>1.1000000000000001</v>
      </c>
      <c r="W1130" t="s">
        <v>47</v>
      </c>
      <c r="X1130" t="s">
        <v>29</v>
      </c>
    </row>
    <row r="1131" spans="1:24" x14ac:dyDescent="0.3">
      <c r="A1131" t="s">
        <v>2407</v>
      </c>
      <c r="B1131" t="s">
        <v>71</v>
      </c>
      <c r="C1131" t="s">
        <v>72</v>
      </c>
      <c r="D1131" t="str">
        <f t="shared" si="51"/>
        <v>Morning</v>
      </c>
      <c r="E1131">
        <f>HOUR(EV_Data[[#This Row],[Charging Start Time]])</f>
        <v>1</v>
      </c>
      <c r="F1131" s="1">
        <v>44974.041666666664</v>
      </c>
      <c r="G1131" s="1">
        <v>44974.0625</v>
      </c>
      <c r="H1131">
        <v>30</v>
      </c>
      <c r="I1131">
        <v>34.25</v>
      </c>
      <c r="J1131" t="str">
        <f t="shared" si="52"/>
        <v>Medium</v>
      </c>
      <c r="K1131" t="s">
        <v>22</v>
      </c>
      <c r="L1131">
        <v>19</v>
      </c>
      <c r="M1131">
        <v>48</v>
      </c>
      <c r="N1131" t="str">
        <f t="shared" si="53"/>
        <v>Medium Cost</v>
      </c>
      <c r="O1131">
        <v>13.69</v>
      </c>
      <c r="P1131" t="s">
        <v>23</v>
      </c>
      <c r="Q1131" t="s">
        <v>34</v>
      </c>
      <c r="R1131" t="s">
        <v>44</v>
      </c>
      <c r="S1131" t="s">
        <v>530</v>
      </c>
      <c r="T1131" t="s">
        <v>27</v>
      </c>
      <c r="U1131">
        <v>39</v>
      </c>
      <c r="V1131">
        <v>3.5</v>
      </c>
      <c r="W1131" t="s">
        <v>38</v>
      </c>
      <c r="X1131" t="s">
        <v>39</v>
      </c>
    </row>
    <row r="1132" spans="1:24" x14ac:dyDescent="0.3">
      <c r="A1132" t="s">
        <v>2408</v>
      </c>
      <c r="B1132" t="s">
        <v>92</v>
      </c>
      <c r="C1132" t="s">
        <v>93</v>
      </c>
      <c r="D1132" t="str">
        <f t="shared" si="51"/>
        <v>Morning</v>
      </c>
      <c r="E1132">
        <f>HOUR(EV_Data[[#This Row],[Charging Start Time]])</f>
        <v>2</v>
      </c>
      <c r="F1132" s="1">
        <v>44974.083333333336</v>
      </c>
      <c r="G1132" s="1">
        <v>44974.095138888893</v>
      </c>
      <c r="H1132">
        <v>17</v>
      </c>
      <c r="I1132">
        <v>28.78</v>
      </c>
      <c r="J1132" t="str">
        <f t="shared" si="52"/>
        <v>Medium</v>
      </c>
      <c r="K1132" t="s">
        <v>50</v>
      </c>
      <c r="L1132">
        <v>12</v>
      </c>
      <c r="M1132">
        <v>48</v>
      </c>
      <c r="N1132" t="str">
        <f t="shared" si="53"/>
        <v>Medium Cost</v>
      </c>
      <c r="O1132">
        <v>13.61</v>
      </c>
      <c r="P1132" t="s">
        <v>51</v>
      </c>
      <c r="Q1132" t="s">
        <v>24</v>
      </c>
      <c r="R1132" t="s">
        <v>44</v>
      </c>
      <c r="S1132" t="s">
        <v>166</v>
      </c>
      <c r="T1132" t="s">
        <v>37</v>
      </c>
      <c r="U1132">
        <v>40</v>
      </c>
      <c r="V1132">
        <v>3.9</v>
      </c>
      <c r="W1132" t="s">
        <v>38</v>
      </c>
      <c r="X1132" t="s">
        <v>83</v>
      </c>
    </row>
    <row r="1133" spans="1:24" x14ac:dyDescent="0.3">
      <c r="A1133" t="s">
        <v>2409</v>
      </c>
      <c r="B1133" t="s">
        <v>53</v>
      </c>
      <c r="C1133" t="s">
        <v>54</v>
      </c>
      <c r="D1133" t="str">
        <f t="shared" si="51"/>
        <v>Morning</v>
      </c>
      <c r="E1133">
        <f>HOUR(EV_Data[[#This Row],[Charging Start Time]])</f>
        <v>3</v>
      </c>
      <c r="F1133" s="1">
        <v>44974.125</v>
      </c>
      <c r="G1133" s="1">
        <v>44974.189583333333</v>
      </c>
      <c r="H1133">
        <v>93</v>
      </c>
      <c r="I1133">
        <v>10.39</v>
      </c>
      <c r="J1133" t="str">
        <f t="shared" si="52"/>
        <v>Low</v>
      </c>
      <c r="K1133" t="s">
        <v>32</v>
      </c>
      <c r="L1133">
        <v>75</v>
      </c>
      <c r="M1133">
        <v>94</v>
      </c>
      <c r="N1133" t="str">
        <f t="shared" si="53"/>
        <v>Low Cost</v>
      </c>
      <c r="O1133">
        <v>4.8899999999999997</v>
      </c>
      <c r="P1133" t="s">
        <v>64</v>
      </c>
      <c r="Q1133" t="s">
        <v>48</v>
      </c>
      <c r="R1133" t="s">
        <v>44</v>
      </c>
      <c r="S1133" t="s">
        <v>578</v>
      </c>
      <c r="T1133" t="s">
        <v>27</v>
      </c>
      <c r="U1133">
        <v>38</v>
      </c>
      <c r="V1133">
        <v>3.3</v>
      </c>
      <c r="W1133" t="s">
        <v>38</v>
      </c>
      <c r="X1133" t="s">
        <v>83</v>
      </c>
    </row>
    <row r="1134" spans="1:24" x14ac:dyDescent="0.3">
      <c r="A1134" t="s">
        <v>2410</v>
      </c>
      <c r="B1134" t="s">
        <v>77</v>
      </c>
      <c r="C1134" t="s">
        <v>78</v>
      </c>
      <c r="D1134" t="str">
        <f t="shared" si="51"/>
        <v>Morning</v>
      </c>
      <c r="E1134">
        <f>HOUR(EV_Data[[#This Row],[Charging Start Time]])</f>
        <v>4</v>
      </c>
      <c r="F1134" s="1">
        <v>44974.166666666664</v>
      </c>
      <c r="G1134" s="1">
        <v>44974.240972222222</v>
      </c>
      <c r="H1134">
        <v>107</v>
      </c>
      <c r="I1134">
        <v>30.89</v>
      </c>
      <c r="J1134" t="str">
        <f t="shared" si="52"/>
        <v>Medium</v>
      </c>
      <c r="K1134" t="s">
        <v>55</v>
      </c>
      <c r="L1134">
        <v>47</v>
      </c>
      <c r="M1134">
        <v>68</v>
      </c>
      <c r="N1134" t="str">
        <f t="shared" si="53"/>
        <v>Medium Cost</v>
      </c>
      <c r="O1134">
        <v>13.22</v>
      </c>
      <c r="P1134" t="s">
        <v>51</v>
      </c>
      <c r="Q1134" t="s">
        <v>58</v>
      </c>
      <c r="R1134" t="s">
        <v>25</v>
      </c>
      <c r="S1134" t="s">
        <v>908</v>
      </c>
      <c r="T1134" t="s">
        <v>60</v>
      </c>
      <c r="U1134">
        <v>36</v>
      </c>
      <c r="V1134">
        <v>1.4</v>
      </c>
      <c r="W1134" t="s">
        <v>47</v>
      </c>
      <c r="X1134" t="s">
        <v>29</v>
      </c>
    </row>
    <row r="1135" spans="1:24" x14ac:dyDescent="0.3">
      <c r="A1135" t="s">
        <v>2411</v>
      </c>
      <c r="B1135" t="s">
        <v>126</v>
      </c>
      <c r="C1135" t="s">
        <v>31</v>
      </c>
      <c r="D1135" t="str">
        <f t="shared" si="51"/>
        <v>Morning</v>
      </c>
      <c r="E1135">
        <f>HOUR(EV_Data[[#This Row],[Charging Start Time]])</f>
        <v>5</v>
      </c>
      <c r="F1135" s="1">
        <v>44974.208333333336</v>
      </c>
      <c r="G1135" s="1">
        <v>44974.230555555558</v>
      </c>
      <c r="H1135">
        <v>32</v>
      </c>
      <c r="I1135">
        <v>27.03</v>
      </c>
      <c r="J1135" t="str">
        <f t="shared" si="52"/>
        <v>Medium</v>
      </c>
      <c r="K1135" t="s">
        <v>32</v>
      </c>
      <c r="L1135">
        <v>71</v>
      </c>
      <c r="M1135">
        <v>98</v>
      </c>
      <c r="N1135" t="str">
        <f t="shared" si="53"/>
        <v>Medium Cost</v>
      </c>
      <c r="O1135">
        <v>11.1</v>
      </c>
      <c r="P1135" t="s">
        <v>43</v>
      </c>
      <c r="Q1135" t="s">
        <v>24</v>
      </c>
      <c r="R1135" t="s">
        <v>35</v>
      </c>
      <c r="S1135" t="s">
        <v>909</v>
      </c>
      <c r="T1135" t="s">
        <v>37</v>
      </c>
      <c r="U1135">
        <v>7</v>
      </c>
      <c r="V1135">
        <v>4.7</v>
      </c>
      <c r="W1135" t="s">
        <v>28</v>
      </c>
      <c r="X1135" t="s">
        <v>68</v>
      </c>
    </row>
    <row r="1136" spans="1:24" x14ac:dyDescent="0.3">
      <c r="A1136" t="s">
        <v>2412</v>
      </c>
      <c r="B1136" t="s">
        <v>53</v>
      </c>
      <c r="C1136" t="s">
        <v>54</v>
      </c>
      <c r="D1136" t="str">
        <f t="shared" si="51"/>
        <v>Morning</v>
      </c>
      <c r="E1136">
        <f>HOUR(EV_Data[[#This Row],[Charging Start Time]])</f>
        <v>6</v>
      </c>
      <c r="F1136" s="1">
        <v>44974.25</v>
      </c>
      <c r="G1136" s="1">
        <v>44974.286805555559</v>
      </c>
      <c r="H1136">
        <v>53</v>
      </c>
      <c r="I1136">
        <v>38.22</v>
      </c>
      <c r="J1136" t="str">
        <f t="shared" si="52"/>
        <v>Medium</v>
      </c>
      <c r="K1136" t="s">
        <v>22</v>
      </c>
      <c r="L1136">
        <v>59</v>
      </c>
      <c r="M1136">
        <v>84</v>
      </c>
      <c r="N1136" t="str">
        <f t="shared" si="53"/>
        <v>Medium Cost</v>
      </c>
      <c r="O1136">
        <v>12.36</v>
      </c>
      <c r="P1136" t="s">
        <v>51</v>
      </c>
      <c r="Q1136" t="s">
        <v>48</v>
      </c>
      <c r="R1136" t="s">
        <v>25</v>
      </c>
      <c r="S1136" t="s">
        <v>910</v>
      </c>
      <c r="T1136" t="s">
        <v>60</v>
      </c>
      <c r="U1136">
        <v>98</v>
      </c>
      <c r="V1136">
        <v>3.4</v>
      </c>
      <c r="W1136" t="s">
        <v>28</v>
      </c>
      <c r="X1136" t="s">
        <v>68</v>
      </c>
    </row>
    <row r="1137" spans="1:24" x14ac:dyDescent="0.3">
      <c r="A1137" t="s">
        <v>2413</v>
      </c>
      <c r="B1137" t="s">
        <v>53</v>
      </c>
      <c r="C1137" t="s">
        <v>54</v>
      </c>
      <c r="D1137" t="str">
        <f t="shared" si="51"/>
        <v>Morning</v>
      </c>
      <c r="E1137">
        <f>HOUR(EV_Data[[#This Row],[Charging Start Time]])</f>
        <v>7</v>
      </c>
      <c r="F1137" s="1">
        <v>44974.291666666664</v>
      </c>
      <c r="G1137" s="1">
        <v>44974.35833333333</v>
      </c>
      <c r="H1137">
        <v>96</v>
      </c>
      <c r="I1137">
        <v>37.61</v>
      </c>
      <c r="J1137" t="str">
        <f t="shared" si="52"/>
        <v>Medium</v>
      </c>
      <c r="K1137" t="s">
        <v>50</v>
      </c>
      <c r="L1137">
        <v>47</v>
      </c>
      <c r="M1137">
        <v>69</v>
      </c>
      <c r="N1137" t="str">
        <f t="shared" si="53"/>
        <v>Medium Cost</v>
      </c>
      <c r="O1137">
        <v>12.25</v>
      </c>
      <c r="P1137" t="s">
        <v>64</v>
      </c>
      <c r="Q1137" t="s">
        <v>34</v>
      </c>
      <c r="R1137" t="s">
        <v>44</v>
      </c>
      <c r="S1137" t="s">
        <v>911</v>
      </c>
      <c r="T1137" t="s">
        <v>37</v>
      </c>
      <c r="U1137">
        <v>36</v>
      </c>
      <c r="V1137">
        <v>4.8</v>
      </c>
      <c r="W1137" t="s">
        <v>28</v>
      </c>
      <c r="X1137" t="s">
        <v>68</v>
      </c>
    </row>
    <row r="1138" spans="1:24" x14ac:dyDescent="0.3">
      <c r="A1138" t="s">
        <v>2414</v>
      </c>
      <c r="B1138" t="s">
        <v>92</v>
      </c>
      <c r="C1138" t="s">
        <v>93</v>
      </c>
      <c r="D1138" t="str">
        <f t="shared" si="51"/>
        <v>Morning</v>
      </c>
      <c r="E1138">
        <f>HOUR(EV_Data[[#This Row],[Charging Start Time]])</f>
        <v>8</v>
      </c>
      <c r="F1138" s="1">
        <v>44974.333333333336</v>
      </c>
      <c r="G1138" s="1">
        <v>44974.363888888889</v>
      </c>
      <c r="H1138">
        <v>44</v>
      </c>
      <c r="I1138">
        <v>37.409999999999997</v>
      </c>
      <c r="J1138" t="str">
        <f t="shared" si="52"/>
        <v>Medium</v>
      </c>
      <c r="K1138" t="s">
        <v>50</v>
      </c>
      <c r="L1138">
        <v>41</v>
      </c>
      <c r="M1138">
        <v>53</v>
      </c>
      <c r="N1138" t="str">
        <f t="shared" si="53"/>
        <v>Medium Cost</v>
      </c>
      <c r="O1138">
        <v>13.98</v>
      </c>
      <c r="P1138" t="s">
        <v>43</v>
      </c>
      <c r="Q1138" t="s">
        <v>34</v>
      </c>
      <c r="R1138" t="s">
        <v>56</v>
      </c>
      <c r="S1138" t="s">
        <v>564</v>
      </c>
      <c r="T1138" t="s">
        <v>27</v>
      </c>
      <c r="U1138">
        <v>65</v>
      </c>
      <c r="V1138">
        <v>4.5</v>
      </c>
      <c r="W1138" t="s">
        <v>38</v>
      </c>
      <c r="X1138" t="s">
        <v>85</v>
      </c>
    </row>
    <row r="1139" spans="1:24" x14ac:dyDescent="0.3">
      <c r="A1139" t="s">
        <v>2415</v>
      </c>
      <c r="B1139" t="s">
        <v>77</v>
      </c>
      <c r="C1139" t="s">
        <v>78</v>
      </c>
      <c r="D1139" t="str">
        <f t="shared" si="51"/>
        <v>Morning</v>
      </c>
      <c r="E1139">
        <f>HOUR(EV_Data[[#This Row],[Charging Start Time]])</f>
        <v>9</v>
      </c>
      <c r="F1139" s="1">
        <v>44974.375</v>
      </c>
      <c r="G1139" s="1">
        <v>44974.422222222223</v>
      </c>
      <c r="H1139">
        <v>68</v>
      </c>
      <c r="I1139">
        <v>47.11</v>
      </c>
      <c r="J1139" t="str">
        <f t="shared" si="52"/>
        <v>Medium</v>
      </c>
      <c r="K1139" t="s">
        <v>42</v>
      </c>
      <c r="L1139">
        <v>18</v>
      </c>
      <c r="M1139">
        <v>51</v>
      </c>
      <c r="N1139" t="str">
        <f t="shared" si="53"/>
        <v>Medium Cost</v>
      </c>
      <c r="O1139">
        <v>9.76</v>
      </c>
      <c r="P1139" t="s">
        <v>23</v>
      </c>
      <c r="Q1139" t="s">
        <v>58</v>
      </c>
      <c r="R1139" t="s">
        <v>35</v>
      </c>
      <c r="S1139" t="s">
        <v>139</v>
      </c>
      <c r="T1139" t="s">
        <v>60</v>
      </c>
      <c r="U1139">
        <v>64</v>
      </c>
      <c r="V1139">
        <v>1.6</v>
      </c>
      <c r="W1139" t="s">
        <v>38</v>
      </c>
      <c r="X1139" t="s">
        <v>85</v>
      </c>
    </row>
    <row r="1140" spans="1:24" x14ac:dyDescent="0.3">
      <c r="A1140" t="s">
        <v>2416</v>
      </c>
      <c r="B1140" t="s">
        <v>40</v>
      </c>
      <c r="C1140" t="s">
        <v>41</v>
      </c>
      <c r="D1140" t="str">
        <f t="shared" si="51"/>
        <v>Morning</v>
      </c>
      <c r="E1140">
        <f>HOUR(EV_Data[[#This Row],[Charging Start Time]])</f>
        <v>10</v>
      </c>
      <c r="F1140" s="1">
        <v>44974.416666666664</v>
      </c>
      <c r="G1140" s="1">
        <v>44974.441666666673</v>
      </c>
      <c r="H1140">
        <v>36</v>
      </c>
      <c r="I1140">
        <v>18.239999999999998</v>
      </c>
      <c r="J1140" t="str">
        <f t="shared" si="52"/>
        <v>Low</v>
      </c>
      <c r="K1140" t="s">
        <v>32</v>
      </c>
      <c r="L1140">
        <v>46</v>
      </c>
      <c r="M1140">
        <v>80</v>
      </c>
      <c r="N1140" t="str">
        <f t="shared" si="53"/>
        <v>Low Cost</v>
      </c>
      <c r="O1140">
        <v>4.5599999999999996</v>
      </c>
      <c r="P1140" t="s">
        <v>33</v>
      </c>
      <c r="Q1140" t="s">
        <v>34</v>
      </c>
      <c r="R1140" t="s">
        <v>56</v>
      </c>
      <c r="S1140" t="s">
        <v>346</v>
      </c>
      <c r="T1140" t="s">
        <v>60</v>
      </c>
      <c r="U1140">
        <v>73</v>
      </c>
      <c r="V1140">
        <v>1.7</v>
      </c>
      <c r="W1140" t="s">
        <v>38</v>
      </c>
      <c r="X1140" t="s">
        <v>62</v>
      </c>
    </row>
    <row r="1141" spans="1:24" x14ac:dyDescent="0.3">
      <c r="A1141" t="s">
        <v>2417</v>
      </c>
      <c r="B1141" t="s">
        <v>20</v>
      </c>
      <c r="C1141" t="s">
        <v>21</v>
      </c>
      <c r="D1141" t="str">
        <f t="shared" si="51"/>
        <v>Morning</v>
      </c>
      <c r="E1141">
        <f>HOUR(EV_Data[[#This Row],[Charging Start Time]])</f>
        <v>11</v>
      </c>
      <c r="F1141" s="1">
        <v>44974.458333333336</v>
      </c>
      <c r="G1141" s="1">
        <v>44974.509027777778</v>
      </c>
      <c r="H1141">
        <v>73</v>
      </c>
      <c r="I1141">
        <v>20.82</v>
      </c>
      <c r="J1141" t="str">
        <f t="shared" si="52"/>
        <v>Medium</v>
      </c>
      <c r="K1141" t="s">
        <v>22</v>
      </c>
      <c r="L1141">
        <v>58</v>
      </c>
      <c r="M1141">
        <v>79</v>
      </c>
      <c r="N1141" t="str">
        <f t="shared" si="53"/>
        <v>Low Cost</v>
      </c>
      <c r="O1141">
        <v>7.75</v>
      </c>
      <c r="P1141" t="s">
        <v>33</v>
      </c>
      <c r="Q1141" t="s">
        <v>24</v>
      </c>
      <c r="R1141" t="s">
        <v>44</v>
      </c>
      <c r="S1141" t="s">
        <v>912</v>
      </c>
      <c r="T1141" t="s">
        <v>37</v>
      </c>
      <c r="U1141">
        <v>42</v>
      </c>
      <c r="V1141">
        <v>1.3</v>
      </c>
      <c r="W1141" t="s">
        <v>47</v>
      </c>
      <c r="X1141" t="s">
        <v>29</v>
      </c>
    </row>
    <row r="1142" spans="1:24" x14ac:dyDescent="0.3">
      <c r="A1142" t="s">
        <v>2418</v>
      </c>
      <c r="B1142" t="s">
        <v>53</v>
      </c>
      <c r="C1142" t="s">
        <v>54</v>
      </c>
      <c r="D1142" t="str">
        <f t="shared" si="51"/>
        <v>Afternoon</v>
      </c>
      <c r="E1142">
        <f>HOUR(EV_Data[[#This Row],[Charging Start Time]])</f>
        <v>12</v>
      </c>
      <c r="F1142" s="1">
        <v>44974.5</v>
      </c>
      <c r="G1142" s="1">
        <v>44974.552083333343</v>
      </c>
      <c r="H1142">
        <v>75</v>
      </c>
      <c r="I1142">
        <v>8.31</v>
      </c>
      <c r="J1142" t="str">
        <f t="shared" si="52"/>
        <v>Low</v>
      </c>
      <c r="K1142" t="s">
        <v>55</v>
      </c>
      <c r="L1142">
        <v>26</v>
      </c>
      <c r="M1142">
        <v>52</v>
      </c>
      <c r="N1142" t="str">
        <f t="shared" si="53"/>
        <v>Low Cost</v>
      </c>
      <c r="O1142">
        <v>2.67</v>
      </c>
      <c r="P1142" t="s">
        <v>64</v>
      </c>
      <c r="Q1142" t="s">
        <v>48</v>
      </c>
      <c r="R1142" t="s">
        <v>25</v>
      </c>
      <c r="S1142" t="s">
        <v>913</v>
      </c>
      <c r="T1142" t="s">
        <v>27</v>
      </c>
      <c r="U1142">
        <v>13</v>
      </c>
      <c r="V1142">
        <v>4.5</v>
      </c>
      <c r="W1142" t="s">
        <v>47</v>
      </c>
      <c r="X1142" t="s">
        <v>29</v>
      </c>
    </row>
    <row r="1143" spans="1:24" x14ac:dyDescent="0.3">
      <c r="A1143" t="s">
        <v>2419</v>
      </c>
      <c r="B1143" t="s">
        <v>126</v>
      </c>
      <c r="C1143" t="s">
        <v>31</v>
      </c>
      <c r="D1143" t="str">
        <f t="shared" si="51"/>
        <v>Afternoon</v>
      </c>
      <c r="E1143">
        <f>HOUR(EV_Data[[#This Row],[Charging Start Time]])</f>
        <v>13</v>
      </c>
      <c r="F1143" s="1">
        <v>44974.541666666664</v>
      </c>
      <c r="G1143" s="1">
        <v>44974.566666666673</v>
      </c>
      <c r="H1143">
        <v>36</v>
      </c>
      <c r="I1143">
        <v>32.159999999999997</v>
      </c>
      <c r="J1143" t="str">
        <f t="shared" si="52"/>
        <v>Medium</v>
      </c>
      <c r="K1143" t="s">
        <v>50</v>
      </c>
      <c r="L1143">
        <v>37</v>
      </c>
      <c r="M1143">
        <v>56</v>
      </c>
      <c r="N1143" t="str">
        <f t="shared" si="53"/>
        <v>Medium Cost</v>
      </c>
      <c r="O1143">
        <v>12.8</v>
      </c>
      <c r="P1143" t="s">
        <v>51</v>
      </c>
      <c r="Q1143" t="s">
        <v>58</v>
      </c>
      <c r="R1143" t="s">
        <v>25</v>
      </c>
      <c r="S1143" t="s">
        <v>914</v>
      </c>
      <c r="T1143" t="s">
        <v>46</v>
      </c>
      <c r="U1143">
        <v>25</v>
      </c>
      <c r="V1143">
        <v>3.8</v>
      </c>
      <c r="W1143" t="s">
        <v>47</v>
      </c>
      <c r="X1143" t="s">
        <v>29</v>
      </c>
    </row>
    <row r="1144" spans="1:24" x14ac:dyDescent="0.3">
      <c r="A1144" t="s">
        <v>2420</v>
      </c>
      <c r="B1144" t="s">
        <v>71</v>
      </c>
      <c r="C1144" t="s">
        <v>72</v>
      </c>
      <c r="D1144" t="str">
        <f t="shared" si="51"/>
        <v>Afternoon</v>
      </c>
      <c r="E1144">
        <f>HOUR(EV_Data[[#This Row],[Charging Start Time]])</f>
        <v>14</v>
      </c>
      <c r="F1144" s="1">
        <v>44974.583333333336</v>
      </c>
      <c r="G1144" s="1">
        <v>44974.638888888891</v>
      </c>
      <c r="H1144">
        <v>80</v>
      </c>
      <c r="I1144">
        <v>26.66</v>
      </c>
      <c r="J1144" t="str">
        <f t="shared" si="52"/>
        <v>Medium</v>
      </c>
      <c r="K1144" t="s">
        <v>55</v>
      </c>
      <c r="L1144">
        <v>41</v>
      </c>
      <c r="M1144">
        <v>81</v>
      </c>
      <c r="N1144" t="str">
        <f t="shared" si="53"/>
        <v>Medium Cost</v>
      </c>
      <c r="O1144">
        <v>11.12</v>
      </c>
      <c r="P1144" t="s">
        <v>51</v>
      </c>
      <c r="Q1144" t="s">
        <v>58</v>
      </c>
      <c r="R1144" t="s">
        <v>35</v>
      </c>
      <c r="S1144" t="s">
        <v>82</v>
      </c>
      <c r="T1144" t="s">
        <v>27</v>
      </c>
      <c r="U1144">
        <v>60</v>
      </c>
      <c r="V1144">
        <v>1.6</v>
      </c>
      <c r="W1144" t="s">
        <v>38</v>
      </c>
    </row>
    <row r="1145" spans="1:24" x14ac:dyDescent="0.3">
      <c r="A1145" t="s">
        <v>2421</v>
      </c>
      <c r="B1145" t="s">
        <v>92</v>
      </c>
      <c r="C1145" t="s">
        <v>93</v>
      </c>
      <c r="D1145" t="str">
        <f t="shared" si="51"/>
        <v>Afternoon</v>
      </c>
      <c r="E1145">
        <f>HOUR(EV_Data[[#This Row],[Charging Start Time]])</f>
        <v>15</v>
      </c>
      <c r="F1145" s="1">
        <v>44974.625</v>
      </c>
      <c r="G1145" s="1">
        <v>44974.702777777777</v>
      </c>
      <c r="H1145">
        <v>112</v>
      </c>
      <c r="I1145">
        <v>9.4499999999999993</v>
      </c>
      <c r="J1145" t="str">
        <f t="shared" si="52"/>
        <v>Low</v>
      </c>
      <c r="K1145" t="s">
        <v>32</v>
      </c>
      <c r="L1145">
        <v>52</v>
      </c>
      <c r="M1145">
        <v>85</v>
      </c>
      <c r="N1145" t="str">
        <f t="shared" si="53"/>
        <v>Low Cost</v>
      </c>
      <c r="O1145">
        <v>2.17</v>
      </c>
      <c r="P1145" t="s">
        <v>33</v>
      </c>
      <c r="Q1145" t="s">
        <v>34</v>
      </c>
      <c r="R1145" t="s">
        <v>35</v>
      </c>
      <c r="S1145" t="s">
        <v>915</v>
      </c>
      <c r="T1145" t="s">
        <v>46</v>
      </c>
      <c r="U1145">
        <v>11</v>
      </c>
      <c r="V1145">
        <v>4.2</v>
      </c>
      <c r="W1145" t="s">
        <v>28</v>
      </c>
      <c r="X1145" t="s">
        <v>68</v>
      </c>
    </row>
    <row r="1146" spans="1:24" x14ac:dyDescent="0.3">
      <c r="A1146" t="s">
        <v>2422</v>
      </c>
      <c r="B1146" t="s">
        <v>53</v>
      </c>
      <c r="C1146" t="s">
        <v>54</v>
      </c>
      <c r="D1146" t="str">
        <f t="shared" si="51"/>
        <v>Afternoon</v>
      </c>
      <c r="E1146">
        <f>HOUR(EV_Data[[#This Row],[Charging Start Time]])</f>
        <v>16</v>
      </c>
      <c r="F1146" s="1">
        <v>44974.666666666664</v>
      </c>
      <c r="G1146" s="1">
        <v>44974.684027777781</v>
      </c>
      <c r="H1146">
        <v>25</v>
      </c>
      <c r="I1146">
        <v>33.11</v>
      </c>
      <c r="J1146" t="str">
        <f t="shared" si="52"/>
        <v>Medium</v>
      </c>
      <c r="K1146" t="s">
        <v>55</v>
      </c>
      <c r="L1146">
        <v>26</v>
      </c>
      <c r="M1146">
        <v>50</v>
      </c>
      <c r="N1146" t="str">
        <f t="shared" si="53"/>
        <v>Low Cost</v>
      </c>
      <c r="O1146">
        <v>6.91</v>
      </c>
      <c r="P1146" t="s">
        <v>43</v>
      </c>
      <c r="Q1146" t="s">
        <v>48</v>
      </c>
      <c r="R1146" t="s">
        <v>44</v>
      </c>
      <c r="S1146" t="s">
        <v>95</v>
      </c>
      <c r="T1146" t="s">
        <v>46</v>
      </c>
      <c r="U1146">
        <v>61</v>
      </c>
      <c r="V1146">
        <v>3.7</v>
      </c>
      <c r="W1146" t="s">
        <v>47</v>
      </c>
      <c r="X1146" t="s">
        <v>29</v>
      </c>
    </row>
    <row r="1147" spans="1:24" x14ac:dyDescent="0.3">
      <c r="A1147" t="s">
        <v>2423</v>
      </c>
      <c r="B1147" t="s">
        <v>77</v>
      </c>
      <c r="C1147" t="s">
        <v>78</v>
      </c>
      <c r="D1147" t="str">
        <f t="shared" si="51"/>
        <v>Evening</v>
      </c>
      <c r="E1147">
        <f>HOUR(EV_Data[[#This Row],[Charging Start Time]])</f>
        <v>17</v>
      </c>
      <c r="F1147" s="1">
        <v>44974.708333333336</v>
      </c>
      <c r="G1147" s="1">
        <v>44974.745138888888</v>
      </c>
      <c r="H1147">
        <v>53</v>
      </c>
      <c r="I1147">
        <v>40.520000000000003</v>
      </c>
      <c r="J1147" t="str">
        <f t="shared" si="52"/>
        <v>Medium</v>
      </c>
      <c r="K1147" t="s">
        <v>32</v>
      </c>
      <c r="L1147">
        <v>40</v>
      </c>
      <c r="M1147">
        <v>80</v>
      </c>
      <c r="N1147" t="str">
        <f t="shared" si="53"/>
        <v>Medium Cost</v>
      </c>
      <c r="O1147">
        <v>10.86</v>
      </c>
      <c r="P1147" t="s">
        <v>23</v>
      </c>
      <c r="Q1147" t="s">
        <v>48</v>
      </c>
      <c r="R1147" t="s">
        <v>44</v>
      </c>
      <c r="S1147" t="s">
        <v>685</v>
      </c>
      <c r="T1147" t="s">
        <v>27</v>
      </c>
      <c r="U1147">
        <v>13</v>
      </c>
      <c r="V1147">
        <v>4.5</v>
      </c>
      <c r="W1147" t="s">
        <v>38</v>
      </c>
      <c r="X1147" t="s">
        <v>85</v>
      </c>
    </row>
    <row r="1148" spans="1:24" x14ac:dyDescent="0.3">
      <c r="A1148" t="s">
        <v>2424</v>
      </c>
      <c r="B1148" t="s">
        <v>71</v>
      </c>
      <c r="C1148" t="s">
        <v>72</v>
      </c>
      <c r="D1148" t="str">
        <f t="shared" si="51"/>
        <v>Evening</v>
      </c>
      <c r="E1148">
        <f>HOUR(EV_Data[[#This Row],[Charging Start Time]])</f>
        <v>18</v>
      </c>
      <c r="F1148" s="1">
        <v>44974.75</v>
      </c>
      <c r="G1148" s="1">
        <v>44974.797222222223</v>
      </c>
      <c r="H1148">
        <v>68</v>
      </c>
      <c r="I1148">
        <v>16.760000000000002</v>
      </c>
      <c r="J1148" t="str">
        <f t="shared" si="52"/>
        <v>Low</v>
      </c>
      <c r="K1148" t="s">
        <v>69</v>
      </c>
      <c r="L1148">
        <v>54</v>
      </c>
      <c r="M1148">
        <v>90</v>
      </c>
      <c r="N1148" t="str">
        <f t="shared" si="53"/>
        <v>Low Cost</v>
      </c>
      <c r="O1148">
        <v>6.09</v>
      </c>
      <c r="P1148" t="s">
        <v>43</v>
      </c>
      <c r="Q1148" t="s">
        <v>24</v>
      </c>
      <c r="R1148" t="s">
        <v>56</v>
      </c>
      <c r="S1148" t="s">
        <v>709</v>
      </c>
      <c r="T1148" t="s">
        <v>46</v>
      </c>
      <c r="U1148">
        <v>97</v>
      </c>
      <c r="V1148">
        <v>2.7</v>
      </c>
      <c r="W1148" t="s">
        <v>47</v>
      </c>
      <c r="X1148" t="s">
        <v>29</v>
      </c>
    </row>
    <row r="1149" spans="1:24" x14ac:dyDescent="0.3">
      <c r="A1149" t="s">
        <v>2425</v>
      </c>
      <c r="B1149" t="s">
        <v>126</v>
      </c>
      <c r="C1149" t="s">
        <v>31</v>
      </c>
      <c r="D1149" t="str">
        <f t="shared" si="51"/>
        <v>Evening</v>
      </c>
      <c r="E1149">
        <f>HOUR(EV_Data[[#This Row],[Charging Start Time]])</f>
        <v>19</v>
      </c>
      <c r="F1149" s="1">
        <v>44974.791666666664</v>
      </c>
      <c r="G1149" s="1">
        <v>44974.833333333343</v>
      </c>
      <c r="H1149">
        <v>60</v>
      </c>
      <c r="I1149">
        <v>41.27</v>
      </c>
      <c r="J1149" t="str">
        <f t="shared" si="52"/>
        <v>Medium</v>
      </c>
      <c r="K1149" t="s">
        <v>55</v>
      </c>
      <c r="L1149">
        <v>68</v>
      </c>
      <c r="M1149">
        <v>95</v>
      </c>
      <c r="N1149" t="str">
        <f t="shared" si="53"/>
        <v>High Cost</v>
      </c>
      <c r="O1149">
        <v>17.62</v>
      </c>
      <c r="P1149" t="s">
        <v>23</v>
      </c>
      <c r="Q1149" t="s">
        <v>58</v>
      </c>
      <c r="R1149" t="s">
        <v>56</v>
      </c>
      <c r="S1149" t="s">
        <v>750</v>
      </c>
      <c r="T1149" t="s">
        <v>46</v>
      </c>
      <c r="U1149">
        <v>75</v>
      </c>
      <c r="V1149">
        <v>1.4</v>
      </c>
      <c r="W1149" t="s">
        <v>47</v>
      </c>
      <c r="X1149" t="s">
        <v>29</v>
      </c>
    </row>
    <row r="1150" spans="1:24" x14ac:dyDescent="0.3">
      <c r="A1150" t="s">
        <v>2426</v>
      </c>
      <c r="B1150" t="s">
        <v>30</v>
      </c>
      <c r="C1150" t="s">
        <v>102</v>
      </c>
      <c r="D1150" t="str">
        <f t="shared" si="51"/>
        <v>Evening</v>
      </c>
      <c r="E1150">
        <f>HOUR(EV_Data[[#This Row],[Charging Start Time]])</f>
        <v>20</v>
      </c>
      <c r="F1150" s="1">
        <v>44974.833333333336</v>
      </c>
      <c r="G1150" s="1">
        <v>44974.853472222218</v>
      </c>
      <c r="H1150">
        <v>29</v>
      </c>
      <c r="I1150">
        <v>22.04</v>
      </c>
      <c r="J1150" t="str">
        <f t="shared" si="52"/>
        <v>Medium</v>
      </c>
      <c r="K1150" t="s">
        <v>22</v>
      </c>
      <c r="L1150">
        <v>64</v>
      </c>
      <c r="M1150">
        <v>95</v>
      </c>
      <c r="N1150" t="str">
        <f t="shared" si="53"/>
        <v>Low Cost</v>
      </c>
      <c r="O1150">
        <v>5.55</v>
      </c>
      <c r="P1150" t="s">
        <v>23</v>
      </c>
      <c r="Q1150" t="s">
        <v>24</v>
      </c>
      <c r="R1150" t="s">
        <v>35</v>
      </c>
      <c r="S1150" t="s">
        <v>201</v>
      </c>
      <c r="T1150" t="s">
        <v>37</v>
      </c>
      <c r="U1150">
        <v>27</v>
      </c>
      <c r="V1150">
        <v>2.8</v>
      </c>
      <c r="W1150" t="s">
        <v>28</v>
      </c>
      <c r="X1150" t="s">
        <v>68</v>
      </c>
    </row>
    <row r="1151" spans="1:24" x14ac:dyDescent="0.3">
      <c r="A1151" t="s">
        <v>2427</v>
      </c>
      <c r="B1151" t="s">
        <v>92</v>
      </c>
      <c r="C1151" t="s">
        <v>93</v>
      </c>
      <c r="D1151" t="str">
        <f t="shared" si="51"/>
        <v>Evening</v>
      </c>
      <c r="E1151">
        <f>HOUR(EV_Data[[#This Row],[Charging Start Time]])</f>
        <v>21</v>
      </c>
      <c r="F1151" s="1">
        <v>44974.875</v>
      </c>
      <c r="G1151" s="1">
        <v>44974.912499999999</v>
      </c>
      <c r="H1151">
        <v>54</v>
      </c>
      <c r="I1151">
        <v>42.28</v>
      </c>
      <c r="J1151" t="str">
        <f t="shared" si="52"/>
        <v>Medium</v>
      </c>
      <c r="K1151" t="s">
        <v>42</v>
      </c>
      <c r="L1151">
        <v>78</v>
      </c>
      <c r="M1151">
        <v>100</v>
      </c>
      <c r="N1151" t="str">
        <f t="shared" si="53"/>
        <v>Medium Cost</v>
      </c>
      <c r="O1151">
        <v>10.75</v>
      </c>
      <c r="P1151" t="s">
        <v>64</v>
      </c>
      <c r="Q1151" t="s">
        <v>48</v>
      </c>
      <c r="R1151" t="s">
        <v>44</v>
      </c>
      <c r="S1151" t="s">
        <v>916</v>
      </c>
      <c r="T1151" t="s">
        <v>27</v>
      </c>
      <c r="U1151">
        <v>3</v>
      </c>
      <c r="V1151">
        <v>1.7</v>
      </c>
      <c r="W1151" t="s">
        <v>47</v>
      </c>
      <c r="X1151" t="s">
        <v>29</v>
      </c>
    </row>
    <row r="1152" spans="1:24" x14ac:dyDescent="0.3">
      <c r="A1152" t="s">
        <v>2428</v>
      </c>
      <c r="B1152" t="s">
        <v>92</v>
      </c>
      <c r="C1152" t="s">
        <v>93</v>
      </c>
      <c r="D1152" t="str">
        <f t="shared" si="51"/>
        <v>Evening</v>
      </c>
      <c r="E1152">
        <f>HOUR(EV_Data[[#This Row],[Charging Start Time]])</f>
        <v>22</v>
      </c>
      <c r="F1152" s="1">
        <v>44974.916666666664</v>
      </c>
      <c r="G1152" s="1">
        <v>44974.999305555553</v>
      </c>
      <c r="H1152">
        <v>119</v>
      </c>
      <c r="I1152">
        <v>17.16</v>
      </c>
      <c r="J1152" t="str">
        <f t="shared" si="52"/>
        <v>Low</v>
      </c>
      <c r="K1152" t="s">
        <v>42</v>
      </c>
      <c r="L1152">
        <v>49</v>
      </c>
      <c r="M1152">
        <v>65</v>
      </c>
      <c r="N1152" t="str">
        <f t="shared" si="53"/>
        <v>Low Cost</v>
      </c>
      <c r="O1152">
        <v>6.38</v>
      </c>
      <c r="P1152" t="s">
        <v>64</v>
      </c>
      <c r="Q1152" t="s">
        <v>58</v>
      </c>
      <c r="R1152" t="s">
        <v>56</v>
      </c>
      <c r="S1152" t="s">
        <v>764</v>
      </c>
      <c r="T1152" t="s">
        <v>37</v>
      </c>
      <c r="U1152">
        <v>43</v>
      </c>
      <c r="V1152">
        <v>3</v>
      </c>
      <c r="W1152" t="s">
        <v>47</v>
      </c>
      <c r="X1152" t="s">
        <v>29</v>
      </c>
    </row>
    <row r="1153" spans="1:24" x14ac:dyDescent="0.3">
      <c r="A1153" t="s">
        <v>2429</v>
      </c>
      <c r="B1153" t="s">
        <v>92</v>
      </c>
      <c r="C1153" t="s">
        <v>93</v>
      </c>
      <c r="D1153" t="str">
        <f t="shared" si="51"/>
        <v>Evening</v>
      </c>
      <c r="E1153">
        <f>HOUR(EV_Data[[#This Row],[Charging Start Time]])</f>
        <v>23</v>
      </c>
      <c r="F1153" s="1">
        <v>44974.958333333336</v>
      </c>
      <c r="G1153" s="1">
        <v>44974.98541666667</v>
      </c>
      <c r="H1153">
        <v>39</v>
      </c>
      <c r="I1153">
        <v>30.82</v>
      </c>
      <c r="J1153" t="str">
        <f t="shared" si="52"/>
        <v>Medium</v>
      </c>
      <c r="K1153" t="s">
        <v>55</v>
      </c>
      <c r="L1153">
        <v>10</v>
      </c>
      <c r="M1153">
        <v>27</v>
      </c>
      <c r="N1153" t="str">
        <f t="shared" si="53"/>
        <v>Medium Cost</v>
      </c>
      <c r="O1153">
        <v>9.0399999999999991</v>
      </c>
      <c r="P1153" t="s">
        <v>51</v>
      </c>
      <c r="Q1153" t="s">
        <v>34</v>
      </c>
      <c r="R1153" t="s">
        <v>35</v>
      </c>
      <c r="S1153" t="s">
        <v>251</v>
      </c>
      <c r="T1153" t="s">
        <v>27</v>
      </c>
      <c r="U1153">
        <v>56</v>
      </c>
      <c r="V1153">
        <v>1.1000000000000001</v>
      </c>
      <c r="W1153" t="s">
        <v>47</v>
      </c>
      <c r="X1153" t="s">
        <v>29</v>
      </c>
    </row>
    <row r="1154" spans="1:24" x14ac:dyDescent="0.3">
      <c r="A1154" t="s">
        <v>2430</v>
      </c>
      <c r="B1154" t="s">
        <v>20</v>
      </c>
      <c r="C1154" t="s">
        <v>21</v>
      </c>
      <c r="D1154" t="str">
        <f t="shared" ref="D1154:D1217" si="54">IF(E1154&lt;12,"Morning",IF(E1154&lt;17,"Afternoon","Evening"))</f>
        <v>Morning</v>
      </c>
      <c r="E1154">
        <f>HOUR(EV_Data[[#This Row],[Charging Start Time]])</f>
        <v>0</v>
      </c>
      <c r="F1154" s="1">
        <v>44975</v>
      </c>
      <c r="G1154" s="1">
        <v>44975.025694444441</v>
      </c>
      <c r="H1154">
        <v>37</v>
      </c>
      <c r="I1154">
        <v>46.68</v>
      </c>
      <c r="J1154" t="str">
        <f t="shared" ref="J1154:J1217" si="55">IF(I1154&lt;20,"Low",IF(I1154&lt;50,"Medium","High"))</f>
        <v>Medium</v>
      </c>
      <c r="K1154" t="s">
        <v>50</v>
      </c>
      <c r="L1154">
        <v>10</v>
      </c>
      <c r="M1154">
        <v>26</v>
      </c>
      <c r="N1154" t="str">
        <f t="shared" ref="N1154:N1217" si="56">IF(O1154&lt;8,"Low Cost",IF(O1154&lt;17,"Medium Cost","High Cost"))</f>
        <v>Medium Cost</v>
      </c>
      <c r="O1154">
        <v>14.11</v>
      </c>
      <c r="P1154" t="s">
        <v>33</v>
      </c>
      <c r="Q1154" t="s">
        <v>58</v>
      </c>
      <c r="R1154" t="s">
        <v>25</v>
      </c>
      <c r="S1154" t="s">
        <v>187</v>
      </c>
      <c r="T1154" t="s">
        <v>46</v>
      </c>
      <c r="U1154">
        <v>70</v>
      </c>
      <c r="V1154">
        <v>1.8</v>
      </c>
      <c r="W1154" t="s">
        <v>47</v>
      </c>
      <c r="X1154" t="s">
        <v>29</v>
      </c>
    </row>
    <row r="1155" spans="1:24" x14ac:dyDescent="0.3">
      <c r="A1155" t="s">
        <v>2431</v>
      </c>
      <c r="B1155" t="s">
        <v>30</v>
      </c>
      <c r="C1155" t="s">
        <v>102</v>
      </c>
      <c r="D1155" t="str">
        <f t="shared" si="54"/>
        <v>Morning</v>
      </c>
      <c r="E1155">
        <f>HOUR(EV_Data[[#This Row],[Charging Start Time]])</f>
        <v>1</v>
      </c>
      <c r="F1155" s="1">
        <v>44975.041666666664</v>
      </c>
      <c r="G1155" s="1">
        <v>44975.053472222222</v>
      </c>
      <c r="H1155">
        <v>17</v>
      </c>
      <c r="I1155">
        <v>11.34</v>
      </c>
      <c r="J1155" t="str">
        <f t="shared" si="55"/>
        <v>Low</v>
      </c>
      <c r="K1155" t="s">
        <v>50</v>
      </c>
      <c r="L1155">
        <v>30</v>
      </c>
      <c r="M1155">
        <v>40</v>
      </c>
      <c r="N1155" t="str">
        <f t="shared" si="56"/>
        <v>Low Cost</v>
      </c>
      <c r="O1155">
        <v>4.5199999999999996</v>
      </c>
      <c r="P1155" t="s">
        <v>33</v>
      </c>
      <c r="Q1155" t="s">
        <v>24</v>
      </c>
      <c r="R1155" t="s">
        <v>35</v>
      </c>
      <c r="S1155" t="s">
        <v>917</v>
      </c>
      <c r="T1155" t="s">
        <v>46</v>
      </c>
      <c r="U1155">
        <v>79</v>
      </c>
      <c r="V1155">
        <v>3.4</v>
      </c>
      <c r="W1155" t="s">
        <v>47</v>
      </c>
      <c r="X1155" t="s">
        <v>29</v>
      </c>
    </row>
    <row r="1156" spans="1:24" x14ac:dyDescent="0.3">
      <c r="A1156" t="s">
        <v>2432</v>
      </c>
      <c r="B1156" t="s">
        <v>30</v>
      </c>
      <c r="C1156" t="s">
        <v>102</v>
      </c>
      <c r="D1156" t="str">
        <f t="shared" si="54"/>
        <v>Morning</v>
      </c>
      <c r="E1156">
        <f>HOUR(EV_Data[[#This Row],[Charging Start Time]])</f>
        <v>2</v>
      </c>
      <c r="F1156" s="1">
        <v>44975.083333333336</v>
      </c>
      <c r="G1156" s="1">
        <v>44975.112500000003</v>
      </c>
      <c r="H1156">
        <v>42</v>
      </c>
      <c r="I1156">
        <v>14.75</v>
      </c>
      <c r="J1156" t="str">
        <f t="shared" si="55"/>
        <v>Low</v>
      </c>
      <c r="K1156" t="s">
        <v>55</v>
      </c>
      <c r="L1156">
        <v>66</v>
      </c>
      <c r="M1156">
        <v>100</v>
      </c>
      <c r="N1156" t="str">
        <f t="shared" si="56"/>
        <v>Low Cost</v>
      </c>
      <c r="O1156">
        <v>5.28</v>
      </c>
      <c r="P1156" t="s">
        <v>23</v>
      </c>
      <c r="Q1156" t="s">
        <v>34</v>
      </c>
      <c r="R1156" t="s">
        <v>35</v>
      </c>
      <c r="S1156" t="s">
        <v>918</v>
      </c>
      <c r="T1156" t="s">
        <v>37</v>
      </c>
      <c r="U1156">
        <v>52</v>
      </c>
      <c r="V1156">
        <v>4.9000000000000004</v>
      </c>
      <c r="W1156" t="s">
        <v>28</v>
      </c>
      <c r="X1156" t="s">
        <v>68</v>
      </c>
    </row>
    <row r="1157" spans="1:24" x14ac:dyDescent="0.3">
      <c r="A1157" t="s">
        <v>2433</v>
      </c>
      <c r="B1157" t="s">
        <v>71</v>
      </c>
      <c r="C1157" t="s">
        <v>72</v>
      </c>
      <c r="D1157" t="str">
        <f t="shared" si="54"/>
        <v>Morning</v>
      </c>
      <c r="E1157">
        <f>HOUR(EV_Data[[#This Row],[Charging Start Time]])</f>
        <v>3</v>
      </c>
      <c r="F1157" s="1">
        <v>44975.125</v>
      </c>
      <c r="G1157" s="1">
        <v>44975.154861111107</v>
      </c>
      <c r="H1157">
        <v>43</v>
      </c>
      <c r="I1157">
        <v>27.18</v>
      </c>
      <c r="J1157" t="str">
        <f t="shared" si="55"/>
        <v>Medium</v>
      </c>
      <c r="K1157" t="s">
        <v>55</v>
      </c>
      <c r="L1157">
        <v>68</v>
      </c>
      <c r="M1157">
        <v>89</v>
      </c>
      <c r="N1157" t="str">
        <f t="shared" si="56"/>
        <v>Low Cost</v>
      </c>
      <c r="O1157">
        <v>6.29</v>
      </c>
      <c r="P1157" t="s">
        <v>43</v>
      </c>
      <c r="Q1157" t="s">
        <v>58</v>
      </c>
      <c r="R1157" t="s">
        <v>25</v>
      </c>
      <c r="S1157" t="s">
        <v>919</v>
      </c>
      <c r="T1157" t="s">
        <v>46</v>
      </c>
      <c r="U1157">
        <v>2</v>
      </c>
      <c r="V1157">
        <v>3.5</v>
      </c>
      <c r="W1157" t="s">
        <v>38</v>
      </c>
    </row>
    <row r="1158" spans="1:24" x14ac:dyDescent="0.3">
      <c r="A1158" t="s">
        <v>2434</v>
      </c>
      <c r="B1158" t="s">
        <v>40</v>
      </c>
      <c r="C1158" t="s">
        <v>41</v>
      </c>
      <c r="D1158" t="str">
        <f t="shared" si="54"/>
        <v>Morning</v>
      </c>
      <c r="E1158">
        <f>HOUR(EV_Data[[#This Row],[Charging Start Time]])</f>
        <v>4</v>
      </c>
      <c r="F1158" s="1">
        <v>44975.166666666664</v>
      </c>
      <c r="G1158" s="1">
        <v>44975.216666666667</v>
      </c>
      <c r="H1158">
        <v>72</v>
      </c>
      <c r="I1158">
        <v>29.5</v>
      </c>
      <c r="J1158" t="str">
        <f t="shared" si="55"/>
        <v>Medium</v>
      </c>
      <c r="K1158" t="s">
        <v>22</v>
      </c>
      <c r="L1158">
        <v>22</v>
      </c>
      <c r="M1158">
        <v>44</v>
      </c>
      <c r="N1158" t="str">
        <f t="shared" si="56"/>
        <v>Medium Cost</v>
      </c>
      <c r="O1158">
        <v>11.6</v>
      </c>
      <c r="P1158" t="s">
        <v>33</v>
      </c>
      <c r="Q1158" t="s">
        <v>24</v>
      </c>
      <c r="R1158" t="s">
        <v>35</v>
      </c>
      <c r="S1158" t="s">
        <v>920</v>
      </c>
      <c r="T1158" t="s">
        <v>37</v>
      </c>
      <c r="U1158">
        <v>82</v>
      </c>
      <c r="V1158">
        <v>4.5</v>
      </c>
      <c r="W1158" t="s">
        <v>28</v>
      </c>
      <c r="X1158" t="s">
        <v>68</v>
      </c>
    </row>
    <row r="1159" spans="1:24" x14ac:dyDescent="0.3">
      <c r="A1159" t="s">
        <v>2435</v>
      </c>
      <c r="B1159" t="s">
        <v>53</v>
      </c>
      <c r="C1159" t="s">
        <v>54</v>
      </c>
      <c r="D1159" t="str">
        <f t="shared" si="54"/>
        <v>Morning</v>
      </c>
      <c r="E1159">
        <f>HOUR(EV_Data[[#This Row],[Charging Start Time]])</f>
        <v>5</v>
      </c>
      <c r="F1159" s="1">
        <v>44975.208333333336</v>
      </c>
      <c r="G1159" s="1">
        <v>44975.238888888889</v>
      </c>
      <c r="H1159">
        <v>44</v>
      </c>
      <c r="I1159">
        <v>36.81</v>
      </c>
      <c r="J1159" t="str">
        <f t="shared" si="55"/>
        <v>Medium</v>
      </c>
      <c r="K1159" t="s">
        <v>22</v>
      </c>
      <c r="L1159">
        <v>76</v>
      </c>
      <c r="M1159">
        <v>86</v>
      </c>
      <c r="N1159" t="str">
        <f t="shared" si="56"/>
        <v>High Cost</v>
      </c>
      <c r="O1159">
        <v>18.27</v>
      </c>
      <c r="P1159" t="s">
        <v>51</v>
      </c>
      <c r="Q1159" t="s">
        <v>34</v>
      </c>
      <c r="R1159" t="s">
        <v>25</v>
      </c>
      <c r="S1159" t="s">
        <v>921</v>
      </c>
      <c r="T1159" t="s">
        <v>27</v>
      </c>
      <c r="U1159">
        <v>43</v>
      </c>
      <c r="V1159">
        <v>3.8</v>
      </c>
      <c r="W1159" t="s">
        <v>38</v>
      </c>
      <c r="X1159" t="s">
        <v>62</v>
      </c>
    </row>
    <row r="1160" spans="1:24" x14ac:dyDescent="0.3">
      <c r="A1160" t="s">
        <v>2436</v>
      </c>
      <c r="B1160" t="s">
        <v>126</v>
      </c>
      <c r="C1160" t="s">
        <v>31</v>
      </c>
      <c r="D1160" t="str">
        <f t="shared" si="54"/>
        <v>Morning</v>
      </c>
      <c r="E1160">
        <f>HOUR(EV_Data[[#This Row],[Charging Start Time]])</f>
        <v>6</v>
      </c>
      <c r="F1160" s="1">
        <v>44975.25</v>
      </c>
      <c r="G1160" s="1">
        <v>44975.319444444453</v>
      </c>
      <c r="H1160">
        <v>100</v>
      </c>
      <c r="I1160">
        <v>49.41</v>
      </c>
      <c r="J1160" t="str">
        <f t="shared" si="55"/>
        <v>Medium</v>
      </c>
      <c r="K1160" t="s">
        <v>50</v>
      </c>
      <c r="L1160">
        <v>24</v>
      </c>
      <c r="M1160">
        <v>37</v>
      </c>
      <c r="N1160" t="str">
        <f t="shared" si="56"/>
        <v>High Cost</v>
      </c>
      <c r="O1160">
        <v>22.38</v>
      </c>
      <c r="P1160" t="s">
        <v>23</v>
      </c>
      <c r="Q1160" t="s">
        <v>48</v>
      </c>
      <c r="R1160" t="s">
        <v>35</v>
      </c>
      <c r="S1160" t="s">
        <v>668</v>
      </c>
      <c r="T1160" t="s">
        <v>46</v>
      </c>
      <c r="U1160">
        <v>67</v>
      </c>
      <c r="V1160">
        <v>3.8</v>
      </c>
      <c r="W1160" t="s">
        <v>38</v>
      </c>
      <c r="X1160" t="s">
        <v>83</v>
      </c>
    </row>
    <row r="1161" spans="1:24" x14ac:dyDescent="0.3">
      <c r="A1161" t="s">
        <v>2437</v>
      </c>
      <c r="B1161" t="s">
        <v>71</v>
      </c>
      <c r="C1161" t="s">
        <v>72</v>
      </c>
      <c r="D1161" t="str">
        <f t="shared" si="54"/>
        <v>Morning</v>
      </c>
      <c r="E1161">
        <f>HOUR(EV_Data[[#This Row],[Charging Start Time]])</f>
        <v>7</v>
      </c>
      <c r="F1161" s="1">
        <v>44975.291666666664</v>
      </c>
      <c r="G1161" s="1">
        <v>44975.331250000003</v>
      </c>
      <c r="H1161">
        <v>57</v>
      </c>
      <c r="I1161">
        <v>22.49</v>
      </c>
      <c r="J1161" t="str">
        <f t="shared" si="55"/>
        <v>Medium</v>
      </c>
      <c r="K1161" t="s">
        <v>50</v>
      </c>
      <c r="L1161">
        <v>15</v>
      </c>
      <c r="M1161">
        <v>45</v>
      </c>
      <c r="N1161" t="str">
        <f t="shared" si="56"/>
        <v>Low Cost</v>
      </c>
      <c r="O1161">
        <v>7.42</v>
      </c>
      <c r="P1161" t="s">
        <v>33</v>
      </c>
      <c r="Q1161" t="s">
        <v>24</v>
      </c>
      <c r="R1161" t="s">
        <v>35</v>
      </c>
      <c r="S1161" t="s">
        <v>572</v>
      </c>
      <c r="T1161" t="s">
        <v>46</v>
      </c>
      <c r="U1161">
        <v>96</v>
      </c>
      <c r="V1161">
        <v>1.6</v>
      </c>
      <c r="W1161" t="s">
        <v>47</v>
      </c>
      <c r="X1161" t="s">
        <v>29</v>
      </c>
    </row>
    <row r="1162" spans="1:24" x14ac:dyDescent="0.3">
      <c r="A1162" t="s">
        <v>2438</v>
      </c>
      <c r="B1162" t="s">
        <v>40</v>
      </c>
      <c r="C1162" t="s">
        <v>41</v>
      </c>
      <c r="D1162" t="str">
        <f t="shared" si="54"/>
        <v>Morning</v>
      </c>
      <c r="E1162">
        <f>HOUR(EV_Data[[#This Row],[Charging Start Time]])</f>
        <v>8</v>
      </c>
      <c r="F1162" s="1">
        <v>44975.333333333336</v>
      </c>
      <c r="G1162" s="1">
        <v>44975.384027777778</v>
      </c>
      <c r="H1162">
        <v>73</v>
      </c>
      <c r="I1162">
        <v>23.28</v>
      </c>
      <c r="J1162" t="str">
        <f t="shared" si="55"/>
        <v>Medium</v>
      </c>
      <c r="K1162" t="s">
        <v>55</v>
      </c>
      <c r="L1162">
        <v>42</v>
      </c>
      <c r="M1162">
        <v>65</v>
      </c>
      <c r="N1162" t="str">
        <f t="shared" si="56"/>
        <v>Medium Cost</v>
      </c>
      <c r="O1162">
        <v>10.67</v>
      </c>
      <c r="P1162" t="s">
        <v>43</v>
      </c>
      <c r="Q1162" t="s">
        <v>48</v>
      </c>
      <c r="R1162" t="s">
        <v>44</v>
      </c>
      <c r="S1162" t="s">
        <v>881</v>
      </c>
      <c r="T1162" t="s">
        <v>37</v>
      </c>
      <c r="U1162">
        <v>67</v>
      </c>
      <c r="V1162">
        <v>2.4</v>
      </c>
      <c r="W1162" t="s">
        <v>28</v>
      </c>
      <c r="X1162" t="s">
        <v>68</v>
      </c>
    </row>
    <row r="1163" spans="1:24" x14ac:dyDescent="0.3">
      <c r="A1163" t="s">
        <v>2439</v>
      </c>
      <c r="B1163" t="s">
        <v>53</v>
      </c>
      <c r="C1163" t="s">
        <v>54</v>
      </c>
      <c r="D1163" t="str">
        <f t="shared" si="54"/>
        <v>Morning</v>
      </c>
      <c r="E1163">
        <f>HOUR(EV_Data[[#This Row],[Charging Start Time]])</f>
        <v>9</v>
      </c>
      <c r="F1163" s="1">
        <v>44975.375</v>
      </c>
      <c r="G1163" s="1">
        <v>44975.413194444453</v>
      </c>
      <c r="H1163">
        <v>55</v>
      </c>
      <c r="I1163">
        <v>11.21</v>
      </c>
      <c r="J1163" t="str">
        <f t="shared" si="55"/>
        <v>Low</v>
      </c>
      <c r="K1163" t="s">
        <v>50</v>
      </c>
      <c r="L1163">
        <v>31</v>
      </c>
      <c r="M1163">
        <v>65</v>
      </c>
      <c r="N1163" t="str">
        <f t="shared" si="56"/>
        <v>Low Cost</v>
      </c>
      <c r="O1163">
        <v>4.92</v>
      </c>
      <c r="P1163" t="s">
        <v>64</v>
      </c>
      <c r="Q1163" t="s">
        <v>48</v>
      </c>
      <c r="R1163" t="s">
        <v>35</v>
      </c>
      <c r="S1163" t="s">
        <v>922</v>
      </c>
      <c r="T1163" t="s">
        <v>60</v>
      </c>
      <c r="U1163">
        <v>36</v>
      </c>
      <c r="V1163">
        <v>4.5999999999999996</v>
      </c>
      <c r="W1163" t="s">
        <v>28</v>
      </c>
      <c r="X1163" t="s">
        <v>68</v>
      </c>
    </row>
    <row r="1164" spans="1:24" x14ac:dyDescent="0.3">
      <c r="A1164" t="s">
        <v>2440</v>
      </c>
      <c r="B1164" t="s">
        <v>53</v>
      </c>
      <c r="C1164" t="s">
        <v>54</v>
      </c>
      <c r="D1164" t="str">
        <f t="shared" si="54"/>
        <v>Morning</v>
      </c>
      <c r="E1164">
        <f>HOUR(EV_Data[[#This Row],[Charging Start Time]])</f>
        <v>10</v>
      </c>
      <c r="F1164" s="1">
        <v>44975.416666666664</v>
      </c>
      <c r="G1164" s="1">
        <v>44975.463194444441</v>
      </c>
      <c r="H1164">
        <v>67</v>
      </c>
      <c r="I1164">
        <v>48.15</v>
      </c>
      <c r="J1164" t="str">
        <f t="shared" si="55"/>
        <v>Medium</v>
      </c>
      <c r="K1164" t="s">
        <v>69</v>
      </c>
      <c r="L1164">
        <v>36</v>
      </c>
      <c r="M1164">
        <v>51</v>
      </c>
      <c r="N1164" t="str">
        <f t="shared" si="56"/>
        <v>High Cost</v>
      </c>
      <c r="O1164">
        <v>17.11</v>
      </c>
      <c r="P1164" t="s">
        <v>43</v>
      </c>
      <c r="Q1164" t="s">
        <v>48</v>
      </c>
      <c r="R1164" t="s">
        <v>56</v>
      </c>
      <c r="S1164" t="s">
        <v>794</v>
      </c>
      <c r="T1164" t="s">
        <v>37</v>
      </c>
      <c r="U1164">
        <v>9</v>
      </c>
      <c r="V1164">
        <v>2.2999999999999998</v>
      </c>
      <c r="W1164" t="s">
        <v>47</v>
      </c>
      <c r="X1164" t="s">
        <v>29</v>
      </c>
    </row>
    <row r="1165" spans="1:24" x14ac:dyDescent="0.3">
      <c r="A1165" t="s">
        <v>2441</v>
      </c>
      <c r="B1165" t="s">
        <v>71</v>
      </c>
      <c r="C1165" t="s">
        <v>72</v>
      </c>
      <c r="D1165" t="str">
        <f t="shared" si="54"/>
        <v>Morning</v>
      </c>
      <c r="E1165">
        <f>HOUR(EV_Data[[#This Row],[Charging Start Time]])</f>
        <v>11</v>
      </c>
      <c r="F1165" s="1">
        <v>44975.458333333336</v>
      </c>
      <c r="G1165" s="1">
        <v>44975.510416666657</v>
      </c>
      <c r="H1165">
        <v>75</v>
      </c>
      <c r="I1165">
        <v>11.12</v>
      </c>
      <c r="J1165" t="str">
        <f t="shared" si="55"/>
        <v>Low</v>
      </c>
      <c r="K1165" t="s">
        <v>32</v>
      </c>
      <c r="L1165">
        <v>58</v>
      </c>
      <c r="M1165">
        <v>72</v>
      </c>
      <c r="N1165" t="str">
        <f t="shared" si="56"/>
        <v>Low Cost</v>
      </c>
      <c r="O1165">
        <v>2.5299999999999998</v>
      </c>
      <c r="P1165" t="s">
        <v>51</v>
      </c>
      <c r="Q1165" t="s">
        <v>48</v>
      </c>
      <c r="R1165" t="s">
        <v>25</v>
      </c>
      <c r="S1165" t="s">
        <v>923</v>
      </c>
      <c r="T1165" t="s">
        <v>37</v>
      </c>
      <c r="U1165">
        <v>19</v>
      </c>
      <c r="V1165">
        <v>1.4</v>
      </c>
      <c r="W1165" t="s">
        <v>47</v>
      </c>
      <c r="X1165" t="s">
        <v>29</v>
      </c>
    </row>
    <row r="1166" spans="1:24" x14ac:dyDescent="0.3">
      <c r="A1166" t="s">
        <v>2442</v>
      </c>
      <c r="B1166" t="s">
        <v>20</v>
      </c>
      <c r="C1166" t="s">
        <v>21</v>
      </c>
      <c r="D1166" t="str">
        <f t="shared" si="54"/>
        <v>Afternoon</v>
      </c>
      <c r="E1166">
        <f>HOUR(EV_Data[[#This Row],[Charging Start Time]])</f>
        <v>12</v>
      </c>
      <c r="F1166" s="1">
        <v>44975.5</v>
      </c>
      <c r="G1166" s="1">
        <v>44975.576388888891</v>
      </c>
      <c r="H1166">
        <v>110</v>
      </c>
      <c r="I1166">
        <v>24.04</v>
      </c>
      <c r="J1166" t="str">
        <f t="shared" si="55"/>
        <v>Medium</v>
      </c>
      <c r="K1166" t="s">
        <v>32</v>
      </c>
      <c r="L1166">
        <v>10</v>
      </c>
      <c r="M1166">
        <v>42</v>
      </c>
      <c r="N1166" t="str">
        <f t="shared" si="56"/>
        <v>Medium Cost</v>
      </c>
      <c r="O1166">
        <v>10.050000000000001</v>
      </c>
      <c r="P1166" t="s">
        <v>51</v>
      </c>
      <c r="Q1166" t="s">
        <v>48</v>
      </c>
      <c r="R1166" t="s">
        <v>35</v>
      </c>
      <c r="S1166" t="s">
        <v>231</v>
      </c>
      <c r="T1166" t="s">
        <v>46</v>
      </c>
      <c r="U1166">
        <v>88</v>
      </c>
      <c r="V1166">
        <v>3</v>
      </c>
      <c r="W1166" t="s">
        <v>38</v>
      </c>
      <c r="X1166" t="s">
        <v>39</v>
      </c>
    </row>
    <row r="1167" spans="1:24" x14ac:dyDescent="0.3">
      <c r="A1167" t="s">
        <v>2443</v>
      </c>
      <c r="B1167" t="s">
        <v>71</v>
      </c>
      <c r="C1167" t="s">
        <v>72</v>
      </c>
      <c r="D1167" t="str">
        <f t="shared" si="54"/>
        <v>Afternoon</v>
      </c>
      <c r="E1167">
        <f>HOUR(EV_Data[[#This Row],[Charging Start Time]])</f>
        <v>13</v>
      </c>
      <c r="F1167" s="1">
        <v>44975.541666666664</v>
      </c>
      <c r="G1167" s="1">
        <v>44975.569444444453</v>
      </c>
      <c r="H1167">
        <v>40</v>
      </c>
      <c r="I1167">
        <v>43.01</v>
      </c>
      <c r="J1167" t="str">
        <f t="shared" si="55"/>
        <v>Medium</v>
      </c>
      <c r="K1167" t="s">
        <v>42</v>
      </c>
      <c r="L1167">
        <v>19</v>
      </c>
      <c r="M1167">
        <v>40</v>
      </c>
      <c r="N1167" t="str">
        <f t="shared" si="56"/>
        <v>Medium Cost</v>
      </c>
      <c r="O1167">
        <v>8.68</v>
      </c>
      <c r="P1167" t="s">
        <v>43</v>
      </c>
      <c r="Q1167" t="s">
        <v>34</v>
      </c>
      <c r="R1167" t="s">
        <v>35</v>
      </c>
      <c r="S1167" t="s">
        <v>924</v>
      </c>
      <c r="T1167" t="s">
        <v>46</v>
      </c>
      <c r="U1167">
        <v>77</v>
      </c>
      <c r="V1167">
        <v>1.4</v>
      </c>
      <c r="W1167" t="s">
        <v>38</v>
      </c>
      <c r="X1167" t="s">
        <v>83</v>
      </c>
    </row>
    <row r="1168" spans="1:24" x14ac:dyDescent="0.3">
      <c r="A1168" t="s">
        <v>2444</v>
      </c>
      <c r="B1168" t="s">
        <v>53</v>
      </c>
      <c r="C1168" t="s">
        <v>54</v>
      </c>
      <c r="D1168" t="str">
        <f t="shared" si="54"/>
        <v>Afternoon</v>
      </c>
      <c r="E1168">
        <f>HOUR(EV_Data[[#This Row],[Charging Start Time]])</f>
        <v>14</v>
      </c>
      <c r="F1168" s="1">
        <v>44975.583333333336</v>
      </c>
      <c r="G1168" s="1">
        <v>44975.661111111112</v>
      </c>
      <c r="H1168">
        <v>112</v>
      </c>
      <c r="I1168">
        <v>9.3699999999999992</v>
      </c>
      <c r="J1168" t="str">
        <f t="shared" si="55"/>
        <v>Low</v>
      </c>
      <c r="K1168" t="s">
        <v>69</v>
      </c>
      <c r="L1168">
        <v>26</v>
      </c>
      <c r="M1168">
        <v>50</v>
      </c>
      <c r="N1168" t="str">
        <f t="shared" si="56"/>
        <v>Low Cost</v>
      </c>
      <c r="O1168">
        <v>3.31</v>
      </c>
      <c r="P1168" t="s">
        <v>64</v>
      </c>
      <c r="Q1168" t="s">
        <v>48</v>
      </c>
      <c r="R1168" t="s">
        <v>25</v>
      </c>
      <c r="S1168" t="s">
        <v>925</v>
      </c>
      <c r="T1168" t="s">
        <v>37</v>
      </c>
      <c r="U1168">
        <v>55</v>
      </c>
      <c r="V1168">
        <v>2</v>
      </c>
      <c r="W1168" t="s">
        <v>47</v>
      </c>
      <c r="X1168" t="s">
        <v>29</v>
      </c>
    </row>
    <row r="1169" spans="1:24" x14ac:dyDescent="0.3">
      <c r="A1169" t="s">
        <v>2445</v>
      </c>
      <c r="B1169" t="s">
        <v>77</v>
      </c>
      <c r="C1169" t="s">
        <v>78</v>
      </c>
      <c r="D1169" t="str">
        <f t="shared" si="54"/>
        <v>Afternoon</v>
      </c>
      <c r="E1169">
        <f>HOUR(EV_Data[[#This Row],[Charging Start Time]])</f>
        <v>15</v>
      </c>
      <c r="F1169" s="1">
        <v>44975.625</v>
      </c>
      <c r="G1169" s="1">
        <v>44975.662499999999</v>
      </c>
      <c r="H1169">
        <v>54</v>
      </c>
      <c r="I1169">
        <v>26.8</v>
      </c>
      <c r="J1169" t="str">
        <f t="shared" si="55"/>
        <v>Medium</v>
      </c>
      <c r="K1169" t="s">
        <v>22</v>
      </c>
      <c r="L1169">
        <v>41</v>
      </c>
      <c r="M1169">
        <v>52</v>
      </c>
      <c r="N1169" t="str">
        <f t="shared" si="56"/>
        <v>Medium Cost</v>
      </c>
      <c r="O1169">
        <v>9.3699999999999992</v>
      </c>
      <c r="P1169" t="s">
        <v>23</v>
      </c>
      <c r="Q1169" t="s">
        <v>34</v>
      </c>
      <c r="R1169" t="s">
        <v>44</v>
      </c>
      <c r="S1169" t="s">
        <v>224</v>
      </c>
      <c r="T1169" t="s">
        <v>60</v>
      </c>
      <c r="U1169">
        <v>74</v>
      </c>
      <c r="V1169">
        <v>2.9</v>
      </c>
      <c r="W1169" t="s">
        <v>47</v>
      </c>
      <c r="X1169" t="s">
        <v>29</v>
      </c>
    </row>
    <row r="1170" spans="1:24" x14ac:dyDescent="0.3">
      <c r="A1170" t="s">
        <v>2446</v>
      </c>
      <c r="B1170" t="s">
        <v>53</v>
      </c>
      <c r="C1170" t="s">
        <v>54</v>
      </c>
      <c r="D1170" t="str">
        <f t="shared" si="54"/>
        <v>Afternoon</v>
      </c>
      <c r="E1170">
        <f>HOUR(EV_Data[[#This Row],[Charging Start Time]])</f>
        <v>16</v>
      </c>
      <c r="F1170" s="1">
        <v>44975.666666666664</v>
      </c>
      <c r="G1170" s="1">
        <v>44975.678472222222</v>
      </c>
      <c r="H1170">
        <v>17</v>
      </c>
      <c r="I1170">
        <v>9.4700000000000006</v>
      </c>
      <c r="J1170" t="str">
        <f t="shared" si="55"/>
        <v>Low</v>
      </c>
      <c r="K1170" t="s">
        <v>69</v>
      </c>
      <c r="L1170">
        <v>41</v>
      </c>
      <c r="M1170">
        <v>52</v>
      </c>
      <c r="N1170" t="str">
        <f t="shared" si="56"/>
        <v>Low Cost</v>
      </c>
      <c r="O1170">
        <v>3.11</v>
      </c>
      <c r="P1170" t="s">
        <v>23</v>
      </c>
      <c r="Q1170" t="s">
        <v>34</v>
      </c>
      <c r="R1170" t="s">
        <v>25</v>
      </c>
      <c r="S1170" t="s">
        <v>132</v>
      </c>
      <c r="T1170" t="s">
        <v>37</v>
      </c>
      <c r="U1170">
        <v>17</v>
      </c>
      <c r="V1170">
        <v>3.7</v>
      </c>
      <c r="W1170" t="s">
        <v>28</v>
      </c>
      <c r="X1170" t="s">
        <v>68</v>
      </c>
    </row>
    <row r="1171" spans="1:24" x14ac:dyDescent="0.3">
      <c r="A1171" t="s">
        <v>2447</v>
      </c>
      <c r="B1171" t="s">
        <v>126</v>
      </c>
      <c r="C1171" t="s">
        <v>31</v>
      </c>
      <c r="D1171" t="str">
        <f t="shared" si="54"/>
        <v>Evening</v>
      </c>
      <c r="E1171">
        <f>HOUR(EV_Data[[#This Row],[Charging Start Time]])</f>
        <v>17</v>
      </c>
      <c r="F1171" s="1">
        <v>44975.708333333336</v>
      </c>
      <c r="G1171" s="1">
        <v>44975.754166666673</v>
      </c>
      <c r="H1171">
        <v>66</v>
      </c>
      <c r="I1171">
        <v>49.5</v>
      </c>
      <c r="J1171" t="str">
        <f t="shared" si="55"/>
        <v>Medium</v>
      </c>
      <c r="K1171" t="s">
        <v>50</v>
      </c>
      <c r="L1171">
        <v>43</v>
      </c>
      <c r="M1171">
        <v>76</v>
      </c>
      <c r="N1171" t="str">
        <f t="shared" si="56"/>
        <v>High Cost</v>
      </c>
      <c r="O1171">
        <v>18.489999999999998</v>
      </c>
      <c r="P1171" t="s">
        <v>23</v>
      </c>
      <c r="Q1171" t="s">
        <v>48</v>
      </c>
      <c r="R1171" t="s">
        <v>56</v>
      </c>
      <c r="S1171" t="s">
        <v>794</v>
      </c>
      <c r="T1171" t="s">
        <v>27</v>
      </c>
      <c r="U1171">
        <v>58</v>
      </c>
      <c r="V1171">
        <v>4.9000000000000004</v>
      </c>
      <c r="W1171" t="s">
        <v>47</v>
      </c>
      <c r="X1171" t="s">
        <v>29</v>
      </c>
    </row>
    <row r="1172" spans="1:24" x14ac:dyDescent="0.3">
      <c r="A1172" t="s">
        <v>2448</v>
      </c>
      <c r="B1172" t="s">
        <v>71</v>
      </c>
      <c r="C1172" t="s">
        <v>72</v>
      </c>
      <c r="D1172" t="str">
        <f t="shared" si="54"/>
        <v>Evening</v>
      </c>
      <c r="E1172">
        <f>HOUR(EV_Data[[#This Row],[Charging Start Time]])</f>
        <v>18</v>
      </c>
      <c r="F1172" s="1">
        <v>44975.75</v>
      </c>
      <c r="G1172" s="1">
        <v>44975.809027777781</v>
      </c>
      <c r="H1172">
        <v>85</v>
      </c>
      <c r="I1172">
        <v>23.25</v>
      </c>
      <c r="J1172" t="str">
        <f t="shared" si="55"/>
        <v>Medium</v>
      </c>
      <c r="K1172" t="s">
        <v>32</v>
      </c>
      <c r="L1172">
        <v>28</v>
      </c>
      <c r="M1172">
        <v>58</v>
      </c>
      <c r="N1172" t="str">
        <f t="shared" si="56"/>
        <v>Medium Cost</v>
      </c>
      <c r="O1172">
        <v>8.31</v>
      </c>
      <c r="P1172" t="s">
        <v>43</v>
      </c>
      <c r="Q1172" t="s">
        <v>58</v>
      </c>
      <c r="R1172" t="s">
        <v>56</v>
      </c>
      <c r="S1172" t="s">
        <v>926</v>
      </c>
      <c r="T1172" t="s">
        <v>46</v>
      </c>
      <c r="U1172">
        <v>24</v>
      </c>
      <c r="V1172">
        <v>2.4</v>
      </c>
      <c r="W1172" t="s">
        <v>47</v>
      </c>
      <c r="X1172" t="s">
        <v>29</v>
      </c>
    </row>
    <row r="1173" spans="1:24" x14ac:dyDescent="0.3">
      <c r="A1173" t="s">
        <v>2449</v>
      </c>
      <c r="B1173" t="s">
        <v>77</v>
      </c>
      <c r="C1173" t="s">
        <v>78</v>
      </c>
      <c r="D1173" t="str">
        <f t="shared" si="54"/>
        <v>Evening</v>
      </c>
      <c r="E1173">
        <f>HOUR(EV_Data[[#This Row],[Charging Start Time]])</f>
        <v>19</v>
      </c>
      <c r="F1173" s="1">
        <v>44975.791666666664</v>
      </c>
      <c r="G1173" s="1">
        <v>44975.852083333331</v>
      </c>
      <c r="H1173">
        <v>87</v>
      </c>
      <c r="I1173">
        <v>8.24</v>
      </c>
      <c r="J1173" t="str">
        <f t="shared" si="55"/>
        <v>Low</v>
      </c>
      <c r="K1173" t="s">
        <v>50</v>
      </c>
      <c r="L1173">
        <v>41</v>
      </c>
      <c r="M1173">
        <v>73</v>
      </c>
      <c r="N1173" t="str">
        <f t="shared" si="56"/>
        <v>Low Cost</v>
      </c>
      <c r="O1173">
        <v>2.72</v>
      </c>
      <c r="P1173" t="s">
        <v>64</v>
      </c>
      <c r="Q1173" t="s">
        <v>24</v>
      </c>
      <c r="R1173" t="s">
        <v>35</v>
      </c>
      <c r="S1173" t="s">
        <v>927</v>
      </c>
      <c r="T1173" t="s">
        <v>60</v>
      </c>
      <c r="U1173">
        <v>63</v>
      </c>
      <c r="V1173">
        <v>2.9</v>
      </c>
      <c r="W1173" t="s">
        <v>47</v>
      </c>
      <c r="X1173" t="s">
        <v>29</v>
      </c>
    </row>
    <row r="1174" spans="1:24" x14ac:dyDescent="0.3">
      <c r="A1174" t="s">
        <v>2450</v>
      </c>
      <c r="B1174" t="s">
        <v>30</v>
      </c>
      <c r="C1174" t="s">
        <v>102</v>
      </c>
      <c r="D1174" t="str">
        <f t="shared" si="54"/>
        <v>Evening</v>
      </c>
      <c r="E1174">
        <f>HOUR(EV_Data[[#This Row],[Charging Start Time]])</f>
        <v>20</v>
      </c>
      <c r="F1174" s="1">
        <v>44975.833333333336</v>
      </c>
      <c r="G1174" s="1">
        <v>44975.869444444441</v>
      </c>
      <c r="H1174">
        <v>52</v>
      </c>
      <c r="I1174">
        <v>14.85</v>
      </c>
      <c r="J1174" t="str">
        <f t="shared" si="55"/>
        <v>Low</v>
      </c>
      <c r="K1174" t="s">
        <v>42</v>
      </c>
      <c r="L1174">
        <v>17</v>
      </c>
      <c r="M1174">
        <v>42</v>
      </c>
      <c r="N1174" t="str">
        <f t="shared" si="56"/>
        <v>Low Cost</v>
      </c>
      <c r="O1174">
        <v>5.86</v>
      </c>
      <c r="P1174" t="s">
        <v>23</v>
      </c>
      <c r="Q1174" t="s">
        <v>58</v>
      </c>
      <c r="R1174" t="s">
        <v>56</v>
      </c>
      <c r="S1174" t="s">
        <v>928</v>
      </c>
      <c r="T1174" t="s">
        <v>37</v>
      </c>
      <c r="U1174">
        <v>92</v>
      </c>
      <c r="V1174">
        <v>1.1000000000000001</v>
      </c>
      <c r="W1174" t="s">
        <v>28</v>
      </c>
      <c r="X1174" t="s">
        <v>68</v>
      </c>
    </row>
    <row r="1175" spans="1:24" x14ac:dyDescent="0.3">
      <c r="A1175" t="s">
        <v>2451</v>
      </c>
      <c r="B1175" t="s">
        <v>126</v>
      </c>
      <c r="C1175" t="s">
        <v>31</v>
      </c>
      <c r="D1175" t="str">
        <f t="shared" si="54"/>
        <v>Evening</v>
      </c>
      <c r="E1175">
        <f>HOUR(EV_Data[[#This Row],[Charging Start Time]])</f>
        <v>21</v>
      </c>
      <c r="F1175" s="1">
        <v>44975.875</v>
      </c>
      <c r="G1175" s="1">
        <v>44975.886805555558</v>
      </c>
      <c r="H1175">
        <v>17</v>
      </c>
      <c r="I1175">
        <v>17.21</v>
      </c>
      <c r="J1175" t="str">
        <f t="shared" si="55"/>
        <v>Low</v>
      </c>
      <c r="K1175" t="s">
        <v>42</v>
      </c>
      <c r="L1175">
        <v>29</v>
      </c>
      <c r="M1175">
        <v>66</v>
      </c>
      <c r="N1175" t="str">
        <f t="shared" si="56"/>
        <v>Low Cost</v>
      </c>
      <c r="O1175">
        <v>4.79</v>
      </c>
      <c r="P1175" t="s">
        <v>43</v>
      </c>
      <c r="Q1175" t="s">
        <v>58</v>
      </c>
      <c r="R1175" t="s">
        <v>56</v>
      </c>
      <c r="S1175" t="s">
        <v>387</v>
      </c>
      <c r="T1175" t="s">
        <v>37</v>
      </c>
      <c r="U1175">
        <v>91</v>
      </c>
      <c r="V1175">
        <v>4.8</v>
      </c>
      <c r="W1175" t="s">
        <v>38</v>
      </c>
    </row>
    <row r="1176" spans="1:24" x14ac:dyDescent="0.3">
      <c r="A1176" t="s">
        <v>2452</v>
      </c>
      <c r="B1176" t="s">
        <v>77</v>
      </c>
      <c r="C1176" t="s">
        <v>78</v>
      </c>
      <c r="D1176" t="str">
        <f t="shared" si="54"/>
        <v>Evening</v>
      </c>
      <c r="E1176">
        <f>HOUR(EV_Data[[#This Row],[Charging Start Time]])</f>
        <v>22</v>
      </c>
      <c r="F1176" s="1">
        <v>44975.916666666664</v>
      </c>
      <c r="G1176" s="1">
        <v>44975.966666666667</v>
      </c>
      <c r="H1176">
        <v>72</v>
      </c>
      <c r="I1176">
        <v>35.78</v>
      </c>
      <c r="J1176" t="str">
        <f t="shared" si="55"/>
        <v>Medium</v>
      </c>
      <c r="K1176" t="s">
        <v>50</v>
      </c>
      <c r="L1176">
        <v>36</v>
      </c>
      <c r="M1176">
        <v>51</v>
      </c>
      <c r="N1176" t="str">
        <f t="shared" si="56"/>
        <v>Medium Cost</v>
      </c>
      <c r="O1176">
        <v>11.32</v>
      </c>
      <c r="P1176" t="s">
        <v>23</v>
      </c>
      <c r="Q1176" t="s">
        <v>34</v>
      </c>
      <c r="R1176" t="s">
        <v>25</v>
      </c>
      <c r="S1176" t="s">
        <v>355</v>
      </c>
      <c r="T1176" t="s">
        <v>46</v>
      </c>
      <c r="U1176">
        <v>34</v>
      </c>
      <c r="V1176">
        <v>2.6</v>
      </c>
      <c r="W1176" t="s">
        <v>47</v>
      </c>
      <c r="X1176" t="s">
        <v>29</v>
      </c>
    </row>
    <row r="1177" spans="1:24" x14ac:dyDescent="0.3">
      <c r="A1177" t="s">
        <v>2453</v>
      </c>
      <c r="B1177" t="s">
        <v>20</v>
      </c>
      <c r="C1177" t="s">
        <v>21</v>
      </c>
      <c r="D1177" t="str">
        <f t="shared" si="54"/>
        <v>Evening</v>
      </c>
      <c r="E1177">
        <f>HOUR(EV_Data[[#This Row],[Charging Start Time]])</f>
        <v>23</v>
      </c>
      <c r="F1177" s="1">
        <v>44975.958333333336</v>
      </c>
      <c r="G1177" s="1">
        <v>44976.036111111112</v>
      </c>
      <c r="H1177">
        <v>112</v>
      </c>
      <c r="I1177">
        <v>12.22</v>
      </c>
      <c r="J1177" t="str">
        <f t="shared" si="55"/>
        <v>Low</v>
      </c>
      <c r="K1177" t="s">
        <v>42</v>
      </c>
      <c r="L1177">
        <v>66</v>
      </c>
      <c r="M1177">
        <v>92</v>
      </c>
      <c r="N1177" t="str">
        <f t="shared" si="56"/>
        <v>Low Cost</v>
      </c>
      <c r="O1177">
        <v>4.84</v>
      </c>
      <c r="P1177" t="s">
        <v>23</v>
      </c>
      <c r="Q1177" t="s">
        <v>58</v>
      </c>
      <c r="R1177" t="s">
        <v>44</v>
      </c>
      <c r="S1177" t="s">
        <v>929</v>
      </c>
      <c r="T1177" t="s">
        <v>27</v>
      </c>
      <c r="U1177">
        <v>5</v>
      </c>
      <c r="V1177">
        <v>3</v>
      </c>
      <c r="W1177" t="s">
        <v>47</v>
      </c>
      <c r="X1177" t="s">
        <v>29</v>
      </c>
    </row>
    <row r="1178" spans="1:24" x14ac:dyDescent="0.3">
      <c r="A1178" t="s">
        <v>2454</v>
      </c>
      <c r="B1178" t="s">
        <v>71</v>
      </c>
      <c r="C1178" t="s">
        <v>72</v>
      </c>
      <c r="D1178" t="str">
        <f t="shared" si="54"/>
        <v>Morning</v>
      </c>
      <c r="E1178">
        <f>HOUR(EV_Data[[#This Row],[Charging Start Time]])</f>
        <v>0</v>
      </c>
      <c r="F1178" s="1">
        <v>44976</v>
      </c>
      <c r="G1178" s="1">
        <v>44976.083333333343</v>
      </c>
      <c r="H1178">
        <v>120</v>
      </c>
      <c r="I1178">
        <v>42.11</v>
      </c>
      <c r="J1178" t="str">
        <f t="shared" si="55"/>
        <v>Medium</v>
      </c>
      <c r="K1178" t="s">
        <v>42</v>
      </c>
      <c r="L1178">
        <v>38</v>
      </c>
      <c r="M1178">
        <v>77</v>
      </c>
      <c r="N1178" t="str">
        <f t="shared" si="56"/>
        <v>Medium Cost</v>
      </c>
      <c r="O1178">
        <v>14.32</v>
      </c>
      <c r="P1178" t="s">
        <v>33</v>
      </c>
      <c r="Q1178" t="s">
        <v>48</v>
      </c>
      <c r="R1178" t="s">
        <v>44</v>
      </c>
      <c r="S1178" t="s">
        <v>930</v>
      </c>
      <c r="T1178" t="s">
        <v>60</v>
      </c>
      <c r="U1178">
        <v>53</v>
      </c>
      <c r="V1178">
        <v>2.2000000000000002</v>
      </c>
      <c r="W1178" t="s">
        <v>47</v>
      </c>
      <c r="X1178" t="s">
        <v>29</v>
      </c>
    </row>
    <row r="1179" spans="1:24" x14ac:dyDescent="0.3">
      <c r="A1179" t="s">
        <v>2455</v>
      </c>
      <c r="B1179" t="s">
        <v>126</v>
      </c>
      <c r="C1179" t="s">
        <v>31</v>
      </c>
      <c r="D1179" t="str">
        <f t="shared" si="54"/>
        <v>Morning</v>
      </c>
      <c r="E1179">
        <f>HOUR(EV_Data[[#This Row],[Charging Start Time]])</f>
        <v>1</v>
      </c>
      <c r="F1179" s="1">
        <v>44976.041666666664</v>
      </c>
      <c r="G1179" s="1">
        <v>44976.098611111112</v>
      </c>
      <c r="H1179">
        <v>82</v>
      </c>
      <c r="I1179">
        <v>8.99</v>
      </c>
      <c r="J1179" t="str">
        <f t="shared" si="55"/>
        <v>Low</v>
      </c>
      <c r="K1179" t="s">
        <v>55</v>
      </c>
      <c r="L1179">
        <v>26</v>
      </c>
      <c r="M1179">
        <v>61</v>
      </c>
      <c r="N1179" t="str">
        <f t="shared" si="56"/>
        <v>Low Cost</v>
      </c>
      <c r="O1179">
        <v>3.76</v>
      </c>
      <c r="P1179" t="s">
        <v>23</v>
      </c>
      <c r="Q1179" t="s">
        <v>34</v>
      </c>
      <c r="R1179" t="s">
        <v>44</v>
      </c>
      <c r="S1179" t="s">
        <v>931</v>
      </c>
      <c r="T1179" t="s">
        <v>60</v>
      </c>
      <c r="U1179">
        <v>65</v>
      </c>
      <c r="V1179">
        <v>5</v>
      </c>
      <c r="W1179" t="s">
        <v>47</v>
      </c>
      <c r="X1179" t="s">
        <v>29</v>
      </c>
    </row>
    <row r="1180" spans="1:24" x14ac:dyDescent="0.3">
      <c r="A1180" t="s">
        <v>2456</v>
      </c>
      <c r="B1180" t="s">
        <v>126</v>
      </c>
      <c r="C1180" t="s">
        <v>31</v>
      </c>
      <c r="D1180" t="str">
        <f t="shared" si="54"/>
        <v>Morning</v>
      </c>
      <c r="E1180">
        <f>HOUR(EV_Data[[#This Row],[Charging Start Time]])</f>
        <v>2</v>
      </c>
      <c r="F1180" s="1">
        <v>44976.083333333336</v>
      </c>
      <c r="G1180" s="1">
        <v>44976.128472222219</v>
      </c>
      <c r="H1180">
        <v>65</v>
      </c>
      <c r="I1180">
        <v>24.03</v>
      </c>
      <c r="J1180" t="str">
        <f t="shared" si="55"/>
        <v>Medium</v>
      </c>
      <c r="K1180" t="s">
        <v>69</v>
      </c>
      <c r="L1180">
        <v>44</v>
      </c>
      <c r="M1180">
        <v>84</v>
      </c>
      <c r="N1180" t="str">
        <f t="shared" si="56"/>
        <v>Low Cost</v>
      </c>
      <c r="O1180">
        <v>7.85</v>
      </c>
      <c r="P1180" t="s">
        <v>51</v>
      </c>
      <c r="Q1180" t="s">
        <v>48</v>
      </c>
      <c r="R1180" t="s">
        <v>56</v>
      </c>
      <c r="S1180" t="s">
        <v>932</v>
      </c>
      <c r="T1180" t="s">
        <v>27</v>
      </c>
      <c r="U1180">
        <v>93</v>
      </c>
      <c r="V1180">
        <v>3.3</v>
      </c>
      <c r="W1180" t="s">
        <v>28</v>
      </c>
      <c r="X1180" t="s">
        <v>68</v>
      </c>
    </row>
    <row r="1181" spans="1:24" x14ac:dyDescent="0.3">
      <c r="A1181" t="s">
        <v>2457</v>
      </c>
      <c r="B1181" t="s">
        <v>126</v>
      </c>
      <c r="C1181" t="s">
        <v>31</v>
      </c>
      <c r="D1181" t="str">
        <f t="shared" si="54"/>
        <v>Morning</v>
      </c>
      <c r="E1181">
        <f>HOUR(EV_Data[[#This Row],[Charging Start Time]])</f>
        <v>3</v>
      </c>
      <c r="F1181" s="1">
        <v>44976.125</v>
      </c>
      <c r="G1181" s="1">
        <v>44976.146527777782</v>
      </c>
      <c r="H1181">
        <v>31</v>
      </c>
      <c r="I1181">
        <v>33.4</v>
      </c>
      <c r="J1181" t="str">
        <f t="shared" si="55"/>
        <v>Medium</v>
      </c>
      <c r="K1181" t="s">
        <v>32</v>
      </c>
      <c r="L1181">
        <v>25</v>
      </c>
      <c r="M1181">
        <v>55</v>
      </c>
      <c r="N1181" t="str">
        <f t="shared" si="56"/>
        <v>Medium Cost</v>
      </c>
      <c r="O1181">
        <v>15.15</v>
      </c>
      <c r="P1181" t="s">
        <v>51</v>
      </c>
      <c r="Q1181" t="s">
        <v>48</v>
      </c>
      <c r="R1181" t="s">
        <v>35</v>
      </c>
      <c r="S1181" t="s">
        <v>879</v>
      </c>
      <c r="T1181" t="s">
        <v>27</v>
      </c>
      <c r="U1181">
        <v>26</v>
      </c>
      <c r="V1181">
        <v>4.9000000000000004</v>
      </c>
      <c r="W1181" t="s">
        <v>38</v>
      </c>
      <c r="X1181" t="s">
        <v>62</v>
      </c>
    </row>
    <row r="1182" spans="1:24" x14ac:dyDescent="0.3">
      <c r="A1182" t="s">
        <v>2458</v>
      </c>
      <c r="B1182" t="s">
        <v>40</v>
      </c>
      <c r="C1182" t="s">
        <v>41</v>
      </c>
      <c r="D1182" t="str">
        <f t="shared" si="54"/>
        <v>Morning</v>
      </c>
      <c r="E1182">
        <f>HOUR(EV_Data[[#This Row],[Charging Start Time]])</f>
        <v>4</v>
      </c>
      <c r="F1182" s="1">
        <v>44976.166666666664</v>
      </c>
      <c r="G1182" s="1">
        <v>44976.216666666667</v>
      </c>
      <c r="H1182">
        <v>72</v>
      </c>
      <c r="I1182">
        <v>37.85</v>
      </c>
      <c r="J1182" t="str">
        <f t="shared" si="55"/>
        <v>Medium</v>
      </c>
      <c r="K1182" t="s">
        <v>69</v>
      </c>
      <c r="L1182">
        <v>45</v>
      </c>
      <c r="M1182">
        <v>78</v>
      </c>
      <c r="N1182" t="str">
        <f t="shared" si="56"/>
        <v>Medium Cost</v>
      </c>
      <c r="O1182">
        <v>10.25</v>
      </c>
      <c r="P1182" t="s">
        <v>43</v>
      </c>
      <c r="Q1182" t="s">
        <v>48</v>
      </c>
      <c r="R1182" t="s">
        <v>56</v>
      </c>
      <c r="S1182" t="s">
        <v>933</v>
      </c>
      <c r="T1182" t="s">
        <v>46</v>
      </c>
      <c r="U1182">
        <v>83</v>
      </c>
      <c r="V1182">
        <v>1.2</v>
      </c>
      <c r="W1182" t="s">
        <v>47</v>
      </c>
      <c r="X1182" t="s">
        <v>29</v>
      </c>
    </row>
    <row r="1183" spans="1:24" x14ac:dyDescent="0.3">
      <c r="A1183" t="s">
        <v>2459</v>
      </c>
      <c r="B1183" t="s">
        <v>30</v>
      </c>
      <c r="C1183" t="s">
        <v>102</v>
      </c>
      <c r="D1183" t="str">
        <f t="shared" si="54"/>
        <v>Morning</v>
      </c>
      <c r="E1183">
        <f>HOUR(EV_Data[[#This Row],[Charging Start Time]])</f>
        <v>5</v>
      </c>
      <c r="F1183" s="1">
        <v>44976.208333333336</v>
      </c>
      <c r="G1183" s="1">
        <v>44976.245138888888</v>
      </c>
      <c r="H1183">
        <v>53</v>
      </c>
      <c r="I1183">
        <v>5.72</v>
      </c>
      <c r="J1183" t="str">
        <f t="shared" si="55"/>
        <v>Low</v>
      </c>
      <c r="K1183" t="s">
        <v>50</v>
      </c>
      <c r="L1183">
        <v>35</v>
      </c>
      <c r="M1183">
        <v>69</v>
      </c>
      <c r="N1183" t="str">
        <f t="shared" si="56"/>
        <v>Low Cost</v>
      </c>
      <c r="O1183">
        <v>1.68</v>
      </c>
      <c r="P1183" t="s">
        <v>64</v>
      </c>
      <c r="Q1183" t="s">
        <v>58</v>
      </c>
      <c r="R1183" t="s">
        <v>56</v>
      </c>
      <c r="S1183" t="s">
        <v>376</v>
      </c>
      <c r="T1183" t="s">
        <v>27</v>
      </c>
      <c r="U1183">
        <v>69</v>
      </c>
      <c r="V1183">
        <v>3.2</v>
      </c>
      <c r="W1183" t="s">
        <v>47</v>
      </c>
      <c r="X1183" t="s">
        <v>29</v>
      </c>
    </row>
    <row r="1184" spans="1:24" x14ac:dyDescent="0.3">
      <c r="A1184" t="s">
        <v>2460</v>
      </c>
      <c r="B1184" t="s">
        <v>71</v>
      </c>
      <c r="C1184" t="s">
        <v>72</v>
      </c>
      <c r="D1184" t="str">
        <f t="shared" si="54"/>
        <v>Morning</v>
      </c>
      <c r="E1184">
        <f>HOUR(EV_Data[[#This Row],[Charging Start Time]])</f>
        <v>6</v>
      </c>
      <c r="F1184" s="1">
        <v>44976.25</v>
      </c>
      <c r="G1184" s="1">
        <v>44976.290277777778</v>
      </c>
      <c r="H1184">
        <v>58</v>
      </c>
      <c r="I1184">
        <v>23.94</v>
      </c>
      <c r="J1184" t="str">
        <f t="shared" si="55"/>
        <v>Medium</v>
      </c>
      <c r="K1184" t="s">
        <v>42</v>
      </c>
      <c r="L1184">
        <v>72</v>
      </c>
      <c r="M1184">
        <v>93</v>
      </c>
      <c r="N1184" t="str">
        <f t="shared" si="56"/>
        <v>Medium Cost</v>
      </c>
      <c r="O1184">
        <v>11.26</v>
      </c>
      <c r="P1184" t="s">
        <v>33</v>
      </c>
      <c r="Q1184" t="s">
        <v>58</v>
      </c>
      <c r="R1184" t="s">
        <v>44</v>
      </c>
      <c r="S1184" t="s">
        <v>934</v>
      </c>
      <c r="T1184" t="s">
        <v>46</v>
      </c>
      <c r="U1184">
        <v>76</v>
      </c>
      <c r="V1184">
        <v>3</v>
      </c>
      <c r="W1184" t="s">
        <v>28</v>
      </c>
      <c r="X1184" t="s">
        <v>68</v>
      </c>
    </row>
    <row r="1185" spans="1:24" x14ac:dyDescent="0.3">
      <c r="A1185" t="s">
        <v>2461</v>
      </c>
      <c r="B1185" t="s">
        <v>53</v>
      </c>
      <c r="C1185" t="s">
        <v>54</v>
      </c>
      <c r="D1185" t="str">
        <f t="shared" si="54"/>
        <v>Morning</v>
      </c>
      <c r="E1185">
        <f>HOUR(EV_Data[[#This Row],[Charging Start Time]])</f>
        <v>7</v>
      </c>
      <c r="F1185" s="1">
        <v>44976.291666666664</v>
      </c>
      <c r="G1185" s="1">
        <v>44976.318055555559</v>
      </c>
      <c r="H1185">
        <v>38</v>
      </c>
      <c r="I1185">
        <v>31.2</v>
      </c>
      <c r="J1185" t="str">
        <f t="shared" si="55"/>
        <v>Medium</v>
      </c>
      <c r="K1185" t="s">
        <v>69</v>
      </c>
      <c r="L1185">
        <v>27</v>
      </c>
      <c r="M1185">
        <v>38</v>
      </c>
      <c r="N1185" t="str">
        <f t="shared" si="56"/>
        <v>Medium Cost</v>
      </c>
      <c r="O1185">
        <v>12.49</v>
      </c>
      <c r="P1185" t="s">
        <v>23</v>
      </c>
      <c r="Q1185" t="s">
        <v>58</v>
      </c>
      <c r="R1185" t="s">
        <v>56</v>
      </c>
      <c r="S1185" t="s">
        <v>935</v>
      </c>
      <c r="T1185" t="s">
        <v>46</v>
      </c>
      <c r="U1185">
        <v>64</v>
      </c>
      <c r="V1185">
        <v>4.0999999999999996</v>
      </c>
      <c r="W1185" t="s">
        <v>38</v>
      </c>
      <c r="X1185" t="s">
        <v>83</v>
      </c>
    </row>
    <row r="1186" spans="1:24" x14ac:dyDescent="0.3">
      <c r="A1186" t="s">
        <v>2462</v>
      </c>
      <c r="B1186" t="s">
        <v>71</v>
      </c>
      <c r="C1186" t="s">
        <v>72</v>
      </c>
      <c r="D1186" t="str">
        <f t="shared" si="54"/>
        <v>Morning</v>
      </c>
      <c r="E1186">
        <f>HOUR(EV_Data[[#This Row],[Charging Start Time]])</f>
        <v>8</v>
      </c>
      <c r="F1186" s="1">
        <v>44976.333333333336</v>
      </c>
      <c r="G1186" s="1">
        <v>44976.362500000003</v>
      </c>
      <c r="H1186">
        <v>42</v>
      </c>
      <c r="I1186">
        <v>19.27</v>
      </c>
      <c r="J1186" t="str">
        <f t="shared" si="55"/>
        <v>Low</v>
      </c>
      <c r="K1186" t="s">
        <v>55</v>
      </c>
      <c r="L1186">
        <v>26</v>
      </c>
      <c r="M1186">
        <v>37</v>
      </c>
      <c r="N1186" t="str">
        <f t="shared" si="56"/>
        <v>Medium Cost</v>
      </c>
      <c r="O1186">
        <v>9.39</v>
      </c>
      <c r="P1186" t="s">
        <v>64</v>
      </c>
      <c r="Q1186" t="s">
        <v>34</v>
      </c>
      <c r="R1186" t="s">
        <v>35</v>
      </c>
      <c r="S1186" t="s">
        <v>400</v>
      </c>
      <c r="T1186" t="s">
        <v>27</v>
      </c>
      <c r="U1186">
        <v>52</v>
      </c>
      <c r="V1186">
        <v>1.6</v>
      </c>
      <c r="W1186" t="s">
        <v>47</v>
      </c>
      <c r="X1186" t="s">
        <v>29</v>
      </c>
    </row>
    <row r="1187" spans="1:24" x14ac:dyDescent="0.3">
      <c r="A1187" t="s">
        <v>2463</v>
      </c>
      <c r="B1187" t="s">
        <v>40</v>
      </c>
      <c r="C1187" t="s">
        <v>41</v>
      </c>
      <c r="D1187" t="str">
        <f t="shared" si="54"/>
        <v>Morning</v>
      </c>
      <c r="E1187">
        <f>HOUR(EV_Data[[#This Row],[Charging Start Time]])</f>
        <v>9</v>
      </c>
      <c r="F1187" s="1">
        <v>44976.375</v>
      </c>
      <c r="G1187" s="1">
        <v>44976.393750000003</v>
      </c>
      <c r="H1187">
        <v>27</v>
      </c>
      <c r="I1187">
        <v>24.43</v>
      </c>
      <c r="J1187" t="str">
        <f t="shared" si="55"/>
        <v>Medium</v>
      </c>
      <c r="K1187" t="s">
        <v>22</v>
      </c>
      <c r="L1187">
        <v>16</v>
      </c>
      <c r="M1187">
        <v>40</v>
      </c>
      <c r="N1187" t="str">
        <f t="shared" si="56"/>
        <v>Medium Cost</v>
      </c>
      <c r="O1187">
        <v>11.45</v>
      </c>
      <c r="P1187" t="s">
        <v>23</v>
      </c>
      <c r="Q1187" t="s">
        <v>48</v>
      </c>
      <c r="R1187" t="s">
        <v>56</v>
      </c>
      <c r="S1187" t="s">
        <v>936</v>
      </c>
      <c r="T1187" t="s">
        <v>27</v>
      </c>
      <c r="U1187">
        <v>77</v>
      </c>
      <c r="V1187">
        <v>4.2</v>
      </c>
      <c r="W1187" t="s">
        <v>47</v>
      </c>
      <c r="X1187" t="s">
        <v>29</v>
      </c>
    </row>
    <row r="1188" spans="1:24" x14ac:dyDescent="0.3">
      <c r="A1188" t="s">
        <v>2464</v>
      </c>
      <c r="B1188" t="s">
        <v>126</v>
      </c>
      <c r="C1188" t="s">
        <v>31</v>
      </c>
      <c r="D1188" t="str">
        <f t="shared" si="54"/>
        <v>Morning</v>
      </c>
      <c r="E1188">
        <f>HOUR(EV_Data[[#This Row],[Charging Start Time]])</f>
        <v>10</v>
      </c>
      <c r="F1188" s="1">
        <v>44976.416666666664</v>
      </c>
      <c r="G1188" s="1">
        <v>44976.462500000001</v>
      </c>
      <c r="H1188">
        <v>66</v>
      </c>
      <c r="I1188">
        <v>8.85</v>
      </c>
      <c r="J1188" t="str">
        <f t="shared" si="55"/>
        <v>Low</v>
      </c>
      <c r="K1188" t="s">
        <v>69</v>
      </c>
      <c r="L1188">
        <v>29</v>
      </c>
      <c r="M1188">
        <v>49</v>
      </c>
      <c r="N1188" t="str">
        <f t="shared" si="56"/>
        <v>Low Cost</v>
      </c>
      <c r="O1188">
        <v>2.73</v>
      </c>
      <c r="P1188" t="s">
        <v>23</v>
      </c>
      <c r="Q1188" t="s">
        <v>58</v>
      </c>
      <c r="R1188" t="s">
        <v>35</v>
      </c>
      <c r="S1188" t="s">
        <v>937</v>
      </c>
      <c r="T1188" t="s">
        <v>60</v>
      </c>
      <c r="U1188">
        <v>16</v>
      </c>
      <c r="V1188">
        <v>4.9000000000000004</v>
      </c>
      <c r="W1188" t="s">
        <v>47</v>
      </c>
      <c r="X1188" t="s">
        <v>29</v>
      </c>
    </row>
    <row r="1189" spans="1:24" x14ac:dyDescent="0.3">
      <c r="A1189" t="s">
        <v>2465</v>
      </c>
      <c r="B1189" t="s">
        <v>71</v>
      </c>
      <c r="C1189" t="s">
        <v>72</v>
      </c>
      <c r="D1189" t="str">
        <f t="shared" si="54"/>
        <v>Morning</v>
      </c>
      <c r="E1189">
        <f>HOUR(EV_Data[[#This Row],[Charging Start Time]])</f>
        <v>11</v>
      </c>
      <c r="F1189" s="1">
        <v>44976.458333333336</v>
      </c>
      <c r="G1189" s="1">
        <v>44976.477777777778</v>
      </c>
      <c r="H1189">
        <v>28</v>
      </c>
      <c r="I1189">
        <v>20.32</v>
      </c>
      <c r="J1189" t="str">
        <f t="shared" si="55"/>
        <v>Medium</v>
      </c>
      <c r="K1189" t="s">
        <v>32</v>
      </c>
      <c r="L1189">
        <v>76</v>
      </c>
      <c r="M1189">
        <v>98</v>
      </c>
      <c r="N1189" t="str">
        <f t="shared" si="56"/>
        <v>Medium Cost</v>
      </c>
      <c r="O1189">
        <v>9.24</v>
      </c>
      <c r="P1189" t="s">
        <v>51</v>
      </c>
      <c r="Q1189" t="s">
        <v>34</v>
      </c>
      <c r="R1189" t="s">
        <v>56</v>
      </c>
      <c r="S1189" t="s">
        <v>938</v>
      </c>
      <c r="T1189" t="s">
        <v>60</v>
      </c>
      <c r="U1189">
        <v>19</v>
      </c>
      <c r="V1189">
        <v>1.8</v>
      </c>
      <c r="W1189" t="s">
        <v>38</v>
      </c>
      <c r="X1189" t="s">
        <v>62</v>
      </c>
    </row>
    <row r="1190" spans="1:24" x14ac:dyDescent="0.3">
      <c r="A1190" t="s">
        <v>2466</v>
      </c>
      <c r="B1190" t="s">
        <v>20</v>
      </c>
      <c r="C1190" t="s">
        <v>21</v>
      </c>
      <c r="D1190" t="str">
        <f t="shared" si="54"/>
        <v>Afternoon</v>
      </c>
      <c r="E1190">
        <f>HOUR(EV_Data[[#This Row],[Charging Start Time]])</f>
        <v>12</v>
      </c>
      <c r="F1190" s="1">
        <v>44976.5</v>
      </c>
      <c r="G1190" s="1">
        <v>44976.55</v>
      </c>
      <c r="H1190">
        <v>72</v>
      </c>
      <c r="I1190">
        <v>31.07</v>
      </c>
      <c r="J1190" t="str">
        <f t="shared" si="55"/>
        <v>Medium</v>
      </c>
      <c r="K1190" t="s">
        <v>55</v>
      </c>
      <c r="L1190">
        <v>58</v>
      </c>
      <c r="M1190">
        <v>77</v>
      </c>
      <c r="N1190" t="str">
        <f t="shared" si="56"/>
        <v>Medium Cost</v>
      </c>
      <c r="O1190">
        <v>15.04</v>
      </c>
      <c r="P1190" t="s">
        <v>23</v>
      </c>
      <c r="Q1190" t="s">
        <v>58</v>
      </c>
      <c r="R1190" t="s">
        <v>56</v>
      </c>
      <c r="S1190" t="s">
        <v>178</v>
      </c>
      <c r="T1190" t="s">
        <v>46</v>
      </c>
      <c r="U1190">
        <v>99</v>
      </c>
      <c r="V1190">
        <v>3.3</v>
      </c>
      <c r="W1190" t="s">
        <v>28</v>
      </c>
      <c r="X1190" t="s">
        <v>68</v>
      </c>
    </row>
    <row r="1191" spans="1:24" x14ac:dyDescent="0.3">
      <c r="A1191" t="s">
        <v>2467</v>
      </c>
      <c r="B1191" t="s">
        <v>30</v>
      </c>
      <c r="C1191" t="s">
        <v>102</v>
      </c>
      <c r="D1191" t="str">
        <f t="shared" si="54"/>
        <v>Afternoon</v>
      </c>
      <c r="E1191">
        <f>HOUR(EV_Data[[#This Row],[Charging Start Time]])</f>
        <v>13</v>
      </c>
      <c r="F1191" s="1">
        <v>44976.541666666664</v>
      </c>
      <c r="G1191" s="1">
        <v>44976.623611111107</v>
      </c>
      <c r="H1191">
        <v>118</v>
      </c>
      <c r="I1191">
        <v>45.29</v>
      </c>
      <c r="J1191" t="str">
        <f t="shared" si="55"/>
        <v>Medium</v>
      </c>
      <c r="K1191" t="s">
        <v>42</v>
      </c>
      <c r="L1191">
        <v>32</v>
      </c>
      <c r="M1191">
        <v>60</v>
      </c>
      <c r="N1191" t="str">
        <f t="shared" si="56"/>
        <v>Medium Cost</v>
      </c>
      <c r="O1191">
        <v>12.51</v>
      </c>
      <c r="P1191" t="s">
        <v>33</v>
      </c>
      <c r="Q1191" t="s">
        <v>24</v>
      </c>
      <c r="R1191" t="s">
        <v>44</v>
      </c>
      <c r="S1191" t="s">
        <v>939</v>
      </c>
      <c r="T1191" t="s">
        <v>37</v>
      </c>
      <c r="U1191">
        <v>65</v>
      </c>
      <c r="V1191">
        <v>3.8</v>
      </c>
      <c r="W1191" t="s">
        <v>28</v>
      </c>
      <c r="X1191" t="s">
        <v>68</v>
      </c>
    </row>
    <row r="1192" spans="1:24" x14ac:dyDescent="0.3">
      <c r="A1192" t="s">
        <v>2468</v>
      </c>
      <c r="B1192" t="s">
        <v>40</v>
      </c>
      <c r="C1192" t="s">
        <v>41</v>
      </c>
      <c r="D1192" t="str">
        <f t="shared" si="54"/>
        <v>Afternoon</v>
      </c>
      <c r="E1192">
        <f>HOUR(EV_Data[[#This Row],[Charging Start Time]])</f>
        <v>14</v>
      </c>
      <c r="F1192" s="1">
        <v>44976.583333333336</v>
      </c>
      <c r="G1192" s="1">
        <v>44976.640277777777</v>
      </c>
      <c r="H1192">
        <v>82</v>
      </c>
      <c r="I1192">
        <v>14.09</v>
      </c>
      <c r="J1192" t="str">
        <f t="shared" si="55"/>
        <v>Low</v>
      </c>
      <c r="K1192" t="s">
        <v>32</v>
      </c>
      <c r="L1192">
        <v>55</v>
      </c>
      <c r="M1192">
        <v>73</v>
      </c>
      <c r="N1192" t="str">
        <f t="shared" si="56"/>
        <v>Low Cost</v>
      </c>
      <c r="O1192">
        <v>6.21</v>
      </c>
      <c r="P1192" t="s">
        <v>33</v>
      </c>
      <c r="Q1192" t="s">
        <v>24</v>
      </c>
      <c r="R1192" t="s">
        <v>56</v>
      </c>
      <c r="S1192" t="s">
        <v>940</v>
      </c>
      <c r="T1192" t="s">
        <v>27</v>
      </c>
      <c r="U1192">
        <v>88</v>
      </c>
      <c r="V1192">
        <v>2.4</v>
      </c>
      <c r="W1192" t="s">
        <v>28</v>
      </c>
      <c r="X1192" t="s">
        <v>68</v>
      </c>
    </row>
    <row r="1193" spans="1:24" x14ac:dyDescent="0.3">
      <c r="A1193" t="s">
        <v>2469</v>
      </c>
      <c r="B1193" t="s">
        <v>53</v>
      </c>
      <c r="C1193" t="s">
        <v>54</v>
      </c>
      <c r="D1193" t="str">
        <f t="shared" si="54"/>
        <v>Afternoon</v>
      </c>
      <c r="E1193">
        <f>HOUR(EV_Data[[#This Row],[Charging Start Time]])</f>
        <v>15</v>
      </c>
      <c r="F1193" s="1">
        <v>44976.625</v>
      </c>
      <c r="G1193" s="1">
        <v>44976.625694444447</v>
      </c>
      <c r="H1193">
        <v>1</v>
      </c>
      <c r="I1193">
        <v>16.71</v>
      </c>
      <c r="J1193" t="str">
        <f t="shared" si="55"/>
        <v>Low</v>
      </c>
      <c r="K1193" t="s">
        <v>42</v>
      </c>
      <c r="L1193">
        <v>11</v>
      </c>
      <c r="M1193">
        <v>36</v>
      </c>
      <c r="N1193" t="str">
        <f t="shared" si="56"/>
        <v>Low Cost</v>
      </c>
      <c r="O1193">
        <v>7.15</v>
      </c>
      <c r="P1193" t="s">
        <v>43</v>
      </c>
      <c r="Q1193" t="s">
        <v>48</v>
      </c>
      <c r="R1193" t="s">
        <v>35</v>
      </c>
      <c r="S1193" t="s">
        <v>941</v>
      </c>
      <c r="T1193" t="s">
        <v>27</v>
      </c>
      <c r="U1193">
        <v>78</v>
      </c>
      <c r="V1193">
        <v>3.2</v>
      </c>
      <c r="W1193" t="s">
        <v>28</v>
      </c>
      <c r="X1193" t="s">
        <v>68</v>
      </c>
    </row>
    <row r="1194" spans="1:24" x14ac:dyDescent="0.3">
      <c r="A1194" t="s">
        <v>2470</v>
      </c>
      <c r="B1194" t="s">
        <v>40</v>
      </c>
      <c r="C1194" t="s">
        <v>41</v>
      </c>
      <c r="D1194" t="str">
        <f t="shared" si="54"/>
        <v>Afternoon</v>
      </c>
      <c r="E1194">
        <f>HOUR(EV_Data[[#This Row],[Charging Start Time]])</f>
        <v>16</v>
      </c>
      <c r="F1194" s="1">
        <v>44976.666666666664</v>
      </c>
      <c r="G1194" s="1">
        <v>44976.686111111107</v>
      </c>
      <c r="H1194">
        <v>28</v>
      </c>
      <c r="I1194">
        <v>30.02</v>
      </c>
      <c r="J1194" t="str">
        <f t="shared" si="55"/>
        <v>Medium</v>
      </c>
      <c r="K1194" t="s">
        <v>32</v>
      </c>
      <c r="L1194">
        <v>77</v>
      </c>
      <c r="M1194">
        <v>100</v>
      </c>
      <c r="N1194" t="str">
        <f t="shared" si="56"/>
        <v>Low Cost</v>
      </c>
      <c r="O1194">
        <v>6.91</v>
      </c>
      <c r="P1194" t="s">
        <v>51</v>
      </c>
      <c r="Q1194" t="s">
        <v>24</v>
      </c>
      <c r="R1194" t="s">
        <v>25</v>
      </c>
      <c r="S1194" t="s">
        <v>942</v>
      </c>
      <c r="T1194" t="s">
        <v>60</v>
      </c>
      <c r="U1194">
        <v>75</v>
      </c>
      <c r="V1194">
        <v>4.0999999999999996</v>
      </c>
      <c r="W1194" t="s">
        <v>47</v>
      </c>
      <c r="X1194" t="s">
        <v>29</v>
      </c>
    </row>
    <row r="1195" spans="1:24" x14ac:dyDescent="0.3">
      <c r="A1195" t="s">
        <v>2471</v>
      </c>
      <c r="B1195" t="s">
        <v>40</v>
      </c>
      <c r="C1195" t="s">
        <v>41</v>
      </c>
      <c r="D1195" t="str">
        <f t="shared" si="54"/>
        <v>Evening</v>
      </c>
      <c r="E1195">
        <f>HOUR(EV_Data[[#This Row],[Charging Start Time]])</f>
        <v>17</v>
      </c>
      <c r="F1195" s="1">
        <v>44976.708333333336</v>
      </c>
      <c r="G1195" s="1">
        <v>44976.747916666667</v>
      </c>
      <c r="H1195">
        <v>57</v>
      </c>
      <c r="I1195">
        <v>43.51</v>
      </c>
      <c r="J1195" t="str">
        <f t="shared" si="55"/>
        <v>Medium</v>
      </c>
      <c r="K1195" t="s">
        <v>32</v>
      </c>
      <c r="L1195">
        <v>59</v>
      </c>
      <c r="M1195">
        <v>71</v>
      </c>
      <c r="N1195" t="str">
        <f t="shared" si="56"/>
        <v>High Cost</v>
      </c>
      <c r="O1195">
        <v>17.3</v>
      </c>
      <c r="P1195" t="s">
        <v>43</v>
      </c>
      <c r="Q1195" t="s">
        <v>48</v>
      </c>
      <c r="R1195" t="s">
        <v>35</v>
      </c>
      <c r="S1195" t="s">
        <v>235</v>
      </c>
      <c r="T1195" t="s">
        <v>46</v>
      </c>
      <c r="U1195">
        <v>92</v>
      </c>
      <c r="V1195">
        <v>1.5</v>
      </c>
      <c r="W1195" t="s">
        <v>38</v>
      </c>
      <c r="X1195" t="s">
        <v>62</v>
      </c>
    </row>
    <row r="1196" spans="1:24" x14ac:dyDescent="0.3">
      <c r="A1196" t="s">
        <v>2472</v>
      </c>
      <c r="B1196" t="s">
        <v>30</v>
      </c>
      <c r="C1196" t="s">
        <v>102</v>
      </c>
      <c r="D1196" t="str">
        <f t="shared" si="54"/>
        <v>Evening</v>
      </c>
      <c r="E1196">
        <f>HOUR(EV_Data[[#This Row],[Charging Start Time]])</f>
        <v>18</v>
      </c>
      <c r="F1196" s="1">
        <v>44976.75</v>
      </c>
      <c r="G1196" s="1">
        <v>44976.800694444442</v>
      </c>
      <c r="H1196">
        <v>73</v>
      </c>
      <c r="I1196">
        <v>24.91</v>
      </c>
      <c r="J1196" t="str">
        <f t="shared" si="55"/>
        <v>Medium</v>
      </c>
      <c r="K1196" t="s">
        <v>32</v>
      </c>
      <c r="L1196">
        <v>70</v>
      </c>
      <c r="M1196">
        <v>100</v>
      </c>
      <c r="N1196" t="str">
        <f t="shared" si="56"/>
        <v>Low Cost</v>
      </c>
      <c r="O1196">
        <v>5.0599999999999996</v>
      </c>
      <c r="P1196" t="s">
        <v>23</v>
      </c>
      <c r="Q1196" t="s">
        <v>58</v>
      </c>
      <c r="R1196" t="s">
        <v>56</v>
      </c>
      <c r="S1196" t="s">
        <v>650</v>
      </c>
      <c r="T1196" t="s">
        <v>60</v>
      </c>
      <c r="U1196">
        <v>65</v>
      </c>
      <c r="V1196">
        <v>2.2999999999999998</v>
      </c>
      <c r="W1196" t="s">
        <v>47</v>
      </c>
      <c r="X1196" t="s">
        <v>29</v>
      </c>
    </row>
    <row r="1197" spans="1:24" x14ac:dyDescent="0.3">
      <c r="A1197" t="s">
        <v>2473</v>
      </c>
      <c r="B1197" t="s">
        <v>20</v>
      </c>
      <c r="C1197" t="s">
        <v>21</v>
      </c>
      <c r="D1197" t="str">
        <f t="shared" si="54"/>
        <v>Evening</v>
      </c>
      <c r="E1197">
        <f>HOUR(EV_Data[[#This Row],[Charging Start Time]])</f>
        <v>19</v>
      </c>
      <c r="F1197" s="1">
        <v>44976.791666666664</v>
      </c>
      <c r="G1197" s="1">
        <v>44976.824305555558</v>
      </c>
      <c r="H1197">
        <v>47</v>
      </c>
      <c r="I1197">
        <v>18.73</v>
      </c>
      <c r="J1197" t="str">
        <f t="shared" si="55"/>
        <v>Low</v>
      </c>
      <c r="K1197" t="s">
        <v>42</v>
      </c>
      <c r="L1197">
        <v>43</v>
      </c>
      <c r="M1197">
        <v>73</v>
      </c>
      <c r="N1197" t="str">
        <f t="shared" si="56"/>
        <v>Low Cost</v>
      </c>
      <c r="O1197">
        <v>4.6500000000000004</v>
      </c>
      <c r="P1197" t="s">
        <v>33</v>
      </c>
      <c r="Q1197" t="s">
        <v>58</v>
      </c>
      <c r="R1197" t="s">
        <v>25</v>
      </c>
      <c r="S1197" t="s">
        <v>474</v>
      </c>
      <c r="T1197" t="s">
        <v>60</v>
      </c>
      <c r="U1197">
        <v>11</v>
      </c>
      <c r="V1197">
        <v>1.4</v>
      </c>
      <c r="W1197" t="s">
        <v>38</v>
      </c>
    </row>
    <row r="1198" spans="1:24" x14ac:dyDescent="0.3">
      <c r="A1198" t="s">
        <v>2474</v>
      </c>
      <c r="B1198" t="s">
        <v>126</v>
      </c>
      <c r="C1198" t="s">
        <v>31</v>
      </c>
      <c r="D1198" t="str">
        <f t="shared" si="54"/>
        <v>Evening</v>
      </c>
      <c r="E1198">
        <f>HOUR(EV_Data[[#This Row],[Charging Start Time]])</f>
        <v>20</v>
      </c>
      <c r="F1198" s="1">
        <v>44976.833333333336</v>
      </c>
      <c r="G1198" s="1">
        <v>44976.879861111112</v>
      </c>
      <c r="H1198">
        <v>67</v>
      </c>
      <c r="I1198">
        <v>46.62</v>
      </c>
      <c r="J1198" t="str">
        <f t="shared" si="55"/>
        <v>Medium</v>
      </c>
      <c r="K1198" t="s">
        <v>32</v>
      </c>
      <c r="L1198">
        <v>49</v>
      </c>
      <c r="M1198">
        <v>72</v>
      </c>
      <c r="N1198" t="str">
        <f t="shared" si="56"/>
        <v>High Cost</v>
      </c>
      <c r="O1198">
        <v>20.7</v>
      </c>
      <c r="P1198" t="s">
        <v>51</v>
      </c>
      <c r="Q1198" t="s">
        <v>34</v>
      </c>
      <c r="R1198" t="s">
        <v>35</v>
      </c>
      <c r="S1198" t="s">
        <v>943</v>
      </c>
      <c r="T1198" t="s">
        <v>27</v>
      </c>
      <c r="U1198">
        <v>36</v>
      </c>
      <c r="V1198">
        <v>2.6</v>
      </c>
      <c r="W1198" t="s">
        <v>28</v>
      </c>
      <c r="X1198" t="s">
        <v>68</v>
      </c>
    </row>
    <row r="1199" spans="1:24" x14ac:dyDescent="0.3">
      <c r="A1199" t="s">
        <v>2475</v>
      </c>
      <c r="B1199" t="s">
        <v>71</v>
      </c>
      <c r="C1199" t="s">
        <v>72</v>
      </c>
      <c r="D1199" t="str">
        <f t="shared" si="54"/>
        <v>Evening</v>
      </c>
      <c r="E1199">
        <f>HOUR(EV_Data[[#This Row],[Charging Start Time]])</f>
        <v>21</v>
      </c>
      <c r="F1199" s="1">
        <v>44976.875</v>
      </c>
      <c r="G1199" s="1">
        <v>44976.886111111111</v>
      </c>
      <c r="H1199">
        <v>16</v>
      </c>
      <c r="I1199">
        <v>7.34</v>
      </c>
      <c r="J1199" t="str">
        <f t="shared" si="55"/>
        <v>Low</v>
      </c>
      <c r="K1199" t="s">
        <v>32</v>
      </c>
      <c r="L1199">
        <v>23</v>
      </c>
      <c r="M1199">
        <v>51</v>
      </c>
      <c r="N1199" t="str">
        <f t="shared" si="56"/>
        <v>Low Cost</v>
      </c>
      <c r="O1199">
        <v>2.64</v>
      </c>
      <c r="P1199" t="s">
        <v>64</v>
      </c>
      <c r="Q1199" t="s">
        <v>24</v>
      </c>
      <c r="R1199" t="s">
        <v>25</v>
      </c>
      <c r="S1199" t="s">
        <v>944</v>
      </c>
      <c r="T1199" t="s">
        <v>46</v>
      </c>
      <c r="U1199">
        <v>79</v>
      </c>
      <c r="V1199">
        <v>4.7</v>
      </c>
      <c r="W1199" t="s">
        <v>28</v>
      </c>
      <c r="X1199" t="s">
        <v>68</v>
      </c>
    </row>
    <row r="1200" spans="1:24" x14ac:dyDescent="0.3">
      <c r="A1200" t="s">
        <v>2476</v>
      </c>
      <c r="B1200" t="s">
        <v>20</v>
      </c>
      <c r="C1200" t="s">
        <v>21</v>
      </c>
      <c r="D1200" t="str">
        <f t="shared" si="54"/>
        <v>Evening</v>
      </c>
      <c r="E1200">
        <f>HOUR(EV_Data[[#This Row],[Charging Start Time]])</f>
        <v>22</v>
      </c>
      <c r="F1200" s="1">
        <v>44976.916666666664</v>
      </c>
      <c r="G1200" s="1">
        <v>44976.956944444442</v>
      </c>
      <c r="H1200">
        <v>58</v>
      </c>
      <c r="I1200">
        <v>37.200000000000003</v>
      </c>
      <c r="J1200" t="str">
        <f t="shared" si="55"/>
        <v>Medium</v>
      </c>
      <c r="K1200" t="s">
        <v>69</v>
      </c>
      <c r="L1200">
        <v>9</v>
      </c>
      <c r="M1200">
        <v>27</v>
      </c>
      <c r="N1200" t="str">
        <f t="shared" si="56"/>
        <v>Low Cost</v>
      </c>
      <c r="O1200">
        <v>7.88</v>
      </c>
      <c r="P1200" t="s">
        <v>51</v>
      </c>
      <c r="Q1200" t="s">
        <v>34</v>
      </c>
      <c r="R1200" t="s">
        <v>56</v>
      </c>
      <c r="S1200" t="s">
        <v>721</v>
      </c>
      <c r="T1200" t="s">
        <v>60</v>
      </c>
      <c r="U1200">
        <v>33</v>
      </c>
      <c r="V1200">
        <v>2.7</v>
      </c>
      <c r="W1200" t="s">
        <v>47</v>
      </c>
      <c r="X1200" t="s">
        <v>29</v>
      </c>
    </row>
    <row r="1201" spans="1:24" x14ac:dyDescent="0.3">
      <c r="A1201" t="s">
        <v>2477</v>
      </c>
      <c r="B1201" t="s">
        <v>77</v>
      </c>
      <c r="C1201" t="s">
        <v>78</v>
      </c>
      <c r="D1201" t="str">
        <f t="shared" si="54"/>
        <v>Evening</v>
      </c>
      <c r="E1201">
        <f>HOUR(EV_Data[[#This Row],[Charging Start Time]])</f>
        <v>23</v>
      </c>
      <c r="F1201" s="1">
        <v>44976.958333333336</v>
      </c>
      <c r="G1201" s="1">
        <v>44977.00277777778</v>
      </c>
      <c r="H1201">
        <v>64</v>
      </c>
      <c r="I1201">
        <v>40.450000000000003</v>
      </c>
      <c r="J1201" t="str">
        <f t="shared" si="55"/>
        <v>Medium</v>
      </c>
      <c r="K1201" t="s">
        <v>69</v>
      </c>
      <c r="L1201">
        <v>80</v>
      </c>
      <c r="M1201">
        <v>98</v>
      </c>
      <c r="N1201" t="str">
        <f t="shared" si="56"/>
        <v>Medium Cost</v>
      </c>
      <c r="O1201">
        <v>9.25</v>
      </c>
      <c r="P1201" t="s">
        <v>23</v>
      </c>
      <c r="Q1201" t="s">
        <v>34</v>
      </c>
      <c r="R1201" t="s">
        <v>44</v>
      </c>
      <c r="S1201" t="s">
        <v>875</v>
      </c>
      <c r="T1201" t="s">
        <v>60</v>
      </c>
      <c r="U1201">
        <v>39</v>
      </c>
      <c r="V1201">
        <v>4.5</v>
      </c>
      <c r="W1201" t="s">
        <v>38</v>
      </c>
      <c r="X1201" t="s">
        <v>85</v>
      </c>
    </row>
    <row r="1202" spans="1:24" x14ac:dyDescent="0.3">
      <c r="A1202" t="s">
        <v>2478</v>
      </c>
      <c r="B1202" t="s">
        <v>126</v>
      </c>
      <c r="C1202" t="s">
        <v>31</v>
      </c>
      <c r="D1202" t="str">
        <f t="shared" si="54"/>
        <v>Morning</v>
      </c>
      <c r="E1202">
        <f>HOUR(EV_Data[[#This Row],[Charging Start Time]])</f>
        <v>0</v>
      </c>
      <c r="F1202" s="1">
        <v>44977</v>
      </c>
      <c r="G1202" s="1">
        <v>44977.049305555563</v>
      </c>
      <c r="H1202">
        <v>71</v>
      </c>
      <c r="I1202">
        <v>25.93</v>
      </c>
      <c r="J1202" t="str">
        <f t="shared" si="55"/>
        <v>Medium</v>
      </c>
      <c r="K1202" t="s">
        <v>69</v>
      </c>
      <c r="L1202">
        <v>5</v>
      </c>
      <c r="M1202">
        <v>40</v>
      </c>
      <c r="N1202" t="str">
        <f t="shared" si="56"/>
        <v>Low Cost</v>
      </c>
      <c r="O1202">
        <v>7.55</v>
      </c>
      <c r="P1202" t="s">
        <v>43</v>
      </c>
      <c r="Q1202" t="s">
        <v>58</v>
      </c>
      <c r="R1202" t="s">
        <v>35</v>
      </c>
      <c r="S1202" t="s">
        <v>759</v>
      </c>
      <c r="T1202" t="s">
        <v>60</v>
      </c>
      <c r="U1202">
        <v>75</v>
      </c>
      <c r="V1202">
        <v>3.8</v>
      </c>
      <c r="W1202" t="s">
        <v>47</v>
      </c>
      <c r="X1202" t="s">
        <v>29</v>
      </c>
    </row>
    <row r="1203" spans="1:24" x14ac:dyDescent="0.3">
      <c r="A1203" t="s">
        <v>2479</v>
      </c>
      <c r="B1203" t="s">
        <v>71</v>
      </c>
      <c r="C1203" t="s">
        <v>72</v>
      </c>
      <c r="D1203" t="str">
        <f t="shared" si="54"/>
        <v>Morning</v>
      </c>
      <c r="E1203">
        <f>HOUR(EV_Data[[#This Row],[Charging Start Time]])</f>
        <v>1</v>
      </c>
      <c r="F1203" s="1">
        <v>44977.041666666664</v>
      </c>
      <c r="G1203" s="1">
        <v>44977.085416666669</v>
      </c>
      <c r="H1203">
        <v>63</v>
      </c>
      <c r="I1203">
        <v>42.13</v>
      </c>
      <c r="J1203" t="str">
        <f t="shared" si="55"/>
        <v>Medium</v>
      </c>
      <c r="K1203" t="s">
        <v>32</v>
      </c>
      <c r="L1203">
        <v>67</v>
      </c>
      <c r="M1203">
        <v>81</v>
      </c>
      <c r="N1203" t="str">
        <f t="shared" si="56"/>
        <v>Medium Cost</v>
      </c>
      <c r="O1203">
        <v>10.61</v>
      </c>
      <c r="P1203" t="s">
        <v>64</v>
      </c>
      <c r="Q1203" t="s">
        <v>58</v>
      </c>
      <c r="R1203" t="s">
        <v>35</v>
      </c>
      <c r="S1203" t="s">
        <v>945</v>
      </c>
      <c r="T1203" t="s">
        <v>60</v>
      </c>
      <c r="U1203">
        <v>36</v>
      </c>
      <c r="V1203">
        <v>2.2999999999999998</v>
      </c>
      <c r="W1203" t="s">
        <v>47</v>
      </c>
      <c r="X1203" t="s">
        <v>29</v>
      </c>
    </row>
    <row r="1204" spans="1:24" x14ac:dyDescent="0.3">
      <c r="A1204" t="s">
        <v>2480</v>
      </c>
      <c r="B1204" t="s">
        <v>30</v>
      </c>
      <c r="C1204" t="s">
        <v>102</v>
      </c>
      <c r="D1204" t="str">
        <f t="shared" si="54"/>
        <v>Morning</v>
      </c>
      <c r="E1204">
        <f>HOUR(EV_Data[[#This Row],[Charging Start Time]])</f>
        <v>2</v>
      </c>
      <c r="F1204" s="1">
        <v>44977.083333333336</v>
      </c>
      <c r="G1204" s="1">
        <v>44977.111111111109</v>
      </c>
      <c r="H1204">
        <v>40</v>
      </c>
      <c r="I1204">
        <v>19.41</v>
      </c>
      <c r="J1204" t="str">
        <f t="shared" si="55"/>
        <v>Low</v>
      </c>
      <c r="K1204" t="s">
        <v>50</v>
      </c>
      <c r="L1204">
        <v>8</v>
      </c>
      <c r="M1204">
        <v>45</v>
      </c>
      <c r="N1204" t="str">
        <f t="shared" si="56"/>
        <v>Low Cost</v>
      </c>
      <c r="O1204">
        <v>3.94</v>
      </c>
      <c r="P1204" t="s">
        <v>64</v>
      </c>
      <c r="Q1204" t="s">
        <v>48</v>
      </c>
      <c r="R1204" t="s">
        <v>35</v>
      </c>
      <c r="S1204" t="s">
        <v>946</v>
      </c>
      <c r="T1204" t="s">
        <v>27</v>
      </c>
      <c r="U1204">
        <v>45</v>
      </c>
      <c r="V1204">
        <v>4.4000000000000004</v>
      </c>
      <c r="W1204" t="s">
        <v>47</v>
      </c>
      <c r="X1204" t="s">
        <v>29</v>
      </c>
    </row>
    <row r="1205" spans="1:24" x14ac:dyDescent="0.3">
      <c r="A1205" t="s">
        <v>2481</v>
      </c>
      <c r="B1205" t="s">
        <v>40</v>
      </c>
      <c r="C1205" t="s">
        <v>41</v>
      </c>
      <c r="D1205" t="str">
        <f t="shared" si="54"/>
        <v>Morning</v>
      </c>
      <c r="E1205">
        <f>HOUR(EV_Data[[#This Row],[Charging Start Time]])</f>
        <v>3</v>
      </c>
      <c r="F1205" s="1">
        <v>44977.125</v>
      </c>
      <c r="G1205" s="1">
        <v>44977.170138888891</v>
      </c>
      <c r="H1205">
        <v>65</v>
      </c>
      <c r="I1205">
        <v>9.7100000000000009</v>
      </c>
      <c r="J1205" t="str">
        <f t="shared" si="55"/>
        <v>Low</v>
      </c>
      <c r="K1205" t="s">
        <v>55</v>
      </c>
      <c r="L1205">
        <v>30</v>
      </c>
      <c r="M1205">
        <v>63</v>
      </c>
      <c r="N1205" t="str">
        <f t="shared" si="56"/>
        <v>Low Cost</v>
      </c>
      <c r="O1205">
        <v>2.97</v>
      </c>
      <c r="P1205" t="s">
        <v>23</v>
      </c>
      <c r="Q1205" t="s">
        <v>24</v>
      </c>
      <c r="R1205" t="s">
        <v>56</v>
      </c>
      <c r="S1205" t="s">
        <v>900</v>
      </c>
      <c r="T1205" t="s">
        <v>46</v>
      </c>
      <c r="U1205">
        <v>70</v>
      </c>
      <c r="V1205">
        <v>2.6</v>
      </c>
      <c r="W1205" t="s">
        <v>28</v>
      </c>
      <c r="X1205" t="s">
        <v>68</v>
      </c>
    </row>
    <row r="1206" spans="1:24" x14ac:dyDescent="0.3">
      <c r="A1206" t="s">
        <v>2482</v>
      </c>
      <c r="B1206" t="s">
        <v>40</v>
      </c>
      <c r="C1206" t="s">
        <v>41</v>
      </c>
      <c r="D1206" t="str">
        <f t="shared" si="54"/>
        <v>Morning</v>
      </c>
      <c r="E1206">
        <f>HOUR(EV_Data[[#This Row],[Charging Start Time]])</f>
        <v>4</v>
      </c>
      <c r="F1206" s="1">
        <v>44977.166666666664</v>
      </c>
      <c r="G1206" s="1">
        <v>44977.177083333343</v>
      </c>
      <c r="H1206">
        <v>15</v>
      </c>
      <c r="I1206">
        <v>26.17</v>
      </c>
      <c r="J1206" t="str">
        <f t="shared" si="55"/>
        <v>Medium</v>
      </c>
      <c r="K1206" t="s">
        <v>69</v>
      </c>
      <c r="L1206">
        <v>57</v>
      </c>
      <c r="M1206">
        <v>84</v>
      </c>
      <c r="N1206" t="str">
        <f t="shared" si="56"/>
        <v>Low Cost</v>
      </c>
      <c r="O1206">
        <v>7.42</v>
      </c>
      <c r="P1206" t="s">
        <v>23</v>
      </c>
      <c r="Q1206" t="s">
        <v>34</v>
      </c>
      <c r="R1206" t="s">
        <v>44</v>
      </c>
      <c r="S1206" t="s">
        <v>239</v>
      </c>
      <c r="T1206" t="s">
        <v>46</v>
      </c>
      <c r="U1206">
        <v>100</v>
      </c>
      <c r="V1206">
        <v>4.5</v>
      </c>
      <c r="W1206" t="s">
        <v>38</v>
      </c>
      <c r="X1206" t="s">
        <v>85</v>
      </c>
    </row>
    <row r="1207" spans="1:24" x14ac:dyDescent="0.3">
      <c r="A1207" t="s">
        <v>2483</v>
      </c>
      <c r="B1207" t="s">
        <v>77</v>
      </c>
      <c r="C1207" t="s">
        <v>78</v>
      </c>
      <c r="D1207" t="str">
        <f t="shared" si="54"/>
        <v>Morning</v>
      </c>
      <c r="E1207">
        <f>HOUR(EV_Data[[#This Row],[Charging Start Time]])</f>
        <v>5</v>
      </c>
      <c r="F1207" s="1">
        <v>44977.208333333336</v>
      </c>
      <c r="G1207" s="1">
        <v>44977.223611111112</v>
      </c>
      <c r="H1207">
        <v>22</v>
      </c>
      <c r="I1207">
        <v>28.61</v>
      </c>
      <c r="J1207" t="str">
        <f t="shared" si="55"/>
        <v>Medium</v>
      </c>
      <c r="K1207" t="s">
        <v>22</v>
      </c>
      <c r="L1207">
        <v>64</v>
      </c>
      <c r="M1207">
        <v>90</v>
      </c>
      <c r="N1207" t="str">
        <f t="shared" si="56"/>
        <v>Medium Cost</v>
      </c>
      <c r="O1207">
        <v>11.99</v>
      </c>
      <c r="P1207" t="s">
        <v>64</v>
      </c>
      <c r="Q1207" t="s">
        <v>24</v>
      </c>
      <c r="R1207" t="s">
        <v>56</v>
      </c>
      <c r="S1207" t="s">
        <v>947</v>
      </c>
      <c r="T1207" t="s">
        <v>27</v>
      </c>
      <c r="U1207">
        <v>67</v>
      </c>
      <c r="V1207">
        <v>2.4</v>
      </c>
      <c r="W1207" t="s">
        <v>28</v>
      </c>
      <c r="X1207" t="s">
        <v>68</v>
      </c>
    </row>
    <row r="1208" spans="1:24" x14ac:dyDescent="0.3">
      <c r="A1208" t="s">
        <v>2484</v>
      </c>
      <c r="B1208" t="s">
        <v>77</v>
      </c>
      <c r="C1208" t="s">
        <v>78</v>
      </c>
      <c r="D1208" t="str">
        <f t="shared" si="54"/>
        <v>Morning</v>
      </c>
      <c r="E1208">
        <f>HOUR(EV_Data[[#This Row],[Charging Start Time]])</f>
        <v>6</v>
      </c>
      <c r="F1208" s="1">
        <v>44977.25</v>
      </c>
      <c r="G1208" s="1">
        <v>44977.263194444437</v>
      </c>
      <c r="H1208">
        <v>19</v>
      </c>
      <c r="I1208">
        <v>30.13</v>
      </c>
      <c r="J1208" t="str">
        <f t="shared" si="55"/>
        <v>Medium</v>
      </c>
      <c r="K1208" t="s">
        <v>42</v>
      </c>
      <c r="L1208">
        <v>34</v>
      </c>
      <c r="M1208">
        <v>68</v>
      </c>
      <c r="N1208" t="str">
        <f t="shared" si="56"/>
        <v>Medium Cost</v>
      </c>
      <c r="O1208">
        <v>9.34</v>
      </c>
      <c r="P1208" t="s">
        <v>33</v>
      </c>
      <c r="Q1208" t="s">
        <v>58</v>
      </c>
      <c r="R1208" t="s">
        <v>25</v>
      </c>
      <c r="S1208" t="s">
        <v>141</v>
      </c>
      <c r="T1208" t="s">
        <v>27</v>
      </c>
      <c r="U1208">
        <v>42</v>
      </c>
      <c r="V1208">
        <v>2.7</v>
      </c>
      <c r="W1208" t="s">
        <v>47</v>
      </c>
      <c r="X1208" t="s">
        <v>29</v>
      </c>
    </row>
    <row r="1209" spans="1:24" x14ac:dyDescent="0.3">
      <c r="A1209" t="s">
        <v>2485</v>
      </c>
      <c r="B1209" t="s">
        <v>71</v>
      </c>
      <c r="C1209" t="s">
        <v>72</v>
      </c>
      <c r="D1209" t="str">
        <f t="shared" si="54"/>
        <v>Morning</v>
      </c>
      <c r="E1209">
        <f>HOUR(EV_Data[[#This Row],[Charging Start Time]])</f>
        <v>7</v>
      </c>
      <c r="F1209" s="1">
        <v>44977.291666666664</v>
      </c>
      <c r="G1209" s="1">
        <v>44977.32708333333</v>
      </c>
      <c r="H1209">
        <v>51</v>
      </c>
      <c r="I1209">
        <v>40.450000000000003</v>
      </c>
      <c r="J1209" t="str">
        <f t="shared" si="55"/>
        <v>Medium</v>
      </c>
      <c r="K1209" t="s">
        <v>22</v>
      </c>
      <c r="L1209">
        <v>51</v>
      </c>
      <c r="M1209">
        <v>63</v>
      </c>
      <c r="N1209" t="str">
        <f t="shared" si="56"/>
        <v>High Cost</v>
      </c>
      <c r="O1209">
        <v>20.21</v>
      </c>
      <c r="P1209" t="s">
        <v>43</v>
      </c>
      <c r="Q1209" t="s">
        <v>48</v>
      </c>
      <c r="R1209" t="s">
        <v>44</v>
      </c>
      <c r="S1209" t="s">
        <v>578</v>
      </c>
      <c r="T1209" t="s">
        <v>60</v>
      </c>
      <c r="U1209">
        <v>56</v>
      </c>
      <c r="V1209">
        <v>2.9</v>
      </c>
      <c r="W1209" t="s">
        <v>47</v>
      </c>
      <c r="X1209" t="s">
        <v>29</v>
      </c>
    </row>
    <row r="1210" spans="1:24" x14ac:dyDescent="0.3">
      <c r="A1210" t="s">
        <v>2486</v>
      </c>
      <c r="B1210" t="s">
        <v>92</v>
      </c>
      <c r="C1210" t="s">
        <v>93</v>
      </c>
      <c r="D1210" t="str">
        <f t="shared" si="54"/>
        <v>Morning</v>
      </c>
      <c r="E1210">
        <f>HOUR(EV_Data[[#This Row],[Charging Start Time]])</f>
        <v>8</v>
      </c>
      <c r="F1210" s="1">
        <v>44977.333333333336</v>
      </c>
      <c r="G1210" s="1">
        <v>44977.378472222219</v>
      </c>
      <c r="H1210">
        <v>65</v>
      </c>
      <c r="I1210">
        <v>31.65</v>
      </c>
      <c r="J1210" t="str">
        <f t="shared" si="55"/>
        <v>Medium</v>
      </c>
      <c r="K1210" t="s">
        <v>42</v>
      </c>
      <c r="L1210">
        <v>24</v>
      </c>
      <c r="M1210">
        <v>51</v>
      </c>
      <c r="N1210" t="str">
        <f t="shared" si="56"/>
        <v>Medium Cost</v>
      </c>
      <c r="O1210">
        <v>10.72</v>
      </c>
      <c r="P1210" t="s">
        <v>64</v>
      </c>
      <c r="Q1210" t="s">
        <v>24</v>
      </c>
      <c r="R1210" t="s">
        <v>56</v>
      </c>
      <c r="S1210" t="s">
        <v>186</v>
      </c>
      <c r="T1210" t="s">
        <v>46</v>
      </c>
      <c r="U1210">
        <v>64</v>
      </c>
      <c r="V1210">
        <v>2.8</v>
      </c>
      <c r="W1210" t="s">
        <v>28</v>
      </c>
      <c r="X1210" t="s">
        <v>68</v>
      </c>
    </row>
    <row r="1211" spans="1:24" x14ac:dyDescent="0.3">
      <c r="A1211" t="s">
        <v>2487</v>
      </c>
      <c r="B1211" t="s">
        <v>92</v>
      </c>
      <c r="C1211" t="s">
        <v>93</v>
      </c>
      <c r="D1211" t="str">
        <f t="shared" si="54"/>
        <v>Morning</v>
      </c>
      <c r="E1211">
        <f>HOUR(EV_Data[[#This Row],[Charging Start Time]])</f>
        <v>9</v>
      </c>
      <c r="F1211" s="1">
        <v>44977.375</v>
      </c>
      <c r="G1211" s="1">
        <v>44977.401388888888</v>
      </c>
      <c r="H1211">
        <v>38</v>
      </c>
      <c r="I1211">
        <v>13.71</v>
      </c>
      <c r="J1211" t="str">
        <f t="shared" si="55"/>
        <v>Low</v>
      </c>
      <c r="K1211" t="s">
        <v>55</v>
      </c>
      <c r="L1211">
        <v>41</v>
      </c>
      <c r="M1211">
        <v>77</v>
      </c>
      <c r="N1211" t="str">
        <f t="shared" si="56"/>
        <v>Low Cost</v>
      </c>
      <c r="O1211">
        <v>5.9</v>
      </c>
      <c r="P1211" t="s">
        <v>43</v>
      </c>
      <c r="Q1211" t="s">
        <v>48</v>
      </c>
      <c r="R1211" t="s">
        <v>35</v>
      </c>
      <c r="S1211" t="s">
        <v>948</v>
      </c>
      <c r="T1211" t="s">
        <v>27</v>
      </c>
      <c r="U1211">
        <v>21</v>
      </c>
      <c r="V1211">
        <v>3.5</v>
      </c>
      <c r="W1211" t="s">
        <v>28</v>
      </c>
      <c r="X1211" t="s">
        <v>68</v>
      </c>
    </row>
    <row r="1212" spans="1:24" x14ac:dyDescent="0.3">
      <c r="A1212" t="s">
        <v>2488</v>
      </c>
      <c r="B1212" t="s">
        <v>71</v>
      </c>
      <c r="C1212" t="s">
        <v>72</v>
      </c>
      <c r="D1212" t="str">
        <f t="shared" si="54"/>
        <v>Morning</v>
      </c>
      <c r="E1212">
        <f>HOUR(EV_Data[[#This Row],[Charging Start Time]])</f>
        <v>10</v>
      </c>
      <c r="F1212" s="1">
        <v>44977.416666666664</v>
      </c>
      <c r="G1212" s="1">
        <v>44977.439583333333</v>
      </c>
      <c r="H1212">
        <v>33</v>
      </c>
      <c r="I1212">
        <v>13.13</v>
      </c>
      <c r="J1212" t="str">
        <f t="shared" si="55"/>
        <v>Low</v>
      </c>
      <c r="K1212" t="s">
        <v>69</v>
      </c>
      <c r="L1212">
        <v>32</v>
      </c>
      <c r="M1212">
        <v>54</v>
      </c>
      <c r="N1212" t="str">
        <f t="shared" si="56"/>
        <v>Low Cost</v>
      </c>
      <c r="O1212">
        <v>4.8899999999999997</v>
      </c>
      <c r="P1212" t="s">
        <v>33</v>
      </c>
      <c r="Q1212" t="s">
        <v>34</v>
      </c>
      <c r="R1212" t="s">
        <v>35</v>
      </c>
      <c r="S1212" t="s">
        <v>949</v>
      </c>
      <c r="T1212" t="s">
        <v>27</v>
      </c>
      <c r="U1212">
        <v>68</v>
      </c>
      <c r="V1212">
        <v>3.7</v>
      </c>
      <c r="W1212" t="s">
        <v>47</v>
      </c>
      <c r="X1212" t="s">
        <v>29</v>
      </c>
    </row>
    <row r="1213" spans="1:24" x14ac:dyDescent="0.3">
      <c r="A1213" t="s">
        <v>2489</v>
      </c>
      <c r="B1213" t="s">
        <v>71</v>
      </c>
      <c r="C1213" t="s">
        <v>72</v>
      </c>
      <c r="D1213" t="str">
        <f t="shared" si="54"/>
        <v>Morning</v>
      </c>
      <c r="E1213">
        <f>HOUR(EV_Data[[#This Row],[Charging Start Time]])</f>
        <v>11</v>
      </c>
      <c r="F1213" s="1">
        <v>44977.458333333336</v>
      </c>
      <c r="G1213" s="1">
        <v>44977.486805555563</v>
      </c>
      <c r="H1213">
        <v>41</v>
      </c>
      <c r="I1213">
        <v>14.6</v>
      </c>
      <c r="J1213" t="str">
        <f t="shared" si="55"/>
        <v>Low</v>
      </c>
      <c r="K1213" t="s">
        <v>69</v>
      </c>
      <c r="L1213">
        <v>19</v>
      </c>
      <c r="M1213">
        <v>29</v>
      </c>
      <c r="N1213" t="str">
        <f t="shared" si="56"/>
        <v>Low Cost</v>
      </c>
      <c r="O1213">
        <v>3.53</v>
      </c>
      <c r="P1213" t="s">
        <v>64</v>
      </c>
      <c r="Q1213" t="s">
        <v>48</v>
      </c>
      <c r="R1213" t="s">
        <v>35</v>
      </c>
      <c r="S1213" t="s">
        <v>815</v>
      </c>
      <c r="T1213" t="s">
        <v>27</v>
      </c>
      <c r="U1213">
        <v>66</v>
      </c>
      <c r="V1213">
        <v>4.2</v>
      </c>
      <c r="W1213" t="s">
        <v>47</v>
      </c>
      <c r="X1213" t="s">
        <v>29</v>
      </c>
    </row>
    <row r="1214" spans="1:24" x14ac:dyDescent="0.3">
      <c r="A1214" t="s">
        <v>2490</v>
      </c>
      <c r="B1214" t="s">
        <v>53</v>
      </c>
      <c r="C1214" t="s">
        <v>54</v>
      </c>
      <c r="D1214" t="str">
        <f t="shared" si="54"/>
        <v>Afternoon</v>
      </c>
      <c r="E1214">
        <f>HOUR(EV_Data[[#This Row],[Charging Start Time]])</f>
        <v>12</v>
      </c>
      <c r="F1214" s="1">
        <v>44977.5</v>
      </c>
      <c r="G1214" s="1">
        <v>44977.500694444447</v>
      </c>
      <c r="H1214">
        <v>1</v>
      </c>
      <c r="I1214">
        <v>25.41</v>
      </c>
      <c r="J1214" t="str">
        <f t="shared" si="55"/>
        <v>Medium</v>
      </c>
      <c r="K1214" t="s">
        <v>42</v>
      </c>
      <c r="L1214">
        <v>74</v>
      </c>
      <c r="M1214">
        <v>100</v>
      </c>
      <c r="N1214" t="str">
        <f t="shared" si="56"/>
        <v>Medium Cost</v>
      </c>
      <c r="O1214">
        <v>12.54</v>
      </c>
      <c r="P1214" t="s">
        <v>64</v>
      </c>
      <c r="Q1214" t="s">
        <v>48</v>
      </c>
      <c r="R1214" t="s">
        <v>56</v>
      </c>
      <c r="S1214" t="s">
        <v>586</v>
      </c>
      <c r="T1214" t="s">
        <v>60</v>
      </c>
      <c r="U1214">
        <v>39</v>
      </c>
      <c r="V1214">
        <v>3.3</v>
      </c>
      <c r="W1214" t="s">
        <v>28</v>
      </c>
      <c r="X1214" t="s">
        <v>68</v>
      </c>
    </row>
    <row r="1215" spans="1:24" x14ac:dyDescent="0.3">
      <c r="A1215" t="s">
        <v>2491</v>
      </c>
      <c r="B1215" t="s">
        <v>126</v>
      </c>
      <c r="C1215" t="s">
        <v>31</v>
      </c>
      <c r="D1215" t="str">
        <f t="shared" si="54"/>
        <v>Afternoon</v>
      </c>
      <c r="E1215">
        <f>HOUR(EV_Data[[#This Row],[Charging Start Time]])</f>
        <v>13</v>
      </c>
      <c r="F1215" s="1">
        <v>44977.541666666664</v>
      </c>
      <c r="G1215" s="1">
        <v>44977.568749999999</v>
      </c>
      <c r="H1215">
        <v>39</v>
      </c>
      <c r="I1215">
        <v>29.02</v>
      </c>
      <c r="J1215" t="str">
        <f t="shared" si="55"/>
        <v>Medium</v>
      </c>
      <c r="K1215" t="s">
        <v>55</v>
      </c>
      <c r="L1215">
        <v>71</v>
      </c>
      <c r="M1215">
        <v>88</v>
      </c>
      <c r="N1215" t="str">
        <f t="shared" si="56"/>
        <v>Medium Cost</v>
      </c>
      <c r="O1215">
        <v>14.41</v>
      </c>
      <c r="P1215" t="s">
        <v>64</v>
      </c>
      <c r="Q1215" t="s">
        <v>48</v>
      </c>
      <c r="R1215" t="s">
        <v>35</v>
      </c>
      <c r="S1215" t="s">
        <v>110</v>
      </c>
      <c r="T1215" t="s">
        <v>27</v>
      </c>
      <c r="U1215">
        <v>23</v>
      </c>
      <c r="V1215">
        <v>3.2</v>
      </c>
      <c r="W1215" t="s">
        <v>47</v>
      </c>
      <c r="X1215" t="s">
        <v>29</v>
      </c>
    </row>
    <row r="1216" spans="1:24" x14ac:dyDescent="0.3">
      <c r="A1216" t="s">
        <v>2492</v>
      </c>
      <c r="B1216" t="s">
        <v>92</v>
      </c>
      <c r="C1216" t="s">
        <v>93</v>
      </c>
      <c r="D1216" t="str">
        <f t="shared" si="54"/>
        <v>Afternoon</v>
      </c>
      <c r="E1216">
        <f>HOUR(EV_Data[[#This Row],[Charging Start Time]])</f>
        <v>14</v>
      </c>
      <c r="F1216" s="1">
        <v>44977.583333333336</v>
      </c>
      <c r="G1216" s="1">
        <v>44977.622916666667</v>
      </c>
      <c r="H1216">
        <v>57</v>
      </c>
      <c r="I1216">
        <v>31.82</v>
      </c>
      <c r="J1216" t="str">
        <f t="shared" si="55"/>
        <v>Medium</v>
      </c>
      <c r="K1216" t="s">
        <v>22</v>
      </c>
      <c r="L1216">
        <v>48</v>
      </c>
      <c r="M1216">
        <v>70</v>
      </c>
      <c r="N1216" t="str">
        <f t="shared" si="56"/>
        <v>Medium Cost</v>
      </c>
      <c r="O1216">
        <v>9.67</v>
      </c>
      <c r="P1216" t="s">
        <v>64</v>
      </c>
      <c r="Q1216" t="s">
        <v>24</v>
      </c>
      <c r="R1216" t="s">
        <v>44</v>
      </c>
      <c r="S1216" t="s">
        <v>950</v>
      </c>
      <c r="T1216" t="s">
        <v>60</v>
      </c>
      <c r="U1216">
        <v>35</v>
      </c>
      <c r="V1216">
        <v>4.5999999999999996</v>
      </c>
      <c r="W1216" t="s">
        <v>28</v>
      </c>
      <c r="X1216" t="s">
        <v>68</v>
      </c>
    </row>
    <row r="1217" spans="1:24" x14ac:dyDescent="0.3">
      <c r="A1217" t="s">
        <v>2493</v>
      </c>
      <c r="B1217" t="s">
        <v>71</v>
      </c>
      <c r="C1217" t="s">
        <v>72</v>
      </c>
      <c r="D1217" t="str">
        <f t="shared" si="54"/>
        <v>Afternoon</v>
      </c>
      <c r="E1217">
        <f>HOUR(EV_Data[[#This Row],[Charging Start Time]])</f>
        <v>15</v>
      </c>
      <c r="F1217" s="1">
        <v>44977.625</v>
      </c>
      <c r="G1217" s="1">
        <v>44977.659722222219</v>
      </c>
      <c r="H1217">
        <v>50</v>
      </c>
      <c r="I1217">
        <v>8.0500000000000007</v>
      </c>
      <c r="J1217" t="str">
        <f t="shared" si="55"/>
        <v>Low</v>
      </c>
      <c r="K1217" t="s">
        <v>42</v>
      </c>
      <c r="L1217">
        <v>36</v>
      </c>
      <c r="M1217">
        <v>51</v>
      </c>
      <c r="N1217" t="str">
        <f t="shared" si="56"/>
        <v>Low Cost</v>
      </c>
      <c r="O1217">
        <v>3.2</v>
      </c>
      <c r="P1217" t="s">
        <v>51</v>
      </c>
      <c r="Q1217" t="s">
        <v>48</v>
      </c>
      <c r="R1217" t="s">
        <v>44</v>
      </c>
      <c r="S1217" t="s">
        <v>951</v>
      </c>
      <c r="T1217" t="s">
        <v>37</v>
      </c>
      <c r="U1217">
        <v>81</v>
      </c>
      <c r="V1217">
        <v>4.4000000000000004</v>
      </c>
      <c r="W1217" t="s">
        <v>38</v>
      </c>
      <c r="X1217" t="s">
        <v>39</v>
      </c>
    </row>
    <row r="1218" spans="1:24" x14ac:dyDescent="0.3">
      <c r="A1218" t="s">
        <v>2494</v>
      </c>
      <c r="B1218" t="s">
        <v>40</v>
      </c>
      <c r="C1218" t="s">
        <v>41</v>
      </c>
      <c r="D1218" t="str">
        <f t="shared" ref="D1218:D1281" si="57">IF(E1218&lt;12,"Morning",IF(E1218&lt;17,"Afternoon","Evening"))</f>
        <v>Afternoon</v>
      </c>
      <c r="E1218">
        <f>HOUR(EV_Data[[#This Row],[Charging Start Time]])</f>
        <v>16</v>
      </c>
      <c r="F1218" s="1">
        <v>44977.666666666664</v>
      </c>
      <c r="G1218" s="1">
        <v>44977.684027777781</v>
      </c>
      <c r="H1218">
        <v>25</v>
      </c>
      <c r="I1218">
        <v>32.06</v>
      </c>
      <c r="J1218" t="str">
        <f t="shared" ref="J1218:J1281" si="58">IF(I1218&lt;20,"Low",IF(I1218&lt;50,"Medium","High"))</f>
        <v>Medium</v>
      </c>
      <c r="K1218" t="s">
        <v>32</v>
      </c>
      <c r="L1218">
        <v>42</v>
      </c>
      <c r="M1218">
        <v>58</v>
      </c>
      <c r="N1218" t="str">
        <f t="shared" ref="N1218:N1281" si="59">IF(O1218&lt;8,"Low Cost",IF(O1218&lt;17,"Medium Cost","High Cost"))</f>
        <v>Medium Cost</v>
      </c>
      <c r="O1218">
        <v>10.37</v>
      </c>
      <c r="P1218" t="s">
        <v>51</v>
      </c>
      <c r="Q1218" t="s">
        <v>24</v>
      </c>
      <c r="R1218" t="s">
        <v>56</v>
      </c>
      <c r="S1218" t="s">
        <v>952</v>
      </c>
      <c r="T1218" t="s">
        <v>60</v>
      </c>
      <c r="U1218">
        <v>55</v>
      </c>
      <c r="V1218">
        <v>1.3</v>
      </c>
      <c r="W1218" t="s">
        <v>38</v>
      </c>
      <c r="X1218" t="s">
        <v>39</v>
      </c>
    </row>
    <row r="1219" spans="1:24" x14ac:dyDescent="0.3">
      <c r="A1219" t="s">
        <v>2495</v>
      </c>
      <c r="B1219" t="s">
        <v>53</v>
      </c>
      <c r="C1219" t="s">
        <v>54</v>
      </c>
      <c r="D1219" t="str">
        <f t="shared" si="57"/>
        <v>Evening</v>
      </c>
      <c r="E1219">
        <f>HOUR(EV_Data[[#This Row],[Charging Start Time]])</f>
        <v>17</v>
      </c>
      <c r="F1219" s="1">
        <v>44977.708333333336</v>
      </c>
      <c r="G1219" s="1">
        <v>44977.737500000003</v>
      </c>
      <c r="H1219">
        <v>42</v>
      </c>
      <c r="I1219">
        <v>14.64</v>
      </c>
      <c r="J1219" t="str">
        <f t="shared" si="58"/>
        <v>Low</v>
      </c>
      <c r="K1219" t="s">
        <v>32</v>
      </c>
      <c r="L1219">
        <v>43</v>
      </c>
      <c r="M1219">
        <v>80</v>
      </c>
      <c r="N1219" t="str">
        <f t="shared" si="59"/>
        <v>Low Cost</v>
      </c>
      <c r="O1219">
        <v>3.1</v>
      </c>
      <c r="P1219" t="s">
        <v>51</v>
      </c>
      <c r="Q1219" t="s">
        <v>34</v>
      </c>
      <c r="R1219" t="s">
        <v>56</v>
      </c>
      <c r="S1219" t="s">
        <v>166</v>
      </c>
      <c r="T1219" t="s">
        <v>46</v>
      </c>
      <c r="U1219">
        <v>78</v>
      </c>
      <c r="V1219">
        <v>2.5</v>
      </c>
      <c r="W1219" t="s">
        <v>47</v>
      </c>
      <c r="X1219" t="s">
        <v>29</v>
      </c>
    </row>
    <row r="1220" spans="1:24" x14ac:dyDescent="0.3">
      <c r="A1220" t="s">
        <v>2496</v>
      </c>
      <c r="B1220" t="s">
        <v>71</v>
      </c>
      <c r="C1220" t="s">
        <v>72</v>
      </c>
      <c r="D1220" t="str">
        <f t="shared" si="57"/>
        <v>Evening</v>
      </c>
      <c r="E1220">
        <f>HOUR(EV_Data[[#This Row],[Charging Start Time]])</f>
        <v>18</v>
      </c>
      <c r="F1220" s="1">
        <v>44977.75</v>
      </c>
      <c r="G1220" s="1">
        <v>44977.817361111112</v>
      </c>
      <c r="H1220">
        <v>97</v>
      </c>
      <c r="I1220">
        <v>45.86</v>
      </c>
      <c r="J1220" t="str">
        <f t="shared" si="58"/>
        <v>Medium</v>
      </c>
      <c r="K1220" t="s">
        <v>50</v>
      </c>
      <c r="L1220">
        <v>15</v>
      </c>
      <c r="M1220">
        <v>26</v>
      </c>
      <c r="N1220" t="str">
        <f t="shared" si="59"/>
        <v>Medium Cost</v>
      </c>
      <c r="O1220">
        <v>12.26</v>
      </c>
      <c r="P1220" t="s">
        <v>33</v>
      </c>
      <c r="Q1220" t="s">
        <v>24</v>
      </c>
      <c r="R1220" t="s">
        <v>35</v>
      </c>
      <c r="S1220" t="s">
        <v>563</v>
      </c>
      <c r="T1220" t="s">
        <v>27</v>
      </c>
      <c r="U1220">
        <v>38</v>
      </c>
      <c r="V1220">
        <v>1.4</v>
      </c>
      <c r="W1220" t="s">
        <v>47</v>
      </c>
      <c r="X1220" t="s">
        <v>29</v>
      </c>
    </row>
    <row r="1221" spans="1:24" x14ac:dyDescent="0.3">
      <c r="A1221" t="s">
        <v>2497</v>
      </c>
      <c r="B1221" t="s">
        <v>20</v>
      </c>
      <c r="C1221" t="s">
        <v>21</v>
      </c>
      <c r="D1221" t="str">
        <f t="shared" si="57"/>
        <v>Evening</v>
      </c>
      <c r="E1221">
        <f>HOUR(EV_Data[[#This Row],[Charging Start Time]])</f>
        <v>19</v>
      </c>
      <c r="F1221" s="1">
        <v>44977.791666666664</v>
      </c>
      <c r="G1221" s="1">
        <v>44977.834027777782</v>
      </c>
      <c r="H1221">
        <v>61</v>
      </c>
      <c r="I1221">
        <v>13.91</v>
      </c>
      <c r="J1221" t="str">
        <f t="shared" si="58"/>
        <v>Low</v>
      </c>
      <c r="K1221" t="s">
        <v>50</v>
      </c>
      <c r="L1221">
        <v>14</v>
      </c>
      <c r="M1221">
        <v>30</v>
      </c>
      <c r="N1221" t="str">
        <f t="shared" si="59"/>
        <v>Low Cost</v>
      </c>
      <c r="O1221">
        <v>6.57</v>
      </c>
      <c r="P1221" t="s">
        <v>64</v>
      </c>
      <c r="Q1221" t="s">
        <v>58</v>
      </c>
      <c r="R1221" t="s">
        <v>35</v>
      </c>
      <c r="S1221" t="s">
        <v>953</v>
      </c>
      <c r="T1221" t="s">
        <v>46</v>
      </c>
      <c r="U1221">
        <v>14</v>
      </c>
      <c r="V1221">
        <v>1.1000000000000001</v>
      </c>
      <c r="W1221" t="s">
        <v>47</v>
      </c>
      <c r="X1221" t="s">
        <v>29</v>
      </c>
    </row>
    <row r="1222" spans="1:24" x14ac:dyDescent="0.3">
      <c r="A1222" t="s">
        <v>2498</v>
      </c>
      <c r="B1222" t="s">
        <v>20</v>
      </c>
      <c r="C1222" t="s">
        <v>21</v>
      </c>
      <c r="D1222" t="str">
        <f t="shared" si="57"/>
        <v>Evening</v>
      </c>
      <c r="E1222">
        <f>HOUR(EV_Data[[#This Row],[Charging Start Time]])</f>
        <v>20</v>
      </c>
      <c r="F1222" s="1">
        <v>44977.833333333336</v>
      </c>
      <c r="G1222" s="1">
        <v>44977.87222222222</v>
      </c>
      <c r="H1222">
        <v>56</v>
      </c>
      <c r="I1222">
        <v>33.200000000000003</v>
      </c>
      <c r="J1222" t="str">
        <f t="shared" si="58"/>
        <v>Medium</v>
      </c>
      <c r="K1222" t="s">
        <v>42</v>
      </c>
      <c r="L1222">
        <v>6</v>
      </c>
      <c r="M1222">
        <v>28</v>
      </c>
      <c r="N1222" t="str">
        <f t="shared" si="59"/>
        <v>Low Cost</v>
      </c>
      <c r="O1222">
        <v>6.89</v>
      </c>
      <c r="P1222" t="s">
        <v>51</v>
      </c>
      <c r="Q1222" t="s">
        <v>48</v>
      </c>
      <c r="R1222" t="s">
        <v>56</v>
      </c>
      <c r="S1222" t="s">
        <v>305</v>
      </c>
      <c r="T1222" t="s">
        <v>27</v>
      </c>
      <c r="U1222">
        <v>71</v>
      </c>
      <c r="V1222">
        <v>3</v>
      </c>
      <c r="W1222" t="s">
        <v>47</v>
      </c>
      <c r="X1222" t="s">
        <v>29</v>
      </c>
    </row>
    <row r="1223" spans="1:24" x14ac:dyDescent="0.3">
      <c r="A1223" t="s">
        <v>2499</v>
      </c>
      <c r="B1223" t="s">
        <v>40</v>
      </c>
      <c r="C1223" t="s">
        <v>41</v>
      </c>
      <c r="D1223" t="str">
        <f t="shared" si="57"/>
        <v>Evening</v>
      </c>
      <c r="E1223">
        <f>HOUR(EV_Data[[#This Row],[Charging Start Time]])</f>
        <v>21</v>
      </c>
      <c r="F1223" s="1">
        <v>44977.875</v>
      </c>
      <c r="G1223" s="1">
        <v>44977.875694444447</v>
      </c>
      <c r="H1223">
        <v>1</v>
      </c>
      <c r="I1223">
        <v>34.97</v>
      </c>
      <c r="J1223" t="str">
        <f t="shared" si="58"/>
        <v>Medium</v>
      </c>
      <c r="K1223" t="s">
        <v>55</v>
      </c>
      <c r="L1223">
        <v>20</v>
      </c>
      <c r="M1223">
        <v>51</v>
      </c>
      <c r="N1223" t="str">
        <f t="shared" si="59"/>
        <v>Medium Cost</v>
      </c>
      <c r="O1223">
        <v>11.15</v>
      </c>
      <c r="P1223" t="s">
        <v>33</v>
      </c>
      <c r="Q1223" t="s">
        <v>58</v>
      </c>
      <c r="R1223" t="s">
        <v>35</v>
      </c>
      <c r="S1223" t="s">
        <v>74</v>
      </c>
      <c r="T1223" t="s">
        <v>46</v>
      </c>
      <c r="U1223">
        <v>46</v>
      </c>
      <c r="V1223">
        <v>3.2</v>
      </c>
      <c r="W1223" t="s">
        <v>28</v>
      </c>
      <c r="X1223" t="s">
        <v>68</v>
      </c>
    </row>
    <row r="1224" spans="1:24" x14ac:dyDescent="0.3">
      <c r="A1224" t="s">
        <v>2500</v>
      </c>
      <c r="B1224" t="s">
        <v>30</v>
      </c>
      <c r="C1224" t="s">
        <v>102</v>
      </c>
      <c r="D1224" t="str">
        <f t="shared" si="57"/>
        <v>Evening</v>
      </c>
      <c r="E1224">
        <f>HOUR(EV_Data[[#This Row],[Charging Start Time]])</f>
        <v>22</v>
      </c>
      <c r="F1224" s="1">
        <v>44977.916666666664</v>
      </c>
      <c r="G1224" s="1">
        <v>44977.940972222219</v>
      </c>
      <c r="H1224">
        <v>35</v>
      </c>
      <c r="I1224">
        <v>11.76</v>
      </c>
      <c r="J1224" t="str">
        <f t="shared" si="58"/>
        <v>Low</v>
      </c>
      <c r="K1224" t="s">
        <v>55</v>
      </c>
      <c r="L1224">
        <v>66</v>
      </c>
      <c r="M1224">
        <v>94</v>
      </c>
      <c r="N1224" t="str">
        <f t="shared" si="59"/>
        <v>Low Cost</v>
      </c>
      <c r="O1224">
        <v>5.28</v>
      </c>
      <c r="P1224" t="s">
        <v>64</v>
      </c>
      <c r="Q1224" t="s">
        <v>34</v>
      </c>
      <c r="R1224" t="s">
        <v>35</v>
      </c>
      <c r="S1224" t="s">
        <v>750</v>
      </c>
      <c r="T1224" t="s">
        <v>27</v>
      </c>
      <c r="U1224">
        <v>10</v>
      </c>
      <c r="V1224">
        <v>1.6</v>
      </c>
      <c r="W1224" t="s">
        <v>28</v>
      </c>
      <c r="X1224" t="s">
        <v>68</v>
      </c>
    </row>
    <row r="1225" spans="1:24" x14ac:dyDescent="0.3">
      <c r="A1225" t="s">
        <v>2501</v>
      </c>
      <c r="B1225" t="s">
        <v>92</v>
      </c>
      <c r="C1225" t="s">
        <v>93</v>
      </c>
      <c r="D1225" t="str">
        <f t="shared" si="57"/>
        <v>Evening</v>
      </c>
      <c r="E1225">
        <f>HOUR(EV_Data[[#This Row],[Charging Start Time]])</f>
        <v>23</v>
      </c>
      <c r="F1225" s="1">
        <v>44977.958333333336</v>
      </c>
      <c r="G1225" s="1">
        <v>44977.968055555553</v>
      </c>
      <c r="H1225">
        <v>14</v>
      </c>
      <c r="I1225">
        <v>14.81</v>
      </c>
      <c r="J1225" t="str">
        <f t="shared" si="58"/>
        <v>Low</v>
      </c>
      <c r="K1225" t="s">
        <v>69</v>
      </c>
      <c r="L1225">
        <v>61</v>
      </c>
      <c r="M1225">
        <v>85</v>
      </c>
      <c r="N1225" t="str">
        <f t="shared" si="59"/>
        <v>Low Cost</v>
      </c>
      <c r="O1225">
        <v>3.73</v>
      </c>
      <c r="P1225" t="s">
        <v>33</v>
      </c>
      <c r="Q1225" t="s">
        <v>48</v>
      </c>
      <c r="R1225" t="s">
        <v>35</v>
      </c>
      <c r="S1225" t="s">
        <v>288</v>
      </c>
      <c r="T1225" t="s">
        <v>60</v>
      </c>
      <c r="U1225">
        <v>4</v>
      </c>
      <c r="V1225">
        <v>4.2</v>
      </c>
      <c r="W1225" t="s">
        <v>28</v>
      </c>
      <c r="X1225" t="s">
        <v>68</v>
      </c>
    </row>
    <row r="1226" spans="1:24" x14ac:dyDescent="0.3">
      <c r="A1226" t="s">
        <v>2502</v>
      </c>
      <c r="B1226" t="s">
        <v>126</v>
      </c>
      <c r="C1226" t="s">
        <v>31</v>
      </c>
      <c r="D1226" t="str">
        <f t="shared" si="57"/>
        <v>Morning</v>
      </c>
      <c r="E1226">
        <f>HOUR(EV_Data[[#This Row],[Charging Start Time]])</f>
        <v>0</v>
      </c>
      <c r="F1226" s="1">
        <v>44978</v>
      </c>
      <c r="G1226" s="1">
        <v>44978.012499999997</v>
      </c>
      <c r="H1226">
        <v>18</v>
      </c>
      <c r="I1226">
        <v>31.05</v>
      </c>
      <c r="J1226" t="str">
        <f t="shared" si="58"/>
        <v>Medium</v>
      </c>
      <c r="K1226" t="s">
        <v>22</v>
      </c>
      <c r="L1226">
        <v>77</v>
      </c>
      <c r="M1226">
        <v>100</v>
      </c>
      <c r="N1226" t="str">
        <f t="shared" si="59"/>
        <v>Medium Cost</v>
      </c>
      <c r="O1226">
        <v>14.44</v>
      </c>
      <c r="P1226" t="s">
        <v>23</v>
      </c>
      <c r="Q1226" t="s">
        <v>48</v>
      </c>
      <c r="R1226" t="s">
        <v>56</v>
      </c>
      <c r="S1226" t="s">
        <v>201</v>
      </c>
      <c r="T1226" t="s">
        <v>27</v>
      </c>
      <c r="U1226">
        <v>37</v>
      </c>
      <c r="V1226">
        <v>4.3</v>
      </c>
      <c r="W1226" t="s">
        <v>47</v>
      </c>
      <c r="X1226" t="s">
        <v>29</v>
      </c>
    </row>
    <row r="1227" spans="1:24" x14ac:dyDescent="0.3">
      <c r="A1227" t="s">
        <v>2503</v>
      </c>
      <c r="B1227" t="s">
        <v>126</v>
      </c>
      <c r="C1227" t="s">
        <v>31</v>
      </c>
      <c r="D1227" t="str">
        <f t="shared" si="57"/>
        <v>Morning</v>
      </c>
      <c r="E1227">
        <f>HOUR(EV_Data[[#This Row],[Charging Start Time]])</f>
        <v>1</v>
      </c>
      <c r="F1227" s="1">
        <v>44978.041666666664</v>
      </c>
      <c r="G1227" s="1">
        <v>44978.119444444441</v>
      </c>
      <c r="H1227">
        <v>112</v>
      </c>
      <c r="I1227">
        <v>22.5</v>
      </c>
      <c r="J1227" t="str">
        <f t="shared" si="58"/>
        <v>Medium</v>
      </c>
      <c r="K1227" t="s">
        <v>22</v>
      </c>
      <c r="L1227">
        <v>14</v>
      </c>
      <c r="M1227">
        <v>34</v>
      </c>
      <c r="N1227" t="str">
        <f t="shared" si="59"/>
        <v>Medium Cost</v>
      </c>
      <c r="O1227">
        <v>8.9700000000000006</v>
      </c>
      <c r="P1227" t="s">
        <v>23</v>
      </c>
      <c r="Q1227" t="s">
        <v>24</v>
      </c>
      <c r="R1227" t="s">
        <v>35</v>
      </c>
      <c r="S1227" t="s">
        <v>954</v>
      </c>
      <c r="T1227" t="s">
        <v>37</v>
      </c>
      <c r="U1227">
        <v>34</v>
      </c>
      <c r="V1227">
        <v>3.7</v>
      </c>
      <c r="W1227" t="s">
        <v>47</v>
      </c>
      <c r="X1227" t="s">
        <v>29</v>
      </c>
    </row>
    <row r="1228" spans="1:24" x14ac:dyDescent="0.3">
      <c r="A1228" t="s">
        <v>2504</v>
      </c>
      <c r="B1228" t="s">
        <v>77</v>
      </c>
      <c r="C1228" t="s">
        <v>78</v>
      </c>
      <c r="D1228" t="str">
        <f t="shared" si="57"/>
        <v>Morning</v>
      </c>
      <c r="E1228">
        <f>HOUR(EV_Data[[#This Row],[Charging Start Time]])</f>
        <v>2</v>
      </c>
      <c r="F1228" s="1">
        <v>44978.083333333336</v>
      </c>
      <c r="G1228" s="1">
        <v>44978.169444444437</v>
      </c>
      <c r="H1228">
        <v>124</v>
      </c>
      <c r="I1228">
        <v>23.49</v>
      </c>
      <c r="J1228" t="str">
        <f t="shared" si="58"/>
        <v>Medium</v>
      </c>
      <c r="K1228" t="s">
        <v>42</v>
      </c>
      <c r="L1228">
        <v>65</v>
      </c>
      <c r="M1228">
        <v>100</v>
      </c>
      <c r="N1228" t="str">
        <f t="shared" si="59"/>
        <v>Medium Cost</v>
      </c>
      <c r="O1228">
        <v>8.69</v>
      </c>
      <c r="P1228" t="s">
        <v>64</v>
      </c>
      <c r="Q1228" t="s">
        <v>34</v>
      </c>
      <c r="R1228" t="s">
        <v>44</v>
      </c>
      <c r="S1228" t="s">
        <v>955</v>
      </c>
      <c r="T1228" t="s">
        <v>60</v>
      </c>
      <c r="U1228">
        <v>19</v>
      </c>
      <c r="V1228">
        <v>2.7</v>
      </c>
      <c r="W1228" t="s">
        <v>28</v>
      </c>
      <c r="X1228" t="s">
        <v>68</v>
      </c>
    </row>
    <row r="1229" spans="1:24" x14ac:dyDescent="0.3">
      <c r="A1229" t="s">
        <v>2505</v>
      </c>
      <c r="B1229" t="s">
        <v>30</v>
      </c>
      <c r="C1229" t="s">
        <v>102</v>
      </c>
      <c r="D1229" t="str">
        <f t="shared" si="57"/>
        <v>Morning</v>
      </c>
      <c r="E1229">
        <f>HOUR(EV_Data[[#This Row],[Charging Start Time]])</f>
        <v>3</v>
      </c>
      <c r="F1229" s="1">
        <v>44978.125</v>
      </c>
      <c r="G1229" s="1">
        <v>44978.151388888888</v>
      </c>
      <c r="H1229">
        <v>38</v>
      </c>
      <c r="I1229">
        <v>18.829999999999998</v>
      </c>
      <c r="J1229" t="str">
        <f t="shared" si="58"/>
        <v>Low</v>
      </c>
      <c r="K1229" t="s">
        <v>50</v>
      </c>
      <c r="L1229">
        <v>51</v>
      </c>
      <c r="M1229">
        <v>70</v>
      </c>
      <c r="N1229" t="str">
        <f t="shared" si="59"/>
        <v>Low Cost</v>
      </c>
      <c r="O1229">
        <v>7.19</v>
      </c>
      <c r="P1229" t="s">
        <v>33</v>
      </c>
      <c r="Q1229" t="s">
        <v>58</v>
      </c>
      <c r="R1229" t="s">
        <v>35</v>
      </c>
      <c r="S1229" t="s">
        <v>956</v>
      </c>
      <c r="T1229" t="s">
        <v>60</v>
      </c>
      <c r="U1229">
        <v>87</v>
      </c>
      <c r="V1229">
        <v>4.9000000000000004</v>
      </c>
      <c r="W1229" t="s">
        <v>28</v>
      </c>
      <c r="X1229" t="s">
        <v>68</v>
      </c>
    </row>
    <row r="1230" spans="1:24" x14ac:dyDescent="0.3">
      <c r="A1230" t="s">
        <v>2506</v>
      </c>
      <c r="B1230" t="s">
        <v>71</v>
      </c>
      <c r="C1230" t="s">
        <v>72</v>
      </c>
      <c r="D1230" t="str">
        <f t="shared" si="57"/>
        <v>Morning</v>
      </c>
      <c r="E1230">
        <f>HOUR(EV_Data[[#This Row],[Charging Start Time]])</f>
        <v>4</v>
      </c>
      <c r="F1230" s="1">
        <v>44978.166666666664</v>
      </c>
      <c r="G1230" s="1">
        <v>44978.249305555553</v>
      </c>
      <c r="H1230">
        <v>119</v>
      </c>
      <c r="I1230">
        <v>15.86</v>
      </c>
      <c r="J1230" t="str">
        <f t="shared" si="58"/>
        <v>Low</v>
      </c>
      <c r="K1230" t="s">
        <v>69</v>
      </c>
      <c r="L1230">
        <v>41</v>
      </c>
      <c r="M1230">
        <v>77</v>
      </c>
      <c r="N1230" t="str">
        <f t="shared" si="59"/>
        <v>Low Cost</v>
      </c>
      <c r="O1230">
        <v>4.4000000000000004</v>
      </c>
      <c r="P1230" t="s">
        <v>51</v>
      </c>
      <c r="Q1230" t="s">
        <v>58</v>
      </c>
      <c r="R1230" t="s">
        <v>56</v>
      </c>
      <c r="S1230" t="s">
        <v>743</v>
      </c>
      <c r="T1230" t="s">
        <v>46</v>
      </c>
      <c r="U1230">
        <v>86</v>
      </c>
      <c r="V1230">
        <v>2.9</v>
      </c>
      <c r="W1230" t="s">
        <v>28</v>
      </c>
      <c r="X1230" t="s">
        <v>68</v>
      </c>
    </row>
    <row r="1231" spans="1:24" x14ac:dyDescent="0.3">
      <c r="A1231" t="s">
        <v>2507</v>
      </c>
      <c r="B1231" t="s">
        <v>77</v>
      </c>
      <c r="C1231" t="s">
        <v>78</v>
      </c>
      <c r="D1231" t="str">
        <f t="shared" si="57"/>
        <v>Morning</v>
      </c>
      <c r="E1231">
        <f>HOUR(EV_Data[[#This Row],[Charging Start Time]])</f>
        <v>5</v>
      </c>
      <c r="F1231" s="1">
        <v>44978.208333333336</v>
      </c>
      <c r="G1231" s="1">
        <v>44978.238194444442</v>
      </c>
      <c r="H1231">
        <v>43</v>
      </c>
      <c r="I1231">
        <v>11.58</v>
      </c>
      <c r="J1231" t="str">
        <f t="shared" si="58"/>
        <v>Low</v>
      </c>
      <c r="K1231" t="s">
        <v>42</v>
      </c>
      <c r="L1231">
        <v>67</v>
      </c>
      <c r="M1231">
        <v>88</v>
      </c>
      <c r="N1231" t="str">
        <f t="shared" si="59"/>
        <v>Low Cost</v>
      </c>
      <c r="O1231">
        <v>2.91</v>
      </c>
      <c r="P1231" t="s">
        <v>51</v>
      </c>
      <c r="Q1231" t="s">
        <v>48</v>
      </c>
      <c r="R1231" t="s">
        <v>56</v>
      </c>
      <c r="S1231" t="s">
        <v>881</v>
      </c>
      <c r="T1231" t="s">
        <v>37</v>
      </c>
      <c r="U1231">
        <v>94</v>
      </c>
      <c r="V1231">
        <v>4.8</v>
      </c>
      <c r="W1231" t="s">
        <v>28</v>
      </c>
      <c r="X1231" t="s">
        <v>68</v>
      </c>
    </row>
    <row r="1232" spans="1:24" x14ac:dyDescent="0.3">
      <c r="A1232" t="s">
        <v>2508</v>
      </c>
      <c r="B1232" t="s">
        <v>92</v>
      </c>
      <c r="C1232" t="s">
        <v>93</v>
      </c>
      <c r="D1232" t="str">
        <f t="shared" si="57"/>
        <v>Morning</v>
      </c>
      <c r="E1232">
        <f>HOUR(EV_Data[[#This Row],[Charging Start Time]])</f>
        <v>6</v>
      </c>
      <c r="F1232" s="1">
        <v>44978.25</v>
      </c>
      <c r="G1232" s="1">
        <v>44978.280555555553</v>
      </c>
      <c r="H1232">
        <v>44</v>
      </c>
      <c r="I1232">
        <v>19.760000000000002</v>
      </c>
      <c r="J1232" t="str">
        <f t="shared" si="58"/>
        <v>Low</v>
      </c>
      <c r="K1232" t="s">
        <v>50</v>
      </c>
      <c r="L1232">
        <v>39</v>
      </c>
      <c r="M1232">
        <v>51</v>
      </c>
      <c r="N1232" t="str">
        <f t="shared" si="59"/>
        <v>Medium Cost</v>
      </c>
      <c r="O1232">
        <v>9.33</v>
      </c>
      <c r="P1232" t="s">
        <v>23</v>
      </c>
      <c r="Q1232" t="s">
        <v>48</v>
      </c>
      <c r="R1232" t="s">
        <v>56</v>
      </c>
      <c r="S1232" t="s">
        <v>936</v>
      </c>
      <c r="T1232" t="s">
        <v>46</v>
      </c>
      <c r="U1232">
        <v>43</v>
      </c>
      <c r="V1232">
        <v>3.4</v>
      </c>
      <c r="W1232" t="s">
        <v>38</v>
      </c>
      <c r="X1232" t="s">
        <v>39</v>
      </c>
    </row>
    <row r="1233" spans="1:24" x14ac:dyDescent="0.3">
      <c r="A1233" t="s">
        <v>2509</v>
      </c>
      <c r="B1233" t="s">
        <v>40</v>
      </c>
      <c r="C1233" t="s">
        <v>41</v>
      </c>
      <c r="D1233" t="str">
        <f t="shared" si="57"/>
        <v>Morning</v>
      </c>
      <c r="E1233">
        <f>HOUR(EV_Data[[#This Row],[Charging Start Time]])</f>
        <v>7</v>
      </c>
      <c r="F1233" s="1">
        <v>44978.291666666664</v>
      </c>
      <c r="G1233" s="1">
        <v>44978.34097222222</v>
      </c>
      <c r="H1233">
        <v>71</v>
      </c>
      <c r="I1233">
        <v>45.55</v>
      </c>
      <c r="J1233" t="str">
        <f t="shared" si="58"/>
        <v>Medium</v>
      </c>
      <c r="K1233" t="s">
        <v>55</v>
      </c>
      <c r="L1233">
        <v>13</v>
      </c>
      <c r="M1233">
        <v>40</v>
      </c>
      <c r="N1233" t="str">
        <f t="shared" si="59"/>
        <v>Medium Cost</v>
      </c>
      <c r="O1233">
        <v>14.32</v>
      </c>
      <c r="P1233" t="s">
        <v>51</v>
      </c>
      <c r="Q1233" t="s">
        <v>48</v>
      </c>
      <c r="R1233" t="s">
        <v>25</v>
      </c>
      <c r="S1233" t="s">
        <v>317</v>
      </c>
      <c r="T1233" t="s">
        <v>46</v>
      </c>
      <c r="U1233">
        <v>32</v>
      </c>
      <c r="V1233">
        <v>4</v>
      </c>
      <c r="W1233" t="s">
        <v>28</v>
      </c>
      <c r="X1233" t="s">
        <v>68</v>
      </c>
    </row>
    <row r="1234" spans="1:24" x14ac:dyDescent="0.3">
      <c r="A1234" t="s">
        <v>2510</v>
      </c>
      <c r="B1234" t="s">
        <v>53</v>
      </c>
      <c r="C1234" t="s">
        <v>54</v>
      </c>
      <c r="D1234" t="str">
        <f t="shared" si="57"/>
        <v>Morning</v>
      </c>
      <c r="E1234">
        <f>HOUR(EV_Data[[#This Row],[Charging Start Time]])</f>
        <v>8</v>
      </c>
      <c r="F1234" s="1">
        <v>44978.333333333336</v>
      </c>
      <c r="G1234" s="1">
        <v>44978.417361111111</v>
      </c>
      <c r="H1234">
        <v>121</v>
      </c>
      <c r="I1234">
        <v>15.06</v>
      </c>
      <c r="J1234" t="str">
        <f t="shared" si="58"/>
        <v>Low</v>
      </c>
      <c r="K1234" t="s">
        <v>50</v>
      </c>
      <c r="L1234">
        <v>79</v>
      </c>
      <c r="M1234">
        <v>100</v>
      </c>
      <c r="N1234" t="str">
        <f t="shared" si="59"/>
        <v>Low Cost</v>
      </c>
      <c r="O1234">
        <v>6.21</v>
      </c>
      <c r="P1234" t="s">
        <v>33</v>
      </c>
      <c r="Q1234" t="s">
        <v>34</v>
      </c>
      <c r="R1234" t="s">
        <v>35</v>
      </c>
      <c r="S1234" t="s">
        <v>957</v>
      </c>
      <c r="T1234" t="s">
        <v>27</v>
      </c>
      <c r="U1234">
        <v>21</v>
      </c>
      <c r="V1234">
        <v>2.6</v>
      </c>
      <c r="W1234" t="s">
        <v>28</v>
      </c>
      <c r="X1234" t="s">
        <v>68</v>
      </c>
    </row>
    <row r="1235" spans="1:24" x14ac:dyDescent="0.3">
      <c r="A1235" t="s">
        <v>2511</v>
      </c>
      <c r="B1235" t="s">
        <v>77</v>
      </c>
      <c r="C1235" t="s">
        <v>78</v>
      </c>
      <c r="D1235" t="str">
        <f t="shared" si="57"/>
        <v>Morning</v>
      </c>
      <c r="E1235">
        <f>HOUR(EV_Data[[#This Row],[Charging Start Time]])</f>
        <v>9</v>
      </c>
      <c r="F1235" s="1">
        <v>44978.375</v>
      </c>
      <c r="G1235" s="1">
        <v>44978.404861111107</v>
      </c>
      <c r="H1235">
        <v>43</v>
      </c>
      <c r="I1235">
        <v>24.31</v>
      </c>
      <c r="J1235" t="str">
        <f t="shared" si="58"/>
        <v>Medium</v>
      </c>
      <c r="K1235" t="s">
        <v>69</v>
      </c>
      <c r="L1235">
        <v>35</v>
      </c>
      <c r="M1235">
        <v>50</v>
      </c>
      <c r="N1235" t="str">
        <f t="shared" si="59"/>
        <v>Medium Cost</v>
      </c>
      <c r="O1235">
        <v>11.34</v>
      </c>
      <c r="P1235" t="s">
        <v>51</v>
      </c>
      <c r="Q1235" t="s">
        <v>34</v>
      </c>
      <c r="R1235" t="s">
        <v>44</v>
      </c>
      <c r="S1235" t="s">
        <v>722</v>
      </c>
      <c r="T1235" t="s">
        <v>27</v>
      </c>
      <c r="U1235">
        <v>65</v>
      </c>
      <c r="V1235">
        <v>3.1</v>
      </c>
      <c r="W1235" t="s">
        <v>38</v>
      </c>
      <c r="X1235" t="s">
        <v>83</v>
      </c>
    </row>
    <row r="1236" spans="1:24" x14ac:dyDescent="0.3">
      <c r="A1236" t="s">
        <v>2512</v>
      </c>
      <c r="B1236" t="s">
        <v>77</v>
      </c>
      <c r="C1236" t="s">
        <v>78</v>
      </c>
      <c r="D1236" t="str">
        <f t="shared" si="57"/>
        <v>Morning</v>
      </c>
      <c r="E1236">
        <f>HOUR(EV_Data[[#This Row],[Charging Start Time]])</f>
        <v>10</v>
      </c>
      <c r="F1236" s="1">
        <v>44978.416666666664</v>
      </c>
      <c r="G1236" s="1">
        <v>44978.436805555553</v>
      </c>
      <c r="H1236">
        <v>29</v>
      </c>
      <c r="I1236">
        <v>24.31</v>
      </c>
      <c r="J1236" t="str">
        <f t="shared" si="58"/>
        <v>Medium</v>
      </c>
      <c r="K1236" t="s">
        <v>69</v>
      </c>
      <c r="L1236">
        <v>27</v>
      </c>
      <c r="M1236">
        <v>44</v>
      </c>
      <c r="N1236" t="str">
        <f t="shared" si="59"/>
        <v>Low Cost</v>
      </c>
      <c r="O1236">
        <v>6.48</v>
      </c>
      <c r="P1236" t="s">
        <v>43</v>
      </c>
      <c r="Q1236" t="s">
        <v>58</v>
      </c>
      <c r="R1236" t="s">
        <v>35</v>
      </c>
      <c r="S1236" t="s">
        <v>719</v>
      </c>
      <c r="T1236" t="s">
        <v>37</v>
      </c>
      <c r="U1236">
        <v>44</v>
      </c>
      <c r="V1236">
        <v>2.1</v>
      </c>
      <c r="W1236" t="s">
        <v>38</v>
      </c>
    </row>
    <row r="1237" spans="1:24" x14ac:dyDescent="0.3">
      <c r="A1237" t="s">
        <v>2513</v>
      </c>
      <c r="B1237" t="s">
        <v>20</v>
      </c>
      <c r="C1237" t="s">
        <v>21</v>
      </c>
      <c r="D1237" t="str">
        <f t="shared" si="57"/>
        <v>Morning</v>
      </c>
      <c r="E1237">
        <f>HOUR(EV_Data[[#This Row],[Charging Start Time]])</f>
        <v>11</v>
      </c>
      <c r="F1237" s="1">
        <v>44978.458333333336</v>
      </c>
      <c r="G1237" s="1">
        <v>44978.461805555547</v>
      </c>
      <c r="H1237">
        <v>5</v>
      </c>
      <c r="I1237">
        <v>43.82</v>
      </c>
      <c r="J1237" t="str">
        <f t="shared" si="58"/>
        <v>Medium</v>
      </c>
      <c r="K1237" t="s">
        <v>50</v>
      </c>
      <c r="L1237">
        <v>58</v>
      </c>
      <c r="M1237">
        <v>86</v>
      </c>
      <c r="N1237" t="str">
        <f t="shared" si="59"/>
        <v>Medium Cost</v>
      </c>
      <c r="O1237">
        <v>16.95</v>
      </c>
      <c r="P1237" t="s">
        <v>23</v>
      </c>
      <c r="Q1237" t="s">
        <v>58</v>
      </c>
      <c r="R1237" t="s">
        <v>44</v>
      </c>
      <c r="S1237" t="s">
        <v>958</v>
      </c>
      <c r="T1237" t="s">
        <v>27</v>
      </c>
      <c r="U1237">
        <v>32</v>
      </c>
      <c r="V1237">
        <v>4.4000000000000004</v>
      </c>
      <c r="W1237" t="s">
        <v>47</v>
      </c>
      <c r="X1237" t="s">
        <v>29</v>
      </c>
    </row>
    <row r="1238" spans="1:24" x14ac:dyDescent="0.3">
      <c r="A1238" t="s">
        <v>2514</v>
      </c>
      <c r="B1238" t="s">
        <v>40</v>
      </c>
      <c r="C1238" t="s">
        <v>41</v>
      </c>
      <c r="D1238" t="str">
        <f t="shared" si="57"/>
        <v>Afternoon</v>
      </c>
      <c r="E1238">
        <f>HOUR(EV_Data[[#This Row],[Charging Start Time]])</f>
        <v>12</v>
      </c>
      <c r="F1238" s="1">
        <v>44978.5</v>
      </c>
      <c r="G1238" s="1">
        <v>44978.547222222223</v>
      </c>
      <c r="H1238">
        <v>68</v>
      </c>
      <c r="I1238">
        <v>38.99</v>
      </c>
      <c r="J1238" t="str">
        <f t="shared" si="58"/>
        <v>Medium</v>
      </c>
      <c r="K1238" t="s">
        <v>42</v>
      </c>
      <c r="L1238">
        <v>25</v>
      </c>
      <c r="M1238">
        <v>54</v>
      </c>
      <c r="N1238" t="str">
        <f t="shared" si="59"/>
        <v>Medium Cost</v>
      </c>
      <c r="O1238">
        <v>8.8800000000000008</v>
      </c>
      <c r="P1238" t="s">
        <v>51</v>
      </c>
      <c r="Q1238" t="s">
        <v>24</v>
      </c>
      <c r="R1238" t="s">
        <v>44</v>
      </c>
      <c r="S1238" t="s">
        <v>449</v>
      </c>
      <c r="T1238" t="s">
        <v>27</v>
      </c>
      <c r="U1238">
        <v>11</v>
      </c>
      <c r="V1238">
        <v>2</v>
      </c>
      <c r="W1238" t="s">
        <v>47</v>
      </c>
      <c r="X1238" t="s">
        <v>29</v>
      </c>
    </row>
    <row r="1239" spans="1:24" x14ac:dyDescent="0.3">
      <c r="A1239" t="s">
        <v>2515</v>
      </c>
      <c r="B1239" t="s">
        <v>77</v>
      </c>
      <c r="C1239" t="s">
        <v>78</v>
      </c>
      <c r="D1239" t="str">
        <f t="shared" si="57"/>
        <v>Afternoon</v>
      </c>
      <c r="E1239">
        <f>HOUR(EV_Data[[#This Row],[Charging Start Time]])</f>
        <v>13</v>
      </c>
      <c r="F1239" s="1">
        <v>44978.541666666664</v>
      </c>
      <c r="G1239" s="1">
        <v>44978.611111111109</v>
      </c>
      <c r="H1239">
        <v>100</v>
      </c>
      <c r="I1239">
        <v>17.04</v>
      </c>
      <c r="J1239" t="str">
        <f t="shared" si="58"/>
        <v>Low</v>
      </c>
      <c r="K1239" t="s">
        <v>42</v>
      </c>
      <c r="L1239">
        <v>79</v>
      </c>
      <c r="M1239">
        <v>100</v>
      </c>
      <c r="N1239" t="str">
        <f t="shared" si="59"/>
        <v>Low Cost</v>
      </c>
      <c r="O1239">
        <v>7.82</v>
      </c>
      <c r="P1239" t="s">
        <v>33</v>
      </c>
      <c r="Q1239" t="s">
        <v>48</v>
      </c>
      <c r="R1239" t="s">
        <v>35</v>
      </c>
      <c r="S1239" t="s">
        <v>801</v>
      </c>
      <c r="T1239" t="s">
        <v>46</v>
      </c>
      <c r="U1239">
        <v>52</v>
      </c>
      <c r="V1239">
        <v>3.9</v>
      </c>
      <c r="W1239" t="s">
        <v>47</v>
      </c>
      <c r="X1239" t="s">
        <v>29</v>
      </c>
    </row>
    <row r="1240" spans="1:24" x14ac:dyDescent="0.3">
      <c r="A1240" t="s">
        <v>2516</v>
      </c>
      <c r="B1240" t="s">
        <v>53</v>
      </c>
      <c r="C1240" t="s">
        <v>54</v>
      </c>
      <c r="D1240" t="str">
        <f t="shared" si="57"/>
        <v>Afternoon</v>
      </c>
      <c r="E1240">
        <f>HOUR(EV_Data[[#This Row],[Charging Start Time]])</f>
        <v>14</v>
      </c>
      <c r="F1240" s="1">
        <v>44978.583333333336</v>
      </c>
      <c r="G1240" s="1">
        <v>44978.611805555563</v>
      </c>
      <c r="H1240">
        <v>41</v>
      </c>
      <c r="I1240">
        <v>41.1</v>
      </c>
      <c r="J1240" t="str">
        <f t="shared" si="58"/>
        <v>Medium</v>
      </c>
      <c r="K1240" t="s">
        <v>50</v>
      </c>
      <c r="L1240">
        <v>71</v>
      </c>
      <c r="M1240">
        <v>100</v>
      </c>
      <c r="N1240" t="str">
        <f t="shared" si="59"/>
        <v>High Cost</v>
      </c>
      <c r="O1240">
        <v>19.25</v>
      </c>
      <c r="P1240" t="s">
        <v>43</v>
      </c>
      <c r="Q1240" t="s">
        <v>34</v>
      </c>
      <c r="R1240" t="s">
        <v>25</v>
      </c>
      <c r="S1240" t="s">
        <v>527</v>
      </c>
      <c r="T1240" t="s">
        <v>46</v>
      </c>
      <c r="U1240">
        <v>62</v>
      </c>
      <c r="V1240">
        <v>2.9</v>
      </c>
      <c r="W1240" t="s">
        <v>28</v>
      </c>
      <c r="X1240" t="s">
        <v>68</v>
      </c>
    </row>
    <row r="1241" spans="1:24" x14ac:dyDescent="0.3">
      <c r="A1241" t="s">
        <v>2517</v>
      </c>
      <c r="B1241" t="s">
        <v>40</v>
      </c>
      <c r="C1241" t="s">
        <v>41</v>
      </c>
      <c r="D1241" t="str">
        <f t="shared" si="57"/>
        <v>Afternoon</v>
      </c>
      <c r="E1241">
        <f>HOUR(EV_Data[[#This Row],[Charging Start Time]])</f>
        <v>15</v>
      </c>
      <c r="F1241" s="1">
        <v>44978.625</v>
      </c>
      <c r="G1241" s="1">
        <v>44978.65902777778</v>
      </c>
      <c r="H1241">
        <v>49</v>
      </c>
      <c r="I1241">
        <v>46.04</v>
      </c>
      <c r="J1241" t="str">
        <f t="shared" si="58"/>
        <v>Medium</v>
      </c>
      <c r="K1241" t="s">
        <v>55</v>
      </c>
      <c r="L1241">
        <v>62</v>
      </c>
      <c r="M1241">
        <v>93</v>
      </c>
      <c r="N1241" t="str">
        <f t="shared" si="59"/>
        <v>High Cost</v>
      </c>
      <c r="O1241">
        <v>21.3</v>
      </c>
      <c r="P1241" t="s">
        <v>23</v>
      </c>
      <c r="Q1241" t="s">
        <v>24</v>
      </c>
      <c r="R1241" t="s">
        <v>35</v>
      </c>
      <c r="S1241" t="s">
        <v>533</v>
      </c>
      <c r="T1241" t="s">
        <v>60</v>
      </c>
      <c r="U1241">
        <v>59</v>
      </c>
      <c r="V1241">
        <v>4.9000000000000004</v>
      </c>
      <c r="W1241" t="s">
        <v>47</v>
      </c>
      <c r="X1241" t="s">
        <v>29</v>
      </c>
    </row>
    <row r="1242" spans="1:24" x14ac:dyDescent="0.3">
      <c r="A1242" t="s">
        <v>2518</v>
      </c>
      <c r="B1242" t="s">
        <v>92</v>
      </c>
      <c r="C1242" t="s">
        <v>93</v>
      </c>
      <c r="D1242" t="str">
        <f t="shared" si="57"/>
        <v>Afternoon</v>
      </c>
      <c r="E1242">
        <f>HOUR(EV_Data[[#This Row],[Charging Start Time]])</f>
        <v>16</v>
      </c>
      <c r="F1242" s="1">
        <v>44978.666666666664</v>
      </c>
      <c r="G1242" s="1">
        <v>44978.688194444447</v>
      </c>
      <c r="H1242">
        <v>31</v>
      </c>
      <c r="I1242">
        <v>29.69</v>
      </c>
      <c r="J1242" t="str">
        <f t="shared" si="58"/>
        <v>Medium</v>
      </c>
      <c r="K1242" t="s">
        <v>50</v>
      </c>
      <c r="L1242">
        <v>9</v>
      </c>
      <c r="M1242">
        <v>22</v>
      </c>
      <c r="N1242" t="str">
        <f t="shared" si="59"/>
        <v>Medium Cost</v>
      </c>
      <c r="O1242">
        <v>9.4</v>
      </c>
      <c r="P1242" t="s">
        <v>43</v>
      </c>
      <c r="Q1242" t="s">
        <v>24</v>
      </c>
      <c r="R1242" t="s">
        <v>44</v>
      </c>
      <c r="S1242" t="s">
        <v>959</v>
      </c>
      <c r="T1242" t="s">
        <v>46</v>
      </c>
      <c r="U1242">
        <v>87</v>
      </c>
      <c r="V1242">
        <v>3</v>
      </c>
      <c r="W1242" t="s">
        <v>38</v>
      </c>
      <c r="X1242" t="s">
        <v>62</v>
      </c>
    </row>
    <row r="1243" spans="1:24" x14ac:dyDescent="0.3">
      <c r="A1243" t="s">
        <v>2519</v>
      </c>
      <c r="B1243" t="s">
        <v>53</v>
      </c>
      <c r="C1243" t="s">
        <v>54</v>
      </c>
      <c r="D1243" t="str">
        <f t="shared" si="57"/>
        <v>Evening</v>
      </c>
      <c r="E1243">
        <f>HOUR(EV_Data[[#This Row],[Charging Start Time]])</f>
        <v>17</v>
      </c>
      <c r="F1243" s="1">
        <v>44978.708333333336</v>
      </c>
      <c r="G1243" s="1">
        <v>44978.743055555547</v>
      </c>
      <c r="H1243">
        <v>50</v>
      </c>
      <c r="I1243">
        <v>42.98</v>
      </c>
      <c r="J1243" t="str">
        <f t="shared" si="58"/>
        <v>Medium</v>
      </c>
      <c r="K1243" t="s">
        <v>22</v>
      </c>
      <c r="L1243">
        <v>69</v>
      </c>
      <c r="M1243">
        <v>95</v>
      </c>
      <c r="N1243" t="str">
        <f t="shared" si="59"/>
        <v>Medium Cost</v>
      </c>
      <c r="O1243">
        <v>9.64</v>
      </c>
      <c r="P1243" t="s">
        <v>33</v>
      </c>
      <c r="Q1243" t="s">
        <v>34</v>
      </c>
      <c r="R1243" t="s">
        <v>35</v>
      </c>
      <c r="S1243" t="s">
        <v>960</v>
      </c>
      <c r="T1243" t="s">
        <v>60</v>
      </c>
      <c r="U1243">
        <v>64</v>
      </c>
      <c r="V1243">
        <v>3.9</v>
      </c>
      <c r="W1243" t="s">
        <v>47</v>
      </c>
      <c r="X1243" t="s">
        <v>29</v>
      </c>
    </row>
    <row r="1244" spans="1:24" x14ac:dyDescent="0.3">
      <c r="A1244" t="s">
        <v>2520</v>
      </c>
      <c r="B1244" t="s">
        <v>92</v>
      </c>
      <c r="C1244" t="s">
        <v>93</v>
      </c>
      <c r="D1244" t="str">
        <f t="shared" si="57"/>
        <v>Evening</v>
      </c>
      <c r="E1244">
        <f>HOUR(EV_Data[[#This Row],[Charging Start Time]])</f>
        <v>18</v>
      </c>
      <c r="F1244" s="1">
        <v>44978.75</v>
      </c>
      <c r="G1244" s="1">
        <v>44978.777777777781</v>
      </c>
      <c r="H1244">
        <v>40</v>
      </c>
      <c r="I1244">
        <v>24.06</v>
      </c>
      <c r="J1244" t="str">
        <f t="shared" si="58"/>
        <v>Medium</v>
      </c>
      <c r="K1244" t="s">
        <v>22</v>
      </c>
      <c r="L1244">
        <v>45</v>
      </c>
      <c r="M1244">
        <v>72</v>
      </c>
      <c r="N1244" t="str">
        <f t="shared" si="59"/>
        <v>Medium Cost</v>
      </c>
      <c r="O1244">
        <v>9.98</v>
      </c>
      <c r="P1244" t="s">
        <v>33</v>
      </c>
      <c r="Q1244" t="s">
        <v>34</v>
      </c>
      <c r="R1244" t="s">
        <v>44</v>
      </c>
      <c r="S1244" t="s">
        <v>263</v>
      </c>
      <c r="T1244" t="s">
        <v>46</v>
      </c>
      <c r="U1244">
        <v>84</v>
      </c>
      <c r="V1244">
        <v>1.8</v>
      </c>
      <c r="W1244" t="s">
        <v>47</v>
      </c>
      <c r="X1244" t="s">
        <v>29</v>
      </c>
    </row>
    <row r="1245" spans="1:24" x14ac:dyDescent="0.3">
      <c r="A1245" t="s">
        <v>2521</v>
      </c>
      <c r="B1245" t="s">
        <v>40</v>
      </c>
      <c r="C1245" t="s">
        <v>41</v>
      </c>
      <c r="D1245" t="str">
        <f t="shared" si="57"/>
        <v>Evening</v>
      </c>
      <c r="E1245">
        <f>HOUR(EV_Data[[#This Row],[Charging Start Time]])</f>
        <v>19</v>
      </c>
      <c r="F1245" s="1">
        <v>44978.791666666664</v>
      </c>
      <c r="G1245" s="1">
        <v>44978.824999999997</v>
      </c>
      <c r="H1245">
        <v>48</v>
      </c>
      <c r="I1245">
        <v>20.18</v>
      </c>
      <c r="J1245" t="str">
        <f t="shared" si="58"/>
        <v>Medium</v>
      </c>
      <c r="K1245" t="s">
        <v>42</v>
      </c>
      <c r="L1245">
        <v>9</v>
      </c>
      <c r="M1245">
        <v>28</v>
      </c>
      <c r="N1245" t="str">
        <f t="shared" si="59"/>
        <v>Low Cost</v>
      </c>
      <c r="O1245">
        <v>6.67</v>
      </c>
      <c r="P1245" t="s">
        <v>23</v>
      </c>
      <c r="Q1245" t="s">
        <v>58</v>
      </c>
      <c r="R1245" t="s">
        <v>25</v>
      </c>
      <c r="S1245" t="s">
        <v>75</v>
      </c>
      <c r="T1245" t="s">
        <v>46</v>
      </c>
      <c r="U1245">
        <v>60</v>
      </c>
      <c r="V1245">
        <v>2.8</v>
      </c>
      <c r="W1245" t="s">
        <v>38</v>
      </c>
      <c r="X1245" t="s">
        <v>85</v>
      </c>
    </row>
    <row r="1246" spans="1:24" x14ac:dyDescent="0.3">
      <c r="A1246" t="s">
        <v>2522</v>
      </c>
      <c r="B1246" t="s">
        <v>53</v>
      </c>
      <c r="C1246" t="s">
        <v>54</v>
      </c>
      <c r="D1246" t="str">
        <f t="shared" si="57"/>
        <v>Evening</v>
      </c>
      <c r="E1246">
        <f>HOUR(EV_Data[[#This Row],[Charging Start Time]])</f>
        <v>20</v>
      </c>
      <c r="F1246" s="1">
        <v>44978.833333333336</v>
      </c>
      <c r="G1246" s="1">
        <v>44978.87222222222</v>
      </c>
      <c r="H1246">
        <v>56</v>
      </c>
      <c r="I1246">
        <v>22.26</v>
      </c>
      <c r="J1246" t="str">
        <f t="shared" si="58"/>
        <v>Medium</v>
      </c>
      <c r="K1246" t="s">
        <v>69</v>
      </c>
      <c r="L1246">
        <v>52</v>
      </c>
      <c r="M1246">
        <v>83</v>
      </c>
      <c r="N1246" t="str">
        <f t="shared" si="59"/>
        <v>Low Cost</v>
      </c>
      <c r="O1246">
        <v>5.51</v>
      </c>
      <c r="P1246" t="s">
        <v>43</v>
      </c>
      <c r="Q1246" t="s">
        <v>34</v>
      </c>
      <c r="R1246" t="s">
        <v>35</v>
      </c>
      <c r="S1246" t="s">
        <v>112</v>
      </c>
      <c r="T1246" t="s">
        <v>46</v>
      </c>
      <c r="U1246">
        <v>96</v>
      </c>
      <c r="V1246">
        <v>2.2999999999999998</v>
      </c>
      <c r="W1246" t="s">
        <v>47</v>
      </c>
      <c r="X1246" t="s">
        <v>29</v>
      </c>
    </row>
    <row r="1247" spans="1:24" x14ac:dyDescent="0.3">
      <c r="A1247" t="s">
        <v>2523</v>
      </c>
      <c r="B1247" t="s">
        <v>77</v>
      </c>
      <c r="C1247" t="s">
        <v>78</v>
      </c>
      <c r="D1247" t="str">
        <f t="shared" si="57"/>
        <v>Evening</v>
      </c>
      <c r="E1247">
        <f>HOUR(EV_Data[[#This Row],[Charging Start Time]])</f>
        <v>21</v>
      </c>
      <c r="F1247" s="1">
        <v>44978.875</v>
      </c>
      <c r="G1247" s="1">
        <v>44978.90902777778</v>
      </c>
      <c r="H1247">
        <v>49</v>
      </c>
      <c r="I1247">
        <v>23.86</v>
      </c>
      <c r="J1247" t="str">
        <f t="shared" si="58"/>
        <v>Medium</v>
      </c>
      <c r="K1247" t="s">
        <v>32</v>
      </c>
      <c r="L1247">
        <v>13</v>
      </c>
      <c r="M1247">
        <v>28</v>
      </c>
      <c r="N1247" t="str">
        <f t="shared" si="59"/>
        <v>Low Cost</v>
      </c>
      <c r="O1247">
        <v>5.61</v>
      </c>
      <c r="P1247" t="s">
        <v>23</v>
      </c>
      <c r="Q1247" t="s">
        <v>34</v>
      </c>
      <c r="R1247" t="s">
        <v>35</v>
      </c>
      <c r="S1247" t="s">
        <v>961</v>
      </c>
      <c r="T1247" t="s">
        <v>27</v>
      </c>
      <c r="U1247">
        <v>41</v>
      </c>
      <c r="V1247">
        <v>3.7</v>
      </c>
      <c r="W1247" t="s">
        <v>47</v>
      </c>
      <c r="X1247" t="s">
        <v>29</v>
      </c>
    </row>
    <row r="1248" spans="1:24" x14ac:dyDescent="0.3">
      <c r="A1248" t="s">
        <v>2524</v>
      </c>
      <c r="B1248" t="s">
        <v>53</v>
      </c>
      <c r="C1248" t="s">
        <v>54</v>
      </c>
      <c r="D1248" t="str">
        <f t="shared" si="57"/>
        <v>Evening</v>
      </c>
      <c r="E1248">
        <f>HOUR(EV_Data[[#This Row],[Charging Start Time]])</f>
        <v>22</v>
      </c>
      <c r="F1248" s="1">
        <v>44978.916666666664</v>
      </c>
      <c r="G1248" s="1">
        <v>44978.936805555553</v>
      </c>
      <c r="H1248">
        <v>29</v>
      </c>
      <c r="I1248">
        <v>11.46</v>
      </c>
      <c r="J1248" t="str">
        <f t="shared" si="58"/>
        <v>Low</v>
      </c>
      <c r="K1248" t="s">
        <v>42</v>
      </c>
      <c r="L1248">
        <v>24</v>
      </c>
      <c r="M1248">
        <v>52</v>
      </c>
      <c r="N1248" t="str">
        <f t="shared" si="59"/>
        <v>Low Cost</v>
      </c>
      <c r="O1248">
        <v>4.46</v>
      </c>
      <c r="P1248" t="s">
        <v>43</v>
      </c>
      <c r="Q1248" t="s">
        <v>34</v>
      </c>
      <c r="R1248" t="s">
        <v>56</v>
      </c>
      <c r="S1248" t="s">
        <v>682</v>
      </c>
      <c r="T1248" t="s">
        <v>46</v>
      </c>
      <c r="U1248">
        <v>78</v>
      </c>
      <c r="V1248">
        <v>4.8</v>
      </c>
      <c r="W1248" t="s">
        <v>28</v>
      </c>
      <c r="X1248" t="s">
        <v>68</v>
      </c>
    </row>
    <row r="1249" spans="1:24" x14ac:dyDescent="0.3">
      <c r="A1249" t="s">
        <v>2525</v>
      </c>
      <c r="B1249" t="s">
        <v>92</v>
      </c>
      <c r="C1249" t="s">
        <v>93</v>
      </c>
      <c r="D1249" t="str">
        <f t="shared" si="57"/>
        <v>Evening</v>
      </c>
      <c r="E1249">
        <f>HOUR(EV_Data[[#This Row],[Charging Start Time]])</f>
        <v>23</v>
      </c>
      <c r="F1249" s="1">
        <v>44978.958333333336</v>
      </c>
      <c r="G1249" s="1">
        <v>44978.984722222223</v>
      </c>
      <c r="H1249">
        <v>38</v>
      </c>
      <c r="I1249">
        <v>7.29</v>
      </c>
      <c r="J1249" t="str">
        <f t="shared" si="58"/>
        <v>Low</v>
      </c>
      <c r="K1249" t="s">
        <v>55</v>
      </c>
      <c r="L1249">
        <v>36</v>
      </c>
      <c r="M1249">
        <v>67</v>
      </c>
      <c r="N1249" t="str">
        <f t="shared" si="59"/>
        <v>Low Cost</v>
      </c>
      <c r="O1249">
        <v>3.54</v>
      </c>
      <c r="P1249" t="s">
        <v>23</v>
      </c>
      <c r="Q1249" t="s">
        <v>24</v>
      </c>
      <c r="R1249" t="s">
        <v>56</v>
      </c>
      <c r="S1249" t="s">
        <v>962</v>
      </c>
      <c r="T1249" t="s">
        <v>46</v>
      </c>
      <c r="U1249">
        <v>50</v>
      </c>
      <c r="V1249">
        <v>4.2</v>
      </c>
      <c r="W1249" t="s">
        <v>28</v>
      </c>
      <c r="X1249" t="s">
        <v>68</v>
      </c>
    </row>
    <row r="1250" spans="1:24" x14ac:dyDescent="0.3">
      <c r="A1250" t="s">
        <v>2526</v>
      </c>
      <c r="B1250" t="s">
        <v>40</v>
      </c>
      <c r="C1250" t="s">
        <v>41</v>
      </c>
      <c r="D1250" t="str">
        <f t="shared" si="57"/>
        <v>Morning</v>
      </c>
      <c r="E1250">
        <f>HOUR(EV_Data[[#This Row],[Charging Start Time]])</f>
        <v>0</v>
      </c>
      <c r="F1250" s="1">
        <v>44979</v>
      </c>
      <c r="G1250" s="1">
        <v>44979.015972222223</v>
      </c>
      <c r="H1250">
        <v>23</v>
      </c>
      <c r="I1250">
        <v>8.74</v>
      </c>
      <c r="J1250" t="str">
        <f t="shared" si="58"/>
        <v>Low</v>
      </c>
      <c r="K1250" t="s">
        <v>50</v>
      </c>
      <c r="L1250">
        <v>59</v>
      </c>
      <c r="M1250">
        <v>91</v>
      </c>
      <c r="N1250" t="str">
        <f t="shared" si="59"/>
        <v>Low Cost</v>
      </c>
      <c r="O1250">
        <v>4.03</v>
      </c>
      <c r="P1250" t="s">
        <v>43</v>
      </c>
      <c r="Q1250" t="s">
        <v>24</v>
      </c>
      <c r="R1250" t="s">
        <v>44</v>
      </c>
      <c r="S1250" t="s">
        <v>963</v>
      </c>
      <c r="T1250" t="s">
        <v>27</v>
      </c>
      <c r="U1250">
        <v>38</v>
      </c>
      <c r="V1250">
        <v>4.2</v>
      </c>
      <c r="W1250" t="s">
        <v>38</v>
      </c>
    </row>
    <row r="1251" spans="1:24" x14ac:dyDescent="0.3">
      <c r="A1251" t="s">
        <v>2527</v>
      </c>
      <c r="B1251" t="s">
        <v>20</v>
      </c>
      <c r="C1251" t="s">
        <v>21</v>
      </c>
      <c r="D1251" t="str">
        <f t="shared" si="57"/>
        <v>Morning</v>
      </c>
      <c r="E1251">
        <f>HOUR(EV_Data[[#This Row],[Charging Start Time]])</f>
        <v>1</v>
      </c>
      <c r="F1251" s="1">
        <v>44979.041666666664</v>
      </c>
      <c r="G1251" s="1">
        <v>44979.071527777778</v>
      </c>
      <c r="H1251">
        <v>43</v>
      </c>
      <c r="I1251">
        <v>44.38</v>
      </c>
      <c r="J1251" t="str">
        <f t="shared" si="58"/>
        <v>Medium</v>
      </c>
      <c r="K1251" t="s">
        <v>22</v>
      </c>
      <c r="L1251">
        <v>73</v>
      </c>
      <c r="M1251">
        <v>100</v>
      </c>
      <c r="N1251" t="str">
        <f t="shared" si="59"/>
        <v>Medium Cost</v>
      </c>
      <c r="O1251">
        <v>11.85</v>
      </c>
      <c r="P1251" t="s">
        <v>43</v>
      </c>
      <c r="Q1251" t="s">
        <v>34</v>
      </c>
      <c r="R1251" t="s">
        <v>35</v>
      </c>
      <c r="S1251" t="s">
        <v>896</v>
      </c>
      <c r="T1251" t="s">
        <v>60</v>
      </c>
      <c r="U1251">
        <v>91</v>
      </c>
      <c r="V1251">
        <v>3</v>
      </c>
      <c r="W1251" t="s">
        <v>47</v>
      </c>
      <c r="X1251" t="s">
        <v>29</v>
      </c>
    </row>
    <row r="1252" spans="1:24" x14ac:dyDescent="0.3">
      <c r="A1252" t="s">
        <v>2528</v>
      </c>
      <c r="B1252" t="s">
        <v>71</v>
      </c>
      <c r="C1252" t="s">
        <v>72</v>
      </c>
      <c r="D1252" t="str">
        <f t="shared" si="57"/>
        <v>Morning</v>
      </c>
      <c r="E1252">
        <f>HOUR(EV_Data[[#This Row],[Charging Start Time]])</f>
        <v>2</v>
      </c>
      <c r="F1252" s="1">
        <v>44979.083333333336</v>
      </c>
      <c r="G1252" s="1">
        <v>44979.084027777782</v>
      </c>
      <c r="H1252">
        <v>1</v>
      </c>
      <c r="I1252">
        <v>12.81</v>
      </c>
      <c r="J1252" t="str">
        <f t="shared" si="58"/>
        <v>Low</v>
      </c>
      <c r="K1252" t="s">
        <v>69</v>
      </c>
      <c r="L1252">
        <v>61</v>
      </c>
      <c r="M1252">
        <v>100</v>
      </c>
      <c r="N1252" t="str">
        <f t="shared" si="59"/>
        <v>Low Cost</v>
      </c>
      <c r="O1252">
        <v>5.47</v>
      </c>
      <c r="P1252" t="s">
        <v>51</v>
      </c>
      <c r="Q1252" t="s">
        <v>24</v>
      </c>
      <c r="R1252" t="s">
        <v>56</v>
      </c>
      <c r="S1252" t="s">
        <v>130</v>
      </c>
      <c r="T1252" t="s">
        <v>37</v>
      </c>
      <c r="U1252">
        <v>74</v>
      </c>
      <c r="V1252">
        <v>4.3</v>
      </c>
      <c r="W1252" t="s">
        <v>28</v>
      </c>
      <c r="X1252" t="s">
        <v>68</v>
      </c>
    </row>
    <row r="1253" spans="1:24" x14ac:dyDescent="0.3">
      <c r="A1253" t="s">
        <v>2529</v>
      </c>
      <c r="B1253" t="s">
        <v>20</v>
      </c>
      <c r="C1253" t="s">
        <v>21</v>
      </c>
      <c r="D1253" t="str">
        <f t="shared" si="57"/>
        <v>Morning</v>
      </c>
      <c r="E1253">
        <f>HOUR(EV_Data[[#This Row],[Charging Start Time]])</f>
        <v>3</v>
      </c>
      <c r="F1253" s="1">
        <v>44979.125</v>
      </c>
      <c r="G1253" s="1">
        <v>44979.163194444453</v>
      </c>
      <c r="H1253">
        <v>55</v>
      </c>
      <c r="I1253">
        <v>32.9</v>
      </c>
      <c r="J1253" t="str">
        <f t="shared" si="58"/>
        <v>Medium</v>
      </c>
      <c r="K1253" t="s">
        <v>69</v>
      </c>
      <c r="L1253">
        <v>77</v>
      </c>
      <c r="M1253">
        <v>98</v>
      </c>
      <c r="N1253" t="str">
        <f t="shared" si="59"/>
        <v>Medium Cost</v>
      </c>
      <c r="O1253">
        <v>13.62</v>
      </c>
      <c r="P1253" t="s">
        <v>33</v>
      </c>
      <c r="Q1253" t="s">
        <v>24</v>
      </c>
      <c r="R1253" t="s">
        <v>56</v>
      </c>
      <c r="S1253" t="s">
        <v>830</v>
      </c>
      <c r="T1253" t="s">
        <v>37</v>
      </c>
      <c r="U1253">
        <v>79</v>
      </c>
      <c r="V1253">
        <v>3.7</v>
      </c>
      <c r="W1253" t="s">
        <v>28</v>
      </c>
      <c r="X1253" t="s">
        <v>68</v>
      </c>
    </row>
    <row r="1254" spans="1:24" x14ac:dyDescent="0.3">
      <c r="A1254" t="s">
        <v>2530</v>
      </c>
      <c r="B1254" t="s">
        <v>71</v>
      </c>
      <c r="C1254" t="s">
        <v>72</v>
      </c>
      <c r="D1254" t="str">
        <f t="shared" si="57"/>
        <v>Morning</v>
      </c>
      <c r="E1254">
        <f>HOUR(EV_Data[[#This Row],[Charging Start Time]])</f>
        <v>4</v>
      </c>
      <c r="F1254" s="1">
        <v>44979.166666666664</v>
      </c>
      <c r="G1254" s="1">
        <v>44979.223611111112</v>
      </c>
      <c r="H1254">
        <v>82</v>
      </c>
      <c r="I1254">
        <v>28.55</v>
      </c>
      <c r="J1254" t="str">
        <f t="shared" si="58"/>
        <v>Medium</v>
      </c>
      <c r="K1254" t="s">
        <v>69</v>
      </c>
      <c r="L1254">
        <v>28</v>
      </c>
      <c r="M1254">
        <v>51</v>
      </c>
      <c r="N1254" t="str">
        <f t="shared" si="59"/>
        <v>Medium Cost</v>
      </c>
      <c r="O1254">
        <v>9.5399999999999991</v>
      </c>
      <c r="P1254" t="s">
        <v>51</v>
      </c>
      <c r="Q1254" t="s">
        <v>58</v>
      </c>
      <c r="R1254" t="s">
        <v>35</v>
      </c>
      <c r="S1254" t="s">
        <v>964</v>
      </c>
      <c r="T1254" t="s">
        <v>27</v>
      </c>
      <c r="U1254">
        <v>24</v>
      </c>
      <c r="V1254">
        <v>5</v>
      </c>
      <c r="W1254" t="s">
        <v>28</v>
      </c>
      <c r="X1254" t="s">
        <v>68</v>
      </c>
    </row>
    <row r="1255" spans="1:24" x14ac:dyDescent="0.3">
      <c r="A1255" t="s">
        <v>2531</v>
      </c>
      <c r="B1255" t="s">
        <v>20</v>
      </c>
      <c r="C1255" t="s">
        <v>21</v>
      </c>
      <c r="D1255" t="str">
        <f t="shared" si="57"/>
        <v>Morning</v>
      </c>
      <c r="E1255">
        <f>HOUR(EV_Data[[#This Row],[Charging Start Time]])</f>
        <v>5</v>
      </c>
      <c r="F1255" s="1">
        <v>44979.208333333336</v>
      </c>
      <c r="G1255" s="1">
        <v>44979.281944444447</v>
      </c>
      <c r="H1255">
        <v>106</v>
      </c>
      <c r="I1255">
        <v>42.6</v>
      </c>
      <c r="J1255" t="str">
        <f t="shared" si="58"/>
        <v>Medium</v>
      </c>
      <c r="K1255" t="s">
        <v>42</v>
      </c>
      <c r="L1255">
        <v>73</v>
      </c>
      <c r="M1255">
        <v>100</v>
      </c>
      <c r="N1255" t="str">
        <f t="shared" si="59"/>
        <v>Medium Cost</v>
      </c>
      <c r="O1255">
        <v>10.9</v>
      </c>
      <c r="P1255" t="s">
        <v>23</v>
      </c>
      <c r="Q1255" t="s">
        <v>58</v>
      </c>
      <c r="R1255" t="s">
        <v>35</v>
      </c>
      <c r="S1255" t="s">
        <v>231</v>
      </c>
      <c r="T1255" t="s">
        <v>60</v>
      </c>
      <c r="U1255">
        <v>82</v>
      </c>
      <c r="V1255">
        <v>2.5</v>
      </c>
      <c r="W1255" t="s">
        <v>28</v>
      </c>
      <c r="X1255" t="s">
        <v>68</v>
      </c>
    </row>
    <row r="1256" spans="1:24" x14ac:dyDescent="0.3">
      <c r="A1256" t="s">
        <v>2532</v>
      </c>
      <c r="B1256" t="s">
        <v>30</v>
      </c>
      <c r="C1256" t="s">
        <v>102</v>
      </c>
      <c r="D1256" t="str">
        <f t="shared" si="57"/>
        <v>Morning</v>
      </c>
      <c r="E1256">
        <f>HOUR(EV_Data[[#This Row],[Charging Start Time]])</f>
        <v>6</v>
      </c>
      <c r="F1256" s="1">
        <v>44979.25</v>
      </c>
      <c r="G1256" s="1">
        <v>44979.250694444447</v>
      </c>
      <c r="H1256">
        <v>1</v>
      </c>
      <c r="I1256">
        <v>17.489999999999998</v>
      </c>
      <c r="J1256" t="str">
        <f t="shared" si="58"/>
        <v>Low</v>
      </c>
      <c r="K1256" t="s">
        <v>50</v>
      </c>
      <c r="L1256">
        <v>56</v>
      </c>
      <c r="M1256">
        <v>91</v>
      </c>
      <c r="N1256" t="str">
        <f t="shared" si="59"/>
        <v>Low Cost</v>
      </c>
      <c r="O1256">
        <v>6.18</v>
      </c>
      <c r="P1256" t="s">
        <v>23</v>
      </c>
      <c r="Q1256" t="s">
        <v>24</v>
      </c>
      <c r="R1256" t="s">
        <v>35</v>
      </c>
      <c r="S1256" t="s">
        <v>965</v>
      </c>
      <c r="T1256" t="s">
        <v>37</v>
      </c>
      <c r="U1256">
        <v>68</v>
      </c>
      <c r="V1256">
        <v>1.9</v>
      </c>
      <c r="W1256" t="s">
        <v>28</v>
      </c>
      <c r="X1256" t="s">
        <v>68</v>
      </c>
    </row>
    <row r="1257" spans="1:24" x14ac:dyDescent="0.3">
      <c r="A1257" t="s">
        <v>2533</v>
      </c>
      <c r="B1257" t="s">
        <v>77</v>
      </c>
      <c r="C1257" t="s">
        <v>78</v>
      </c>
      <c r="D1257" t="str">
        <f t="shared" si="57"/>
        <v>Morning</v>
      </c>
      <c r="E1257">
        <f>HOUR(EV_Data[[#This Row],[Charging Start Time]])</f>
        <v>7</v>
      </c>
      <c r="F1257" s="1">
        <v>44979.291666666664</v>
      </c>
      <c r="G1257" s="1">
        <v>44979.292361111111</v>
      </c>
      <c r="H1257">
        <v>1</v>
      </c>
      <c r="I1257">
        <v>23.69</v>
      </c>
      <c r="J1257" t="str">
        <f t="shared" si="58"/>
        <v>Medium</v>
      </c>
      <c r="K1257" t="s">
        <v>42</v>
      </c>
      <c r="L1257">
        <v>18</v>
      </c>
      <c r="M1257">
        <v>46</v>
      </c>
      <c r="N1257" t="str">
        <f t="shared" si="59"/>
        <v>Medium Cost</v>
      </c>
      <c r="O1257">
        <v>9.01</v>
      </c>
      <c r="P1257" t="s">
        <v>23</v>
      </c>
      <c r="Q1257" t="s">
        <v>58</v>
      </c>
      <c r="R1257" t="s">
        <v>56</v>
      </c>
      <c r="S1257" t="s">
        <v>966</v>
      </c>
      <c r="T1257" t="s">
        <v>46</v>
      </c>
      <c r="U1257">
        <v>28</v>
      </c>
      <c r="V1257">
        <v>1.4</v>
      </c>
      <c r="W1257" t="s">
        <v>28</v>
      </c>
      <c r="X1257" t="s">
        <v>68</v>
      </c>
    </row>
    <row r="1258" spans="1:24" x14ac:dyDescent="0.3">
      <c r="A1258" t="s">
        <v>2534</v>
      </c>
      <c r="B1258" t="s">
        <v>77</v>
      </c>
      <c r="C1258" t="s">
        <v>78</v>
      </c>
      <c r="D1258" t="str">
        <f t="shared" si="57"/>
        <v>Morning</v>
      </c>
      <c r="E1258">
        <f>HOUR(EV_Data[[#This Row],[Charging Start Time]])</f>
        <v>8</v>
      </c>
      <c r="F1258" s="1">
        <v>44979.333333333336</v>
      </c>
      <c r="G1258" s="1">
        <v>44979.380555555559</v>
      </c>
      <c r="H1258">
        <v>68</v>
      </c>
      <c r="I1258">
        <v>7.05</v>
      </c>
      <c r="J1258" t="str">
        <f t="shared" si="58"/>
        <v>Low</v>
      </c>
      <c r="K1258" t="s">
        <v>32</v>
      </c>
      <c r="L1258">
        <v>9</v>
      </c>
      <c r="M1258">
        <v>39</v>
      </c>
      <c r="N1258" t="str">
        <f t="shared" si="59"/>
        <v>Low Cost</v>
      </c>
      <c r="O1258">
        <v>3.46</v>
      </c>
      <c r="P1258" t="s">
        <v>51</v>
      </c>
      <c r="Q1258" t="s">
        <v>58</v>
      </c>
      <c r="R1258" t="s">
        <v>56</v>
      </c>
      <c r="S1258" t="s">
        <v>368</v>
      </c>
      <c r="T1258" t="s">
        <v>37</v>
      </c>
      <c r="U1258">
        <v>16</v>
      </c>
      <c r="V1258">
        <v>2.6</v>
      </c>
      <c r="W1258" t="s">
        <v>38</v>
      </c>
    </row>
    <row r="1259" spans="1:24" x14ac:dyDescent="0.3">
      <c r="A1259" t="s">
        <v>2535</v>
      </c>
      <c r="B1259" t="s">
        <v>20</v>
      </c>
      <c r="C1259" t="s">
        <v>21</v>
      </c>
      <c r="D1259" t="str">
        <f t="shared" si="57"/>
        <v>Morning</v>
      </c>
      <c r="E1259">
        <f>HOUR(EV_Data[[#This Row],[Charging Start Time]])</f>
        <v>9</v>
      </c>
      <c r="F1259" s="1">
        <v>44979.375</v>
      </c>
      <c r="G1259" s="1">
        <v>44979.407638888893</v>
      </c>
      <c r="H1259">
        <v>47</v>
      </c>
      <c r="I1259">
        <v>36.96</v>
      </c>
      <c r="J1259" t="str">
        <f t="shared" si="58"/>
        <v>Medium</v>
      </c>
      <c r="K1259" t="s">
        <v>50</v>
      </c>
      <c r="L1259">
        <v>42</v>
      </c>
      <c r="M1259">
        <v>73</v>
      </c>
      <c r="N1259" t="str">
        <f t="shared" si="59"/>
        <v>High Cost</v>
      </c>
      <c r="O1259">
        <v>18.2</v>
      </c>
      <c r="P1259" t="s">
        <v>64</v>
      </c>
      <c r="Q1259" t="s">
        <v>48</v>
      </c>
      <c r="R1259" t="s">
        <v>56</v>
      </c>
      <c r="S1259" t="s">
        <v>821</v>
      </c>
      <c r="T1259" t="s">
        <v>27</v>
      </c>
      <c r="U1259">
        <v>62</v>
      </c>
      <c r="V1259">
        <v>1.2</v>
      </c>
      <c r="W1259" t="s">
        <v>28</v>
      </c>
      <c r="X1259" t="s">
        <v>68</v>
      </c>
    </row>
    <row r="1260" spans="1:24" x14ac:dyDescent="0.3">
      <c r="A1260" t="s">
        <v>2536</v>
      </c>
      <c r="B1260" t="s">
        <v>126</v>
      </c>
      <c r="C1260" t="s">
        <v>31</v>
      </c>
      <c r="D1260" t="str">
        <f t="shared" si="57"/>
        <v>Morning</v>
      </c>
      <c r="E1260">
        <f>HOUR(EV_Data[[#This Row],[Charging Start Time]])</f>
        <v>10</v>
      </c>
      <c r="F1260" s="1">
        <v>44979.416666666664</v>
      </c>
      <c r="G1260" s="1">
        <v>44979.4375</v>
      </c>
      <c r="H1260">
        <v>30</v>
      </c>
      <c r="I1260">
        <v>23.44</v>
      </c>
      <c r="J1260" t="str">
        <f t="shared" si="58"/>
        <v>Medium</v>
      </c>
      <c r="K1260" t="s">
        <v>69</v>
      </c>
      <c r="L1260">
        <v>17</v>
      </c>
      <c r="M1260">
        <v>44</v>
      </c>
      <c r="N1260" t="str">
        <f t="shared" si="59"/>
        <v>Low Cost</v>
      </c>
      <c r="O1260">
        <v>6.91</v>
      </c>
      <c r="P1260" t="s">
        <v>33</v>
      </c>
      <c r="Q1260" t="s">
        <v>34</v>
      </c>
      <c r="R1260" t="s">
        <v>25</v>
      </c>
      <c r="S1260" t="s">
        <v>967</v>
      </c>
      <c r="T1260" t="s">
        <v>46</v>
      </c>
      <c r="U1260">
        <v>3</v>
      </c>
      <c r="V1260">
        <v>1.2</v>
      </c>
      <c r="W1260" t="s">
        <v>47</v>
      </c>
      <c r="X1260" t="s">
        <v>29</v>
      </c>
    </row>
    <row r="1261" spans="1:24" x14ac:dyDescent="0.3">
      <c r="A1261" t="s">
        <v>2537</v>
      </c>
      <c r="B1261" t="s">
        <v>53</v>
      </c>
      <c r="C1261" t="s">
        <v>54</v>
      </c>
      <c r="D1261" t="str">
        <f t="shared" si="57"/>
        <v>Morning</v>
      </c>
      <c r="E1261">
        <f>HOUR(EV_Data[[#This Row],[Charging Start Time]])</f>
        <v>11</v>
      </c>
      <c r="F1261" s="1">
        <v>44979.458333333336</v>
      </c>
      <c r="G1261" s="1">
        <v>44979.493750000001</v>
      </c>
      <c r="H1261">
        <v>51</v>
      </c>
      <c r="I1261">
        <v>17.46</v>
      </c>
      <c r="J1261" t="str">
        <f t="shared" si="58"/>
        <v>Low</v>
      </c>
      <c r="K1261" t="s">
        <v>32</v>
      </c>
      <c r="L1261">
        <v>5</v>
      </c>
      <c r="M1261">
        <v>36</v>
      </c>
      <c r="N1261" t="str">
        <f t="shared" si="59"/>
        <v>Low Cost</v>
      </c>
      <c r="O1261">
        <v>4.1399999999999997</v>
      </c>
      <c r="P1261" t="s">
        <v>33</v>
      </c>
      <c r="Q1261" t="s">
        <v>24</v>
      </c>
      <c r="R1261" t="s">
        <v>35</v>
      </c>
      <c r="S1261" t="s">
        <v>968</v>
      </c>
      <c r="T1261" t="s">
        <v>46</v>
      </c>
      <c r="U1261">
        <v>39</v>
      </c>
      <c r="V1261">
        <v>3</v>
      </c>
      <c r="W1261" t="s">
        <v>47</v>
      </c>
      <c r="X1261" t="s">
        <v>29</v>
      </c>
    </row>
    <row r="1262" spans="1:24" x14ac:dyDescent="0.3">
      <c r="A1262" t="s">
        <v>2538</v>
      </c>
      <c r="B1262" t="s">
        <v>20</v>
      </c>
      <c r="C1262" t="s">
        <v>21</v>
      </c>
      <c r="D1262" t="str">
        <f t="shared" si="57"/>
        <v>Afternoon</v>
      </c>
      <c r="E1262">
        <f>HOUR(EV_Data[[#This Row],[Charging Start Time]])</f>
        <v>12</v>
      </c>
      <c r="F1262" s="1">
        <v>44979.5</v>
      </c>
      <c r="G1262" s="1">
        <v>44979.500694444447</v>
      </c>
      <c r="H1262">
        <v>1</v>
      </c>
      <c r="I1262">
        <v>18.95</v>
      </c>
      <c r="J1262" t="str">
        <f t="shared" si="58"/>
        <v>Low</v>
      </c>
      <c r="K1262" t="s">
        <v>55</v>
      </c>
      <c r="L1262">
        <v>76</v>
      </c>
      <c r="M1262">
        <v>94</v>
      </c>
      <c r="N1262" t="str">
        <f t="shared" si="59"/>
        <v>Low Cost</v>
      </c>
      <c r="O1262">
        <v>4.66</v>
      </c>
      <c r="P1262" t="s">
        <v>43</v>
      </c>
      <c r="Q1262" t="s">
        <v>58</v>
      </c>
      <c r="R1262" t="s">
        <v>25</v>
      </c>
      <c r="S1262" t="s">
        <v>897</v>
      </c>
      <c r="T1262" t="s">
        <v>27</v>
      </c>
      <c r="U1262">
        <v>22</v>
      </c>
      <c r="V1262">
        <v>4.8</v>
      </c>
      <c r="W1262" t="s">
        <v>28</v>
      </c>
      <c r="X1262" t="s">
        <v>68</v>
      </c>
    </row>
    <row r="1263" spans="1:24" x14ac:dyDescent="0.3">
      <c r="A1263" t="s">
        <v>2539</v>
      </c>
      <c r="B1263" t="s">
        <v>20</v>
      </c>
      <c r="C1263" t="s">
        <v>21</v>
      </c>
      <c r="D1263" t="str">
        <f t="shared" si="57"/>
        <v>Afternoon</v>
      </c>
      <c r="E1263">
        <f>HOUR(EV_Data[[#This Row],[Charging Start Time]])</f>
        <v>13</v>
      </c>
      <c r="F1263" s="1">
        <v>44979.541666666664</v>
      </c>
      <c r="G1263" s="1">
        <v>44979.57708333333</v>
      </c>
      <c r="H1263">
        <v>51</v>
      </c>
      <c r="I1263">
        <v>45.21</v>
      </c>
      <c r="J1263" t="str">
        <f t="shared" si="58"/>
        <v>Medium</v>
      </c>
      <c r="K1263" t="s">
        <v>42</v>
      </c>
      <c r="L1263">
        <v>77</v>
      </c>
      <c r="M1263">
        <v>100</v>
      </c>
      <c r="N1263" t="str">
        <f t="shared" si="59"/>
        <v>High Cost</v>
      </c>
      <c r="O1263">
        <v>18.690000000000001</v>
      </c>
      <c r="P1263" t="s">
        <v>43</v>
      </c>
      <c r="Q1263" t="s">
        <v>48</v>
      </c>
      <c r="R1263" t="s">
        <v>25</v>
      </c>
      <c r="S1263" t="s">
        <v>969</v>
      </c>
      <c r="T1263" t="s">
        <v>60</v>
      </c>
      <c r="U1263">
        <v>43</v>
      </c>
      <c r="V1263">
        <v>2.6</v>
      </c>
      <c r="W1263" t="s">
        <v>38</v>
      </c>
    </row>
    <row r="1264" spans="1:24" x14ac:dyDescent="0.3">
      <c r="A1264" t="s">
        <v>2540</v>
      </c>
      <c r="B1264" t="s">
        <v>30</v>
      </c>
      <c r="C1264" t="s">
        <v>102</v>
      </c>
      <c r="D1264" t="str">
        <f t="shared" si="57"/>
        <v>Afternoon</v>
      </c>
      <c r="E1264">
        <f>HOUR(EV_Data[[#This Row],[Charging Start Time]])</f>
        <v>14</v>
      </c>
      <c r="F1264" s="1">
        <v>44979.583333333336</v>
      </c>
      <c r="G1264" s="1">
        <v>44979.618750000001</v>
      </c>
      <c r="H1264">
        <v>51</v>
      </c>
      <c r="I1264">
        <v>8.76</v>
      </c>
      <c r="J1264" t="str">
        <f t="shared" si="58"/>
        <v>Low</v>
      </c>
      <c r="K1264" t="s">
        <v>32</v>
      </c>
      <c r="L1264">
        <v>75</v>
      </c>
      <c r="M1264">
        <v>100</v>
      </c>
      <c r="N1264" t="str">
        <f t="shared" si="59"/>
        <v>Low Cost</v>
      </c>
      <c r="O1264">
        <v>3.76</v>
      </c>
      <c r="P1264" t="s">
        <v>51</v>
      </c>
      <c r="Q1264" t="s">
        <v>58</v>
      </c>
      <c r="R1264" t="s">
        <v>35</v>
      </c>
      <c r="S1264" t="s">
        <v>131</v>
      </c>
      <c r="T1264" t="s">
        <v>27</v>
      </c>
      <c r="U1264">
        <v>33</v>
      </c>
      <c r="V1264">
        <v>3.3</v>
      </c>
      <c r="W1264" t="s">
        <v>38</v>
      </c>
    </row>
    <row r="1265" spans="1:24" x14ac:dyDescent="0.3">
      <c r="A1265" t="s">
        <v>2541</v>
      </c>
      <c r="B1265" t="s">
        <v>92</v>
      </c>
      <c r="C1265" t="s">
        <v>93</v>
      </c>
      <c r="D1265" t="str">
        <f t="shared" si="57"/>
        <v>Afternoon</v>
      </c>
      <c r="E1265">
        <f>HOUR(EV_Data[[#This Row],[Charging Start Time]])</f>
        <v>15</v>
      </c>
      <c r="F1265" s="1">
        <v>44979.625</v>
      </c>
      <c r="G1265" s="1">
        <v>44979.642361111109</v>
      </c>
      <c r="H1265">
        <v>25</v>
      </c>
      <c r="I1265">
        <v>33.31</v>
      </c>
      <c r="J1265" t="str">
        <f t="shared" si="58"/>
        <v>Medium</v>
      </c>
      <c r="K1265" t="s">
        <v>69</v>
      </c>
      <c r="L1265">
        <v>43</v>
      </c>
      <c r="M1265">
        <v>81</v>
      </c>
      <c r="N1265" t="str">
        <f t="shared" si="59"/>
        <v>Medium Cost</v>
      </c>
      <c r="O1265">
        <v>13.08</v>
      </c>
      <c r="P1265" t="s">
        <v>64</v>
      </c>
      <c r="Q1265" t="s">
        <v>58</v>
      </c>
      <c r="R1265" t="s">
        <v>56</v>
      </c>
      <c r="S1265" t="s">
        <v>719</v>
      </c>
      <c r="T1265" t="s">
        <v>27</v>
      </c>
      <c r="U1265">
        <v>85</v>
      </c>
      <c r="V1265">
        <v>3.2</v>
      </c>
      <c r="W1265" t="s">
        <v>38</v>
      </c>
      <c r="X1265" t="s">
        <v>85</v>
      </c>
    </row>
    <row r="1266" spans="1:24" x14ac:dyDescent="0.3">
      <c r="A1266" t="s">
        <v>2542</v>
      </c>
      <c r="B1266" t="s">
        <v>126</v>
      </c>
      <c r="C1266" t="s">
        <v>31</v>
      </c>
      <c r="D1266" t="str">
        <f t="shared" si="57"/>
        <v>Afternoon</v>
      </c>
      <c r="E1266">
        <f>HOUR(EV_Data[[#This Row],[Charging Start Time]])</f>
        <v>16</v>
      </c>
      <c r="F1266" s="1">
        <v>44979.666666666664</v>
      </c>
      <c r="G1266" s="1">
        <v>44979.699305555558</v>
      </c>
      <c r="H1266">
        <v>47</v>
      </c>
      <c r="I1266">
        <v>46.83</v>
      </c>
      <c r="J1266" t="str">
        <f t="shared" si="58"/>
        <v>Medium</v>
      </c>
      <c r="K1266" t="s">
        <v>32</v>
      </c>
      <c r="L1266">
        <v>33</v>
      </c>
      <c r="M1266">
        <v>64</v>
      </c>
      <c r="N1266" t="str">
        <f t="shared" si="59"/>
        <v>High Cost</v>
      </c>
      <c r="O1266">
        <v>18.22</v>
      </c>
      <c r="P1266" t="s">
        <v>33</v>
      </c>
      <c r="Q1266" t="s">
        <v>58</v>
      </c>
      <c r="R1266" t="s">
        <v>56</v>
      </c>
      <c r="S1266" t="s">
        <v>757</v>
      </c>
      <c r="T1266" t="s">
        <v>46</v>
      </c>
      <c r="U1266">
        <v>32</v>
      </c>
      <c r="V1266">
        <v>1.6</v>
      </c>
      <c r="W1266" t="s">
        <v>28</v>
      </c>
      <c r="X1266" t="s">
        <v>68</v>
      </c>
    </row>
    <row r="1267" spans="1:24" x14ac:dyDescent="0.3">
      <c r="A1267" t="s">
        <v>2543</v>
      </c>
      <c r="B1267" t="s">
        <v>30</v>
      </c>
      <c r="C1267" t="s">
        <v>102</v>
      </c>
      <c r="D1267" t="str">
        <f t="shared" si="57"/>
        <v>Evening</v>
      </c>
      <c r="E1267">
        <f>HOUR(EV_Data[[#This Row],[Charging Start Time]])</f>
        <v>17</v>
      </c>
      <c r="F1267" s="1">
        <v>44979.708333333336</v>
      </c>
      <c r="G1267" s="1">
        <v>44979.74722222222</v>
      </c>
      <c r="H1267">
        <v>56</v>
      </c>
      <c r="I1267">
        <v>26.53</v>
      </c>
      <c r="J1267" t="str">
        <f t="shared" si="58"/>
        <v>Medium</v>
      </c>
      <c r="K1267" t="s">
        <v>50</v>
      </c>
      <c r="L1267">
        <v>28</v>
      </c>
      <c r="M1267">
        <v>58</v>
      </c>
      <c r="N1267" t="str">
        <f t="shared" si="59"/>
        <v>Medium Cost</v>
      </c>
      <c r="O1267">
        <v>12.45</v>
      </c>
      <c r="P1267" t="s">
        <v>43</v>
      </c>
      <c r="Q1267" t="s">
        <v>34</v>
      </c>
      <c r="R1267" t="s">
        <v>35</v>
      </c>
      <c r="S1267" t="s">
        <v>970</v>
      </c>
      <c r="T1267" t="s">
        <v>37</v>
      </c>
      <c r="U1267">
        <v>61</v>
      </c>
      <c r="V1267">
        <v>4.7</v>
      </c>
      <c r="W1267" t="s">
        <v>38</v>
      </c>
      <c r="X1267" t="s">
        <v>62</v>
      </c>
    </row>
    <row r="1268" spans="1:24" x14ac:dyDescent="0.3">
      <c r="A1268" t="s">
        <v>2544</v>
      </c>
      <c r="B1268" t="s">
        <v>126</v>
      </c>
      <c r="C1268" t="s">
        <v>31</v>
      </c>
      <c r="D1268" t="str">
        <f t="shared" si="57"/>
        <v>Evening</v>
      </c>
      <c r="E1268">
        <f>HOUR(EV_Data[[#This Row],[Charging Start Time]])</f>
        <v>18</v>
      </c>
      <c r="F1268" s="1">
        <v>44979.75</v>
      </c>
      <c r="G1268" s="1">
        <v>44979.809027777781</v>
      </c>
      <c r="H1268">
        <v>85</v>
      </c>
      <c r="I1268">
        <v>22.25</v>
      </c>
      <c r="J1268" t="str">
        <f t="shared" si="58"/>
        <v>Medium</v>
      </c>
      <c r="K1268" t="s">
        <v>42</v>
      </c>
      <c r="L1268">
        <v>17</v>
      </c>
      <c r="M1268">
        <v>28</v>
      </c>
      <c r="N1268" t="str">
        <f t="shared" si="59"/>
        <v>Low Cost</v>
      </c>
      <c r="O1268">
        <v>6.36</v>
      </c>
      <c r="P1268" t="s">
        <v>43</v>
      </c>
      <c r="Q1268" t="s">
        <v>58</v>
      </c>
      <c r="R1268" t="s">
        <v>56</v>
      </c>
      <c r="S1268" t="s">
        <v>971</v>
      </c>
      <c r="T1268" t="s">
        <v>27</v>
      </c>
      <c r="U1268">
        <v>0</v>
      </c>
      <c r="V1268">
        <v>1.1000000000000001</v>
      </c>
      <c r="W1268" t="s">
        <v>38</v>
      </c>
      <c r="X1268" t="s">
        <v>39</v>
      </c>
    </row>
    <row r="1269" spans="1:24" x14ac:dyDescent="0.3">
      <c r="A1269" t="s">
        <v>2545</v>
      </c>
      <c r="B1269" t="s">
        <v>77</v>
      </c>
      <c r="C1269" t="s">
        <v>78</v>
      </c>
      <c r="D1269" t="str">
        <f t="shared" si="57"/>
        <v>Evening</v>
      </c>
      <c r="E1269">
        <f>HOUR(EV_Data[[#This Row],[Charging Start Time]])</f>
        <v>19</v>
      </c>
      <c r="F1269" s="1">
        <v>44979.791666666664</v>
      </c>
      <c r="G1269" s="1">
        <v>44979.875694444447</v>
      </c>
      <c r="H1269">
        <v>121</v>
      </c>
      <c r="I1269">
        <v>39.71</v>
      </c>
      <c r="J1269" t="str">
        <f t="shared" si="58"/>
        <v>Medium</v>
      </c>
      <c r="K1269" t="s">
        <v>69</v>
      </c>
      <c r="L1269">
        <v>63</v>
      </c>
      <c r="M1269">
        <v>86</v>
      </c>
      <c r="N1269" t="str">
        <f t="shared" si="59"/>
        <v>Medium Cost</v>
      </c>
      <c r="O1269">
        <v>9.86</v>
      </c>
      <c r="P1269" t="s">
        <v>33</v>
      </c>
      <c r="Q1269" t="s">
        <v>48</v>
      </c>
      <c r="R1269" t="s">
        <v>44</v>
      </c>
      <c r="S1269" t="s">
        <v>404</v>
      </c>
      <c r="T1269" t="s">
        <v>60</v>
      </c>
      <c r="U1269">
        <v>84</v>
      </c>
      <c r="V1269">
        <v>2.6</v>
      </c>
      <c r="W1269" t="s">
        <v>38</v>
      </c>
      <c r="X1269" t="s">
        <v>85</v>
      </c>
    </row>
    <row r="1270" spans="1:24" x14ac:dyDescent="0.3">
      <c r="A1270" t="s">
        <v>2546</v>
      </c>
      <c r="B1270" t="s">
        <v>126</v>
      </c>
      <c r="C1270" t="s">
        <v>31</v>
      </c>
      <c r="D1270" t="str">
        <f t="shared" si="57"/>
        <v>Evening</v>
      </c>
      <c r="E1270">
        <f>HOUR(EV_Data[[#This Row],[Charging Start Time]])</f>
        <v>20</v>
      </c>
      <c r="F1270" s="1">
        <v>44979.833333333336</v>
      </c>
      <c r="G1270" s="1">
        <v>44979.875</v>
      </c>
      <c r="H1270">
        <v>60</v>
      </c>
      <c r="I1270">
        <v>40.19</v>
      </c>
      <c r="J1270" t="str">
        <f t="shared" si="58"/>
        <v>Medium</v>
      </c>
      <c r="K1270" t="s">
        <v>22</v>
      </c>
      <c r="L1270">
        <v>5</v>
      </c>
      <c r="M1270">
        <v>34</v>
      </c>
      <c r="N1270" t="str">
        <f t="shared" si="59"/>
        <v>High Cost</v>
      </c>
      <c r="O1270">
        <v>19.87</v>
      </c>
      <c r="P1270" t="s">
        <v>64</v>
      </c>
      <c r="Q1270" t="s">
        <v>34</v>
      </c>
      <c r="R1270" t="s">
        <v>44</v>
      </c>
      <c r="S1270" t="s">
        <v>513</v>
      </c>
      <c r="T1270" t="s">
        <v>37</v>
      </c>
      <c r="U1270">
        <v>68</v>
      </c>
      <c r="V1270">
        <v>4.4000000000000004</v>
      </c>
      <c r="W1270" t="s">
        <v>28</v>
      </c>
      <c r="X1270" t="s">
        <v>68</v>
      </c>
    </row>
    <row r="1271" spans="1:24" x14ac:dyDescent="0.3">
      <c r="A1271" t="s">
        <v>2547</v>
      </c>
      <c r="B1271" t="s">
        <v>77</v>
      </c>
      <c r="C1271" t="s">
        <v>78</v>
      </c>
      <c r="D1271" t="str">
        <f t="shared" si="57"/>
        <v>Evening</v>
      </c>
      <c r="E1271">
        <f>HOUR(EV_Data[[#This Row],[Charging Start Time]])</f>
        <v>21</v>
      </c>
      <c r="F1271" s="1">
        <v>44979.875</v>
      </c>
      <c r="G1271" s="1">
        <v>44979.924305555563</v>
      </c>
      <c r="H1271">
        <v>71</v>
      </c>
      <c r="I1271">
        <v>46.81</v>
      </c>
      <c r="J1271" t="str">
        <f t="shared" si="58"/>
        <v>Medium</v>
      </c>
      <c r="K1271" t="s">
        <v>69</v>
      </c>
      <c r="L1271">
        <v>11</v>
      </c>
      <c r="M1271">
        <v>41</v>
      </c>
      <c r="N1271" t="str">
        <f t="shared" si="59"/>
        <v>High Cost</v>
      </c>
      <c r="O1271">
        <v>19.75</v>
      </c>
      <c r="P1271" t="s">
        <v>23</v>
      </c>
      <c r="Q1271" t="s">
        <v>48</v>
      </c>
      <c r="R1271" t="s">
        <v>25</v>
      </c>
      <c r="S1271" t="s">
        <v>972</v>
      </c>
      <c r="T1271" t="s">
        <v>37</v>
      </c>
      <c r="U1271">
        <v>78</v>
      </c>
      <c r="V1271">
        <v>1.3</v>
      </c>
      <c r="W1271" t="s">
        <v>38</v>
      </c>
    </row>
    <row r="1272" spans="1:24" x14ac:dyDescent="0.3">
      <c r="A1272" t="s">
        <v>2548</v>
      </c>
      <c r="B1272" t="s">
        <v>71</v>
      </c>
      <c r="C1272" t="s">
        <v>72</v>
      </c>
      <c r="D1272" t="str">
        <f t="shared" si="57"/>
        <v>Evening</v>
      </c>
      <c r="E1272">
        <f>HOUR(EV_Data[[#This Row],[Charging Start Time]])</f>
        <v>22</v>
      </c>
      <c r="F1272" s="1">
        <v>44979.916666666664</v>
      </c>
      <c r="G1272" s="1">
        <v>44979.936111111107</v>
      </c>
      <c r="H1272">
        <v>28</v>
      </c>
      <c r="I1272">
        <v>37.729999999999997</v>
      </c>
      <c r="J1272" t="str">
        <f t="shared" si="58"/>
        <v>Medium</v>
      </c>
      <c r="K1272" t="s">
        <v>22</v>
      </c>
      <c r="L1272">
        <v>62</v>
      </c>
      <c r="M1272">
        <v>100</v>
      </c>
      <c r="N1272" t="str">
        <f t="shared" si="59"/>
        <v>Medium Cost</v>
      </c>
      <c r="O1272">
        <v>16.13</v>
      </c>
      <c r="P1272" t="s">
        <v>33</v>
      </c>
      <c r="Q1272" t="s">
        <v>48</v>
      </c>
      <c r="R1272" t="s">
        <v>44</v>
      </c>
      <c r="S1272" t="s">
        <v>973</v>
      </c>
      <c r="T1272" t="s">
        <v>37</v>
      </c>
      <c r="U1272">
        <v>40</v>
      </c>
      <c r="V1272">
        <v>4.2</v>
      </c>
      <c r="W1272" t="s">
        <v>28</v>
      </c>
      <c r="X1272" t="s">
        <v>68</v>
      </c>
    </row>
    <row r="1273" spans="1:24" x14ac:dyDescent="0.3">
      <c r="A1273" t="s">
        <v>2549</v>
      </c>
      <c r="B1273" t="s">
        <v>20</v>
      </c>
      <c r="C1273" t="s">
        <v>21</v>
      </c>
      <c r="D1273" t="str">
        <f t="shared" si="57"/>
        <v>Evening</v>
      </c>
      <c r="E1273">
        <f>HOUR(EV_Data[[#This Row],[Charging Start Time]])</f>
        <v>23</v>
      </c>
      <c r="F1273" s="1">
        <v>44979.958333333336</v>
      </c>
      <c r="G1273" s="1">
        <v>44979.997916666667</v>
      </c>
      <c r="H1273">
        <v>57</v>
      </c>
      <c r="I1273">
        <v>37.130000000000003</v>
      </c>
      <c r="J1273" t="str">
        <f t="shared" si="58"/>
        <v>Medium</v>
      </c>
      <c r="K1273" t="s">
        <v>42</v>
      </c>
      <c r="L1273">
        <v>14</v>
      </c>
      <c r="M1273">
        <v>24</v>
      </c>
      <c r="N1273" t="str">
        <f t="shared" si="59"/>
        <v>High Cost</v>
      </c>
      <c r="O1273">
        <v>18.420000000000002</v>
      </c>
      <c r="P1273" t="s">
        <v>51</v>
      </c>
      <c r="Q1273" t="s">
        <v>48</v>
      </c>
      <c r="R1273" t="s">
        <v>25</v>
      </c>
      <c r="S1273" t="s">
        <v>974</v>
      </c>
      <c r="T1273" t="s">
        <v>27</v>
      </c>
      <c r="U1273">
        <v>84</v>
      </c>
      <c r="V1273">
        <v>4.3</v>
      </c>
      <c r="W1273" t="s">
        <v>47</v>
      </c>
      <c r="X1273" t="s">
        <v>29</v>
      </c>
    </row>
    <row r="1274" spans="1:24" x14ac:dyDescent="0.3">
      <c r="A1274" t="s">
        <v>2550</v>
      </c>
      <c r="B1274" t="s">
        <v>30</v>
      </c>
      <c r="C1274" t="s">
        <v>102</v>
      </c>
      <c r="D1274" t="str">
        <f t="shared" si="57"/>
        <v>Morning</v>
      </c>
      <c r="E1274">
        <f>HOUR(EV_Data[[#This Row],[Charging Start Time]])</f>
        <v>0</v>
      </c>
      <c r="F1274" s="1">
        <v>44980</v>
      </c>
      <c r="G1274" s="1">
        <v>44980.056250000001</v>
      </c>
      <c r="H1274">
        <v>81</v>
      </c>
      <c r="I1274">
        <v>34.36</v>
      </c>
      <c r="J1274" t="str">
        <f t="shared" si="58"/>
        <v>Medium</v>
      </c>
      <c r="K1274" t="s">
        <v>69</v>
      </c>
      <c r="L1274">
        <v>58</v>
      </c>
      <c r="M1274">
        <v>94</v>
      </c>
      <c r="N1274" t="str">
        <f t="shared" si="59"/>
        <v>Medium Cost</v>
      </c>
      <c r="O1274">
        <v>12.01</v>
      </c>
      <c r="P1274" t="s">
        <v>43</v>
      </c>
      <c r="Q1274" t="s">
        <v>34</v>
      </c>
      <c r="R1274" t="s">
        <v>25</v>
      </c>
      <c r="S1274" t="s">
        <v>688</v>
      </c>
      <c r="T1274" t="s">
        <v>27</v>
      </c>
      <c r="U1274">
        <v>72</v>
      </c>
      <c r="V1274">
        <v>4.3</v>
      </c>
      <c r="W1274" t="s">
        <v>28</v>
      </c>
      <c r="X1274" t="s">
        <v>68</v>
      </c>
    </row>
    <row r="1275" spans="1:24" x14ac:dyDescent="0.3">
      <c r="A1275" t="s">
        <v>2551</v>
      </c>
      <c r="B1275" t="s">
        <v>53</v>
      </c>
      <c r="C1275" t="s">
        <v>54</v>
      </c>
      <c r="D1275" t="str">
        <f t="shared" si="57"/>
        <v>Morning</v>
      </c>
      <c r="E1275">
        <f>HOUR(EV_Data[[#This Row],[Charging Start Time]])</f>
        <v>1</v>
      </c>
      <c r="F1275" s="1">
        <v>44980.041666666664</v>
      </c>
      <c r="G1275" s="1">
        <v>44980.083333333343</v>
      </c>
      <c r="H1275">
        <v>60</v>
      </c>
      <c r="I1275">
        <v>37.07</v>
      </c>
      <c r="J1275" t="str">
        <f t="shared" si="58"/>
        <v>Medium</v>
      </c>
      <c r="K1275" t="s">
        <v>69</v>
      </c>
      <c r="L1275">
        <v>68</v>
      </c>
      <c r="M1275">
        <v>92</v>
      </c>
      <c r="N1275" t="str">
        <f t="shared" si="59"/>
        <v>Medium Cost</v>
      </c>
      <c r="O1275">
        <v>11.47</v>
      </c>
      <c r="P1275" t="s">
        <v>43</v>
      </c>
      <c r="Q1275" t="s">
        <v>58</v>
      </c>
      <c r="R1275" t="s">
        <v>56</v>
      </c>
      <c r="S1275" t="s">
        <v>255</v>
      </c>
      <c r="T1275" t="s">
        <v>27</v>
      </c>
      <c r="U1275">
        <v>27</v>
      </c>
      <c r="V1275">
        <v>4.5</v>
      </c>
      <c r="W1275" t="s">
        <v>47</v>
      </c>
      <c r="X1275" t="s">
        <v>29</v>
      </c>
    </row>
    <row r="1276" spans="1:24" x14ac:dyDescent="0.3">
      <c r="A1276" t="s">
        <v>2552</v>
      </c>
      <c r="B1276" t="s">
        <v>77</v>
      </c>
      <c r="C1276" t="s">
        <v>78</v>
      </c>
      <c r="D1276" t="str">
        <f t="shared" si="57"/>
        <v>Morning</v>
      </c>
      <c r="E1276">
        <f>HOUR(EV_Data[[#This Row],[Charging Start Time]])</f>
        <v>2</v>
      </c>
      <c r="F1276" s="1">
        <v>44980.083333333336</v>
      </c>
      <c r="G1276" s="1">
        <v>44980.116666666669</v>
      </c>
      <c r="H1276">
        <v>48</v>
      </c>
      <c r="I1276">
        <v>34.200000000000003</v>
      </c>
      <c r="J1276" t="str">
        <f t="shared" si="58"/>
        <v>Medium</v>
      </c>
      <c r="K1276" t="s">
        <v>55</v>
      </c>
      <c r="L1276">
        <v>13</v>
      </c>
      <c r="M1276">
        <v>44</v>
      </c>
      <c r="N1276" t="str">
        <f t="shared" si="59"/>
        <v>Medium Cost</v>
      </c>
      <c r="O1276">
        <v>9.23</v>
      </c>
      <c r="P1276" t="s">
        <v>33</v>
      </c>
      <c r="Q1276" t="s">
        <v>48</v>
      </c>
      <c r="R1276" t="s">
        <v>56</v>
      </c>
      <c r="S1276" t="s">
        <v>382</v>
      </c>
      <c r="T1276" t="s">
        <v>46</v>
      </c>
      <c r="U1276">
        <v>73</v>
      </c>
      <c r="V1276">
        <v>3.1</v>
      </c>
      <c r="W1276" t="s">
        <v>38</v>
      </c>
      <c r="X1276" t="s">
        <v>85</v>
      </c>
    </row>
    <row r="1277" spans="1:24" x14ac:dyDescent="0.3">
      <c r="A1277" t="s">
        <v>2553</v>
      </c>
      <c r="B1277" t="s">
        <v>71</v>
      </c>
      <c r="C1277" t="s">
        <v>72</v>
      </c>
      <c r="D1277" t="str">
        <f t="shared" si="57"/>
        <v>Morning</v>
      </c>
      <c r="E1277">
        <f>HOUR(EV_Data[[#This Row],[Charging Start Time]])</f>
        <v>3</v>
      </c>
      <c r="F1277" s="1">
        <v>44980.125</v>
      </c>
      <c r="G1277" s="1">
        <v>44980.15</v>
      </c>
      <c r="H1277">
        <v>36</v>
      </c>
      <c r="I1277">
        <v>24.65</v>
      </c>
      <c r="J1277" t="str">
        <f t="shared" si="58"/>
        <v>Medium</v>
      </c>
      <c r="K1277" t="s">
        <v>50</v>
      </c>
      <c r="L1277">
        <v>61</v>
      </c>
      <c r="M1277">
        <v>90</v>
      </c>
      <c r="N1277" t="str">
        <f t="shared" si="59"/>
        <v>Medium Cost</v>
      </c>
      <c r="O1277">
        <v>9.52</v>
      </c>
      <c r="P1277" t="s">
        <v>33</v>
      </c>
      <c r="Q1277" t="s">
        <v>48</v>
      </c>
      <c r="R1277" t="s">
        <v>25</v>
      </c>
      <c r="S1277" t="s">
        <v>975</v>
      </c>
      <c r="T1277" t="s">
        <v>46</v>
      </c>
      <c r="U1277">
        <v>94</v>
      </c>
      <c r="V1277">
        <v>4.9000000000000004</v>
      </c>
      <c r="W1277" t="s">
        <v>28</v>
      </c>
      <c r="X1277" t="s">
        <v>68</v>
      </c>
    </row>
    <row r="1278" spans="1:24" x14ac:dyDescent="0.3">
      <c r="A1278" t="s">
        <v>2554</v>
      </c>
      <c r="B1278" t="s">
        <v>77</v>
      </c>
      <c r="C1278" t="s">
        <v>78</v>
      </c>
      <c r="D1278" t="str">
        <f t="shared" si="57"/>
        <v>Morning</v>
      </c>
      <c r="E1278">
        <f>HOUR(EV_Data[[#This Row],[Charging Start Time]])</f>
        <v>4</v>
      </c>
      <c r="F1278" s="1">
        <v>44980.166666666664</v>
      </c>
      <c r="G1278" s="1">
        <v>44980.192361111112</v>
      </c>
      <c r="H1278">
        <v>37</v>
      </c>
      <c r="I1278">
        <v>32.9</v>
      </c>
      <c r="J1278" t="str">
        <f t="shared" si="58"/>
        <v>Medium</v>
      </c>
      <c r="K1278" t="s">
        <v>50</v>
      </c>
      <c r="L1278">
        <v>71</v>
      </c>
      <c r="M1278">
        <v>92</v>
      </c>
      <c r="N1278" t="str">
        <f t="shared" si="59"/>
        <v>Medium Cost</v>
      </c>
      <c r="O1278">
        <v>9.07</v>
      </c>
      <c r="P1278" t="s">
        <v>23</v>
      </c>
      <c r="Q1278" t="s">
        <v>48</v>
      </c>
      <c r="R1278" t="s">
        <v>35</v>
      </c>
      <c r="S1278" t="s">
        <v>976</v>
      </c>
      <c r="T1278" t="s">
        <v>60</v>
      </c>
      <c r="U1278">
        <v>44</v>
      </c>
      <c r="V1278">
        <v>4.8</v>
      </c>
      <c r="W1278" t="s">
        <v>47</v>
      </c>
      <c r="X1278" t="s">
        <v>29</v>
      </c>
    </row>
    <row r="1279" spans="1:24" x14ac:dyDescent="0.3">
      <c r="A1279" t="s">
        <v>2555</v>
      </c>
      <c r="B1279" t="s">
        <v>126</v>
      </c>
      <c r="C1279" t="s">
        <v>31</v>
      </c>
      <c r="D1279" t="str">
        <f t="shared" si="57"/>
        <v>Morning</v>
      </c>
      <c r="E1279">
        <f>HOUR(EV_Data[[#This Row],[Charging Start Time]])</f>
        <v>5</v>
      </c>
      <c r="F1279" s="1">
        <v>44980.208333333336</v>
      </c>
      <c r="G1279" s="1">
        <v>44980.248611111107</v>
      </c>
      <c r="H1279">
        <v>58</v>
      </c>
      <c r="I1279">
        <v>8.07</v>
      </c>
      <c r="J1279" t="str">
        <f t="shared" si="58"/>
        <v>Low</v>
      </c>
      <c r="K1279" t="s">
        <v>69</v>
      </c>
      <c r="L1279">
        <v>20</v>
      </c>
      <c r="M1279">
        <v>50</v>
      </c>
      <c r="N1279" t="str">
        <f t="shared" si="59"/>
        <v>Low Cost</v>
      </c>
      <c r="O1279">
        <v>3.61</v>
      </c>
      <c r="P1279" t="s">
        <v>33</v>
      </c>
      <c r="Q1279" t="s">
        <v>58</v>
      </c>
      <c r="R1279" t="s">
        <v>56</v>
      </c>
      <c r="S1279" t="s">
        <v>937</v>
      </c>
      <c r="T1279" t="s">
        <v>37</v>
      </c>
      <c r="U1279">
        <v>38</v>
      </c>
      <c r="V1279">
        <v>2.1</v>
      </c>
      <c r="W1279" t="s">
        <v>38</v>
      </c>
    </row>
    <row r="1280" spans="1:24" x14ac:dyDescent="0.3">
      <c r="A1280" t="s">
        <v>2556</v>
      </c>
      <c r="B1280" t="s">
        <v>71</v>
      </c>
      <c r="C1280" t="s">
        <v>72</v>
      </c>
      <c r="D1280" t="str">
        <f t="shared" si="57"/>
        <v>Morning</v>
      </c>
      <c r="E1280">
        <f>HOUR(EV_Data[[#This Row],[Charging Start Time]])</f>
        <v>6</v>
      </c>
      <c r="F1280" s="1">
        <v>44980.25</v>
      </c>
      <c r="G1280" s="1">
        <v>44980.27847222222</v>
      </c>
      <c r="H1280">
        <v>41</v>
      </c>
      <c r="I1280">
        <v>49.37</v>
      </c>
      <c r="J1280" t="str">
        <f t="shared" si="58"/>
        <v>Medium</v>
      </c>
      <c r="K1280" t="s">
        <v>50</v>
      </c>
      <c r="L1280">
        <v>27</v>
      </c>
      <c r="M1280">
        <v>55</v>
      </c>
      <c r="N1280" t="str">
        <f t="shared" si="59"/>
        <v>Medium Cost</v>
      </c>
      <c r="O1280">
        <v>11.28</v>
      </c>
      <c r="P1280" t="s">
        <v>51</v>
      </c>
      <c r="Q1280" t="s">
        <v>34</v>
      </c>
      <c r="R1280" t="s">
        <v>35</v>
      </c>
      <c r="S1280" t="s">
        <v>139</v>
      </c>
      <c r="T1280" t="s">
        <v>37</v>
      </c>
      <c r="U1280">
        <v>0</v>
      </c>
      <c r="V1280">
        <v>3</v>
      </c>
      <c r="W1280" t="s">
        <v>47</v>
      </c>
      <c r="X1280" t="s">
        <v>29</v>
      </c>
    </row>
    <row r="1281" spans="1:24" x14ac:dyDescent="0.3">
      <c r="A1281" t="s">
        <v>2557</v>
      </c>
      <c r="B1281" t="s">
        <v>30</v>
      </c>
      <c r="C1281" t="s">
        <v>102</v>
      </c>
      <c r="D1281" t="str">
        <f t="shared" si="57"/>
        <v>Morning</v>
      </c>
      <c r="E1281">
        <f>HOUR(EV_Data[[#This Row],[Charging Start Time]])</f>
        <v>7</v>
      </c>
      <c r="F1281" s="1">
        <v>44980.291666666664</v>
      </c>
      <c r="G1281" s="1">
        <v>44980.302083333343</v>
      </c>
      <c r="H1281">
        <v>15</v>
      </c>
      <c r="I1281">
        <v>29.07</v>
      </c>
      <c r="J1281" t="str">
        <f t="shared" si="58"/>
        <v>Medium</v>
      </c>
      <c r="K1281" t="s">
        <v>50</v>
      </c>
      <c r="L1281">
        <v>26</v>
      </c>
      <c r="M1281">
        <v>63</v>
      </c>
      <c r="N1281" t="str">
        <f t="shared" si="59"/>
        <v>Medium Cost</v>
      </c>
      <c r="O1281">
        <v>12.51</v>
      </c>
      <c r="P1281" t="s">
        <v>51</v>
      </c>
      <c r="Q1281" t="s">
        <v>24</v>
      </c>
      <c r="R1281" t="s">
        <v>35</v>
      </c>
      <c r="S1281" t="s">
        <v>977</v>
      </c>
      <c r="T1281" t="s">
        <v>27</v>
      </c>
      <c r="U1281">
        <v>96</v>
      </c>
      <c r="V1281">
        <v>4.9000000000000004</v>
      </c>
      <c r="W1281" t="s">
        <v>28</v>
      </c>
      <c r="X1281" t="s">
        <v>68</v>
      </c>
    </row>
    <row r="1282" spans="1:24" x14ac:dyDescent="0.3">
      <c r="A1282" t="s">
        <v>2558</v>
      </c>
      <c r="B1282" t="s">
        <v>53</v>
      </c>
      <c r="C1282" t="s">
        <v>54</v>
      </c>
      <c r="D1282" t="str">
        <f t="shared" ref="D1282:D1345" si="60">IF(E1282&lt;12,"Morning",IF(E1282&lt;17,"Afternoon","Evening"))</f>
        <v>Morning</v>
      </c>
      <c r="E1282">
        <f>HOUR(EV_Data[[#This Row],[Charging Start Time]])</f>
        <v>8</v>
      </c>
      <c r="F1282" s="1">
        <v>44980.333333333336</v>
      </c>
      <c r="G1282" s="1">
        <v>44980.370833333327</v>
      </c>
      <c r="H1282">
        <v>54</v>
      </c>
      <c r="I1282">
        <v>46.27</v>
      </c>
      <c r="J1282" t="str">
        <f t="shared" ref="J1282:J1345" si="61">IF(I1282&lt;20,"Low",IF(I1282&lt;50,"Medium","High"))</f>
        <v>Medium</v>
      </c>
      <c r="K1282" t="s">
        <v>42</v>
      </c>
      <c r="L1282">
        <v>66</v>
      </c>
      <c r="M1282">
        <v>85</v>
      </c>
      <c r="N1282" t="str">
        <f t="shared" ref="N1282:N1345" si="62">IF(O1282&lt;8,"Low Cost",IF(O1282&lt;17,"Medium Cost","High Cost"))</f>
        <v>Medium Cost</v>
      </c>
      <c r="O1282">
        <v>15.47</v>
      </c>
      <c r="P1282" t="s">
        <v>43</v>
      </c>
      <c r="Q1282" t="s">
        <v>58</v>
      </c>
      <c r="R1282" t="s">
        <v>44</v>
      </c>
      <c r="S1282" t="s">
        <v>845</v>
      </c>
      <c r="T1282" t="s">
        <v>27</v>
      </c>
      <c r="U1282">
        <v>39</v>
      </c>
      <c r="V1282">
        <v>3.2</v>
      </c>
      <c r="W1282" t="s">
        <v>28</v>
      </c>
      <c r="X1282" t="s">
        <v>68</v>
      </c>
    </row>
    <row r="1283" spans="1:24" x14ac:dyDescent="0.3">
      <c r="A1283" t="s">
        <v>2559</v>
      </c>
      <c r="B1283" t="s">
        <v>77</v>
      </c>
      <c r="C1283" t="s">
        <v>78</v>
      </c>
      <c r="D1283" t="str">
        <f t="shared" si="60"/>
        <v>Morning</v>
      </c>
      <c r="E1283">
        <f>HOUR(EV_Data[[#This Row],[Charging Start Time]])</f>
        <v>9</v>
      </c>
      <c r="F1283" s="1">
        <v>44980.375</v>
      </c>
      <c r="G1283" s="1">
        <v>44980.40347222222</v>
      </c>
      <c r="H1283">
        <v>41</v>
      </c>
      <c r="I1283">
        <v>20.67</v>
      </c>
      <c r="J1283" t="str">
        <f t="shared" si="61"/>
        <v>Medium</v>
      </c>
      <c r="K1283" t="s">
        <v>50</v>
      </c>
      <c r="L1283">
        <v>45</v>
      </c>
      <c r="M1283">
        <v>72</v>
      </c>
      <c r="N1283" t="str">
        <f t="shared" si="62"/>
        <v>Medium Cost</v>
      </c>
      <c r="O1283">
        <v>9.65</v>
      </c>
      <c r="P1283" t="s">
        <v>64</v>
      </c>
      <c r="Q1283" t="s">
        <v>34</v>
      </c>
      <c r="R1283" t="s">
        <v>25</v>
      </c>
      <c r="S1283" t="s">
        <v>978</v>
      </c>
      <c r="T1283" t="s">
        <v>27</v>
      </c>
      <c r="U1283">
        <v>30</v>
      </c>
      <c r="V1283">
        <v>4.9000000000000004</v>
      </c>
      <c r="W1283" t="s">
        <v>28</v>
      </c>
      <c r="X1283" t="s">
        <v>68</v>
      </c>
    </row>
    <row r="1284" spans="1:24" x14ac:dyDescent="0.3">
      <c r="A1284" t="s">
        <v>2560</v>
      </c>
      <c r="B1284" t="s">
        <v>71</v>
      </c>
      <c r="C1284" t="s">
        <v>72</v>
      </c>
      <c r="D1284" t="str">
        <f t="shared" si="60"/>
        <v>Morning</v>
      </c>
      <c r="E1284">
        <f>HOUR(EV_Data[[#This Row],[Charging Start Time]])</f>
        <v>10</v>
      </c>
      <c r="F1284" s="1">
        <v>44980.416666666664</v>
      </c>
      <c r="G1284" s="1">
        <v>44980.486111111109</v>
      </c>
      <c r="H1284">
        <v>100</v>
      </c>
      <c r="I1284">
        <v>37.409999999999997</v>
      </c>
      <c r="J1284" t="str">
        <f t="shared" si="61"/>
        <v>Medium</v>
      </c>
      <c r="K1284" t="s">
        <v>55</v>
      </c>
      <c r="L1284">
        <v>23</v>
      </c>
      <c r="M1284">
        <v>56</v>
      </c>
      <c r="N1284" t="str">
        <f t="shared" si="62"/>
        <v>Medium Cost</v>
      </c>
      <c r="O1284">
        <v>10.7</v>
      </c>
      <c r="P1284" t="s">
        <v>23</v>
      </c>
      <c r="Q1284" t="s">
        <v>24</v>
      </c>
      <c r="R1284" t="s">
        <v>56</v>
      </c>
      <c r="S1284" t="s">
        <v>979</v>
      </c>
      <c r="T1284" t="s">
        <v>60</v>
      </c>
      <c r="U1284">
        <v>73</v>
      </c>
      <c r="V1284">
        <v>2.5</v>
      </c>
      <c r="W1284" t="s">
        <v>38</v>
      </c>
    </row>
    <row r="1285" spans="1:24" x14ac:dyDescent="0.3">
      <c r="A1285" t="s">
        <v>2561</v>
      </c>
      <c r="B1285" t="s">
        <v>126</v>
      </c>
      <c r="C1285" t="s">
        <v>31</v>
      </c>
      <c r="D1285" t="str">
        <f t="shared" si="60"/>
        <v>Morning</v>
      </c>
      <c r="E1285">
        <f>HOUR(EV_Data[[#This Row],[Charging Start Time]])</f>
        <v>11</v>
      </c>
      <c r="F1285" s="1">
        <v>44980.458333333336</v>
      </c>
      <c r="G1285" s="1">
        <v>44980.513888888891</v>
      </c>
      <c r="H1285">
        <v>80</v>
      </c>
      <c r="I1285">
        <v>11.11</v>
      </c>
      <c r="J1285" t="str">
        <f t="shared" si="61"/>
        <v>Low</v>
      </c>
      <c r="K1285" t="s">
        <v>69</v>
      </c>
      <c r="L1285">
        <v>13</v>
      </c>
      <c r="M1285">
        <v>30</v>
      </c>
      <c r="N1285" t="str">
        <f t="shared" si="62"/>
        <v>Low Cost</v>
      </c>
      <c r="O1285">
        <v>4.96</v>
      </c>
      <c r="P1285" t="s">
        <v>43</v>
      </c>
      <c r="Q1285" t="s">
        <v>34</v>
      </c>
      <c r="R1285" t="s">
        <v>25</v>
      </c>
      <c r="S1285" t="s">
        <v>654</v>
      </c>
      <c r="T1285" t="s">
        <v>27</v>
      </c>
      <c r="U1285">
        <v>70</v>
      </c>
      <c r="V1285">
        <v>2.5</v>
      </c>
      <c r="W1285" t="s">
        <v>47</v>
      </c>
      <c r="X1285" t="s">
        <v>29</v>
      </c>
    </row>
    <row r="1286" spans="1:24" x14ac:dyDescent="0.3">
      <c r="A1286" t="s">
        <v>2562</v>
      </c>
      <c r="B1286" t="s">
        <v>20</v>
      </c>
      <c r="C1286" t="s">
        <v>21</v>
      </c>
      <c r="D1286" t="str">
        <f t="shared" si="60"/>
        <v>Afternoon</v>
      </c>
      <c r="E1286">
        <f>HOUR(EV_Data[[#This Row],[Charging Start Time]])</f>
        <v>12</v>
      </c>
      <c r="F1286" s="1">
        <v>44980.5</v>
      </c>
      <c r="G1286" s="1">
        <v>44980.529166666667</v>
      </c>
      <c r="H1286">
        <v>42</v>
      </c>
      <c r="I1286">
        <v>14.59</v>
      </c>
      <c r="J1286" t="str">
        <f t="shared" si="61"/>
        <v>Low</v>
      </c>
      <c r="K1286" t="s">
        <v>50</v>
      </c>
      <c r="L1286">
        <v>75</v>
      </c>
      <c r="M1286">
        <v>100</v>
      </c>
      <c r="N1286" t="str">
        <f t="shared" si="62"/>
        <v>Low Cost</v>
      </c>
      <c r="O1286">
        <v>5.39</v>
      </c>
      <c r="P1286" t="s">
        <v>43</v>
      </c>
      <c r="Q1286" t="s">
        <v>34</v>
      </c>
      <c r="R1286" t="s">
        <v>25</v>
      </c>
      <c r="S1286" t="s">
        <v>88</v>
      </c>
      <c r="T1286" t="s">
        <v>37</v>
      </c>
      <c r="U1286">
        <v>85</v>
      </c>
      <c r="V1286">
        <v>3.2</v>
      </c>
      <c r="W1286" t="s">
        <v>28</v>
      </c>
      <c r="X1286" t="s">
        <v>68</v>
      </c>
    </row>
    <row r="1287" spans="1:24" x14ac:dyDescent="0.3">
      <c r="A1287" t="s">
        <v>2563</v>
      </c>
      <c r="B1287" t="s">
        <v>53</v>
      </c>
      <c r="C1287" t="s">
        <v>54</v>
      </c>
      <c r="D1287" t="str">
        <f t="shared" si="60"/>
        <v>Afternoon</v>
      </c>
      <c r="E1287">
        <f>HOUR(EV_Data[[#This Row],[Charging Start Time]])</f>
        <v>13</v>
      </c>
      <c r="F1287" s="1">
        <v>44980.541666666664</v>
      </c>
      <c r="G1287" s="1">
        <v>44980.568055555559</v>
      </c>
      <c r="H1287">
        <v>38</v>
      </c>
      <c r="I1287">
        <v>41.89</v>
      </c>
      <c r="J1287" t="str">
        <f t="shared" si="61"/>
        <v>Medium</v>
      </c>
      <c r="K1287" t="s">
        <v>22</v>
      </c>
      <c r="L1287">
        <v>39</v>
      </c>
      <c r="M1287">
        <v>56</v>
      </c>
      <c r="N1287" t="str">
        <f t="shared" si="62"/>
        <v>High Cost</v>
      </c>
      <c r="O1287">
        <v>17.25</v>
      </c>
      <c r="P1287" t="s">
        <v>51</v>
      </c>
      <c r="Q1287" t="s">
        <v>58</v>
      </c>
      <c r="R1287" t="s">
        <v>56</v>
      </c>
      <c r="S1287" t="s">
        <v>980</v>
      </c>
      <c r="T1287" t="s">
        <v>27</v>
      </c>
      <c r="U1287">
        <v>53</v>
      </c>
      <c r="V1287">
        <v>2.8</v>
      </c>
      <c r="W1287" t="s">
        <v>47</v>
      </c>
      <c r="X1287" t="s">
        <v>29</v>
      </c>
    </row>
    <row r="1288" spans="1:24" x14ac:dyDescent="0.3">
      <c r="A1288" t="s">
        <v>2564</v>
      </c>
      <c r="B1288" t="s">
        <v>53</v>
      </c>
      <c r="C1288" t="s">
        <v>54</v>
      </c>
      <c r="D1288" t="str">
        <f t="shared" si="60"/>
        <v>Afternoon</v>
      </c>
      <c r="E1288">
        <f>HOUR(EV_Data[[#This Row],[Charging Start Time]])</f>
        <v>14</v>
      </c>
      <c r="F1288" s="1">
        <v>44980.583333333336</v>
      </c>
      <c r="G1288" s="1">
        <v>44980.634027777778</v>
      </c>
      <c r="H1288">
        <v>73</v>
      </c>
      <c r="I1288">
        <v>49.07</v>
      </c>
      <c r="J1288" t="str">
        <f t="shared" si="61"/>
        <v>Medium</v>
      </c>
      <c r="K1288" t="s">
        <v>42</v>
      </c>
      <c r="L1288">
        <v>19</v>
      </c>
      <c r="M1288">
        <v>47</v>
      </c>
      <c r="N1288" t="str">
        <f t="shared" si="62"/>
        <v>High Cost</v>
      </c>
      <c r="O1288">
        <v>18.43</v>
      </c>
      <c r="P1288" t="s">
        <v>64</v>
      </c>
      <c r="Q1288" t="s">
        <v>34</v>
      </c>
      <c r="R1288" t="s">
        <v>56</v>
      </c>
      <c r="S1288" t="s">
        <v>981</v>
      </c>
      <c r="T1288" t="s">
        <v>37</v>
      </c>
      <c r="U1288">
        <v>16</v>
      </c>
      <c r="V1288">
        <v>3.8</v>
      </c>
      <c r="W1288" t="s">
        <v>38</v>
      </c>
      <c r="X1288" t="s">
        <v>83</v>
      </c>
    </row>
    <row r="1289" spans="1:24" x14ac:dyDescent="0.3">
      <c r="A1289" t="s">
        <v>2565</v>
      </c>
      <c r="B1289" t="s">
        <v>20</v>
      </c>
      <c r="C1289" t="s">
        <v>21</v>
      </c>
      <c r="D1289" t="str">
        <f t="shared" si="60"/>
        <v>Afternoon</v>
      </c>
      <c r="E1289">
        <f>HOUR(EV_Data[[#This Row],[Charging Start Time]])</f>
        <v>15</v>
      </c>
      <c r="F1289" s="1">
        <v>44980.625</v>
      </c>
      <c r="G1289" s="1">
        <v>44980.625694444447</v>
      </c>
      <c r="H1289">
        <v>1</v>
      </c>
      <c r="I1289">
        <v>18.12</v>
      </c>
      <c r="J1289" t="str">
        <f t="shared" si="61"/>
        <v>Low</v>
      </c>
      <c r="K1289" t="s">
        <v>42</v>
      </c>
      <c r="L1289">
        <v>63</v>
      </c>
      <c r="M1289">
        <v>88</v>
      </c>
      <c r="N1289" t="str">
        <f t="shared" si="62"/>
        <v>Low Cost</v>
      </c>
      <c r="O1289">
        <v>4.0599999999999996</v>
      </c>
      <c r="P1289" t="s">
        <v>51</v>
      </c>
      <c r="Q1289" t="s">
        <v>48</v>
      </c>
      <c r="R1289" t="s">
        <v>35</v>
      </c>
      <c r="S1289" t="s">
        <v>718</v>
      </c>
      <c r="T1289" t="s">
        <v>60</v>
      </c>
      <c r="U1289">
        <v>50</v>
      </c>
      <c r="V1289">
        <v>2</v>
      </c>
      <c r="W1289" t="s">
        <v>28</v>
      </c>
      <c r="X1289" t="s">
        <v>68</v>
      </c>
    </row>
    <row r="1290" spans="1:24" x14ac:dyDescent="0.3">
      <c r="A1290" t="s">
        <v>2566</v>
      </c>
      <c r="B1290" t="s">
        <v>77</v>
      </c>
      <c r="C1290" t="s">
        <v>78</v>
      </c>
      <c r="D1290" t="str">
        <f t="shared" si="60"/>
        <v>Afternoon</v>
      </c>
      <c r="E1290">
        <f>HOUR(EV_Data[[#This Row],[Charging Start Time]])</f>
        <v>16</v>
      </c>
      <c r="F1290" s="1">
        <v>44980.666666666664</v>
      </c>
      <c r="G1290" s="1">
        <v>44980.697916666657</v>
      </c>
      <c r="H1290">
        <v>45</v>
      </c>
      <c r="I1290">
        <v>19.34</v>
      </c>
      <c r="J1290" t="str">
        <f t="shared" si="61"/>
        <v>Low</v>
      </c>
      <c r="K1290" t="s">
        <v>22</v>
      </c>
      <c r="L1290">
        <v>55</v>
      </c>
      <c r="M1290">
        <v>65</v>
      </c>
      <c r="N1290" t="str">
        <f t="shared" si="62"/>
        <v>Low Cost</v>
      </c>
      <c r="O1290">
        <v>6.66</v>
      </c>
      <c r="P1290" t="s">
        <v>64</v>
      </c>
      <c r="Q1290" t="s">
        <v>48</v>
      </c>
      <c r="R1290" t="s">
        <v>35</v>
      </c>
      <c r="S1290" t="s">
        <v>632</v>
      </c>
      <c r="T1290" t="s">
        <v>46</v>
      </c>
      <c r="U1290">
        <v>82</v>
      </c>
      <c r="V1290">
        <v>1.9</v>
      </c>
      <c r="W1290" t="s">
        <v>47</v>
      </c>
      <c r="X1290" t="s">
        <v>29</v>
      </c>
    </row>
    <row r="1291" spans="1:24" x14ac:dyDescent="0.3">
      <c r="A1291" t="s">
        <v>2567</v>
      </c>
      <c r="B1291" t="s">
        <v>77</v>
      </c>
      <c r="C1291" t="s">
        <v>78</v>
      </c>
      <c r="D1291" t="str">
        <f t="shared" si="60"/>
        <v>Evening</v>
      </c>
      <c r="E1291">
        <f>HOUR(EV_Data[[#This Row],[Charging Start Time]])</f>
        <v>17</v>
      </c>
      <c r="F1291" s="1">
        <v>44980.708333333336</v>
      </c>
      <c r="G1291" s="1">
        <v>44980.750694444447</v>
      </c>
      <c r="H1291">
        <v>61</v>
      </c>
      <c r="I1291">
        <v>25.05</v>
      </c>
      <c r="J1291" t="str">
        <f t="shared" si="61"/>
        <v>Medium</v>
      </c>
      <c r="K1291" t="s">
        <v>55</v>
      </c>
      <c r="L1291">
        <v>53</v>
      </c>
      <c r="M1291">
        <v>64</v>
      </c>
      <c r="N1291" t="str">
        <f t="shared" si="62"/>
        <v>Medium Cost</v>
      </c>
      <c r="O1291">
        <v>8.32</v>
      </c>
      <c r="P1291" t="s">
        <v>23</v>
      </c>
      <c r="Q1291" t="s">
        <v>58</v>
      </c>
      <c r="R1291" t="s">
        <v>56</v>
      </c>
      <c r="S1291" t="s">
        <v>982</v>
      </c>
      <c r="T1291" t="s">
        <v>27</v>
      </c>
      <c r="U1291">
        <v>35</v>
      </c>
      <c r="V1291">
        <v>2</v>
      </c>
      <c r="W1291" t="s">
        <v>38</v>
      </c>
      <c r="X1291" t="s">
        <v>85</v>
      </c>
    </row>
    <row r="1292" spans="1:24" x14ac:dyDescent="0.3">
      <c r="A1292" t="s">
        <v>2568</v>
      </c>
      <c r="B1292" t="s">
        <v>20</v>
      </c>
      <c r="C1292" t="s">
        <v>21</v>
      </c>
      <c r="D1292" t="str">
        <f t="shared" si="60"/>
        <v>Evening</v>
      </c>
      <c r="E1292">
        <f>HOUR(EV_Data[[#This Row],[Charging Start Time]])</f>
        <v>18</v>
      </c>
      <c r="F1292" s="1">
        <v>44980.75</v>
      </c>
      <c r="G1292" s="1">
        <v>44980.79583333333</v>
      </c>
      <c r="H1292">
        <v>66</v>
      </c>
      <c r="I1292">
        <v>7.15</v>
      </c>
      <c r="J1292" t="str">
        <f t="shared" si="61"/>
        <v>Low</v>
      </c>
      <c r="K1292" t="s">
        <v>69</v>
      </c>
      <c r="L1292">
        <v>42</v>
      </c>
      <c r="M1292">
        <v>67</v>
      </c>
      <c r="N1292" t="str">
        <f t="shared" si="62"/>
        <v>Low Cost</v>
      </c>
      <c r="O1292">
        <v>1.64</v>
      </c>
      <c r="P1292" t="s">
        <v>33</v>
      </c>
      <c r="Q1292" t="s">
        <v>58</v>
      </c>
      <c r="R1292" t="s">
        <v>35</v>
      </c>
      <c r="S1292" t="s">
        <v>983</v>
      </c>
      <c r="T1292" t="s">
        <v>27</v>
      </c>
      <c r="U1292">
        <v>3</v>
      </c>
      <c r="V1292">
        <v>3.4</v>
      </c>
      <c r="W1292" t="s">
        <v>38</v>
      </c>
      <c r="X1292" t="s">
        <v>62</v>
      </c>
    </row>
    <row r="1293" spans="1:24" x14ac:dyDescent="0.3">
      <c r="A1293" t="s">
        <v>2569</v>
      </c>
      <c r="B1293" t="s">
        <v>126</v>
      </c>
      <c r="C1293" t="s">
        <v>31</v>
      </c>
      <c r="D1293" t="str">
        <f t="shared" si="60"/>
        <v>Evening</v>
      </c>
      <c r="E1293">
        <f>HOUR(EV_Data[[#This Row],[Charging Start Time]])</f>
        <v>19</v>
      </c>
      <c r="F1293" s="1">
        <v>44980.791666666664</v>
      </c>
      <c r="G1293" s="1">
        <v>44980.842361111107</v>
      </c>
      <c r="H1293">
        <v>73</v>
      </c>
      <c r="I1293">
        <v>34.299999999999997</v>
      </c>
      <c r="J1293" t="str">
        <f t="shared" si="61"/>
        <v>Medium</v>
      </c>
      <c r="K1293" t="s">
        <v>32</v>
      </c>
      <c r="L1293">
        <v>30</v>
      </c>
      <c r="M1293">
        <v>57</v>
      </c>
      <c r="N1293" t="str">
        <f t="shared" si="62"/>
        <v>High Cost</v>
      </c>
      <c r="O1293">
        <v>17.149999999999999</v>
      </c>
      <c r="P1293" t="s">
        <v>33</v>
      </c>
      <c r="Q1293" t="s">
        <v>34</v>
      </c>
      <c r="R1293" t="s">
        <v>25</v>
      </c>
      <c r="S1293" t="s">
        <v>984</v>
      </c>
      <c r="T1293" t="s">
        <v>60</v>
      </c>
      <c r="U1293">
        <v>31</v>
      </c>
      <c r="V1293">
        <v>4.3</v>
      </c>
      <c r="W1293" t="s">
        <v>28</v>
      </c>
      <c r="X1293" t="s">
        <v>68</v>
      </c>
    </row>
    <row r="1294" spans="1:24" x14ac:dyDescent="0.3">
      <c r="A1294" t="s">
        <v>2570</v>
      </c>
      <c r="B1294" t="s">
        <v>53</v>
      </c>
      <c r="C1294" t="s">
        <v>54</v>
      </c>
      <c r="D1294" t="str">
        <f t="shared" si="60"/>
        <v>Evening</v>
      </c>
      <c r="E1294">
        <f>HOUR(EV_Data[[#This Row],[Charging Start Time]])</f>
        <v>20</v>
      </c>
      <c r="F1294" s="1">
        <v>44980.833333333336</v>
      </c>
      <c r="G1294" s="1">
        <v>44980.904166666667</v>
      </c>
      <c r="H1294">
        <v>102</v>
      </c>
      <c r="I1294">
        <v>33.94</v>
      </c>
      <c r="J1294" t="str">
        <f t="shared" si="61"/>
        <v>Medium</v>
      </c>
      <c r="K1294" t="s">
        <v>42</v>
      </c>
      <c r="L1294">
        <v>29</v>
      </c>
      <c r="M1294">
        <v>63</v>
      </c>
      <c r="N1294" t="str">
        <f t="shared" si="62"/>
        <v>Medium Cost</v>
      </c>
      <c r="O1294">
        <v>15.7</v>
      </c>
      <c r="P1294" t="s">
        <v>33</v>
      </c>
      <c r="Q1294" t="s">
        <v>48</v>
      </c>
      <c r="R1294" t="s">
        <v>25</v>
      </c>
      <c r="S1294" t="s">
        <v>985</v>
      </c>
      <c r="T1294" t="s">
        <v>60</v>
      </c>
      <c r="U1294">
        <v>92</v>
      </c>
      <c r="V1294">
        <v>4.5</v>
      </c>
      <c r="W1294" t="s">
        <v>38</v>
      </c>
      <c r="X1294" t="s">
        <v>62</v>
      </c>
    </row>
    <row r="1295" spans="1:24" x14ac:dyDescent="0.3">
      <c r="A1295" t="s">
        <v>2571</v>
      </c>
      <c r="B1295" t="s">
        <v>92</v>
      </c>
      <c r="C1295" t="s">
        <v>93</v>
      </c>
      <c r="D1295" t="str">
        <f t="shared" si="60"/>
        <v>Evening</v>
      </c>
      <c r="E1295">
        <f>HOUR(EV_Data[[#This Row],[Charging Start Time]])</f>
        <v>21</v>
      </c>
      <c r="F1295" s="1">
        <v>44980.875</v>
      </c>
      <c r="G1295" s="1">
        <v>44980.9375</v>
      </c>
      <c r="H1295">
        <v>90</v>
      </c>
      <c r="I1295">
        <v>11.47</v>
      </c>
      <c r="J1295" t="str">
        <f t="shared" si="61"/>
        <v>Low</v>
      </c>
      <c r="K1295" t="s">
        <v>32</v>
      </c>
      <c r="L1295">
        <v>24</v>
      </c>
      <c r="M1295">
        <v>48</v>
      </c>
      <c r="N1295" t="str">
        <f t="shared" si="62"/>
        <v>Low Cost</v>
      </c>
      <c r="O1295">
        <v>2.38</v>
      </c>
      <c r="P1295" t="s">
        <v>64</v>
      </c>
      <c r="Q1295" t="s">
        <v>34</v>
      </c>
      <c r="R1295" t="s">
        <v>44</v>
      </c>
      <c r="S1295" t="s">
        <v>368</v>
      </c>
      <c r="T1295" t="s">
        <v>27</v>
      </c>
      <c r="U1295">
        <v>83</v>
      </c>
      <c r="V1295">
        <v>2.7</v>
      </c>
      <c r="W1295" t="s">
        <v>47</v>
      </c>
      <c r="X1295" t="s">
        <v>29</v>
      </c>
    </row>
    <row r="1296" spans="1:24" x14ac:dyDescent="0.3">
      <c r="A1296" t="s">
        <v>2572</v>
      </c>
      <c r="B1296" t="s">
        <v>30</v>
      </c>
      <c r="C1296" t="s">
        <v>102</v>
      </c>
      <c r="D1296" t="str">
        <f t="shared" si="60"/>
        <v>Evening</v>
      </c>
      <c r="E1296">
        <f>HOUR(EV_Data[[#This Row],[Charging Start Time]])</f>
        <v>22</v>
      </c>
      <c r="F1296" s="1">
        <v>44980.916666666664</v>
      </c>
      <c r="G1296" s="1">
        <v>44980.935416666667</v>
      </c>
      <c r="H1296">
        <v>27</v>
      </c>
      <c r="I1296">
        <v>29.86</v>
      </c>
      <c r="J1296" t="str">
        <f t="shared" si="61"/>
        <v>Medium</v>
      </c>
      <c r="K1296" t="s">
        <v>32</v>
      </c>
      <c r="L1296">
        <v>10</v>
      </c>
      <c r="M1296">
        <v>33</v>
      </c>
      <c r="N1296" t="str">
        <f t="shared" si="62"/>
        <v>Medium Cost</v>
      </c>
      <c r="O1296">
        <v>11.45</v>
      </c>
      <c r="P1296" t="s">
        <v>51</v>
      </c>
      <c r="Q1296" t="s">
        <v>24</v>
      </c>
      <c r="R1296" t="s">
        <v>56</v>
      </c>
      <c r="S1296" t="s">
        <v>882</v>
      </c>
      <c r="T1296" t="s">
        <v>37</v>
      </c>
      <c r="U1296">
        <v>85</v>
      </c>
      <c r="V1296">
        <v>1.8</v>
      </c>
      <c r="W1296" t="s">
        <v>38</v>
      </c>
      <c r="X1296" t="s">
        <v>85</v>
      </c>
    </row>
    <row r="1297" spans="1:24" x14ac:dyDescent="0.3">
      <c r="A1297" t="s">
        <v>2573</v>
      </c>
      <c r="B1297" t="s">
        <v>126</v>
      </c>
      <c r="C1297" t="s">
        <v>31</v>
      </c>
      <c r="D1297" t="str">
        <f t="shared" si="60"/>
        <v>Evening</v>
      </c>
      <c r="E1297">
        <f>HOUR(EV_Data[[#This Row],[Charging Start Time]])</f>
        <v>23</v>
      </c>
      <c r="F1297" s="1">
        <v>44980.958333333336</v>
      </c>
      <c r="G1297" s="1">
        <v>44981.023611111108</v>
      </c>
      <c r="H1297">
        <v>94</v>
      </c>
      <c r="I1297">
        <v>11.1</v>
      </c>
      <c r="J1297" t="str">
        <f t="shared" si="61"/>
        <v>Low</v>
      </c>
      <c r="K1297" t="s">
        <v>55</v>
      </c>
      <c r="L1297">
        <v>15</v>
      </c>
      <c r="M1297">
        <v>32</v>
      </c>
      <c r="N1297" t="str">
        <f t="shared" si="62"/>
        <v>Low Cost</v>
      </c>
      <c r="O1297">
        <v>4.84</v>
      </c>
      <c r="P1297" t="s">
        <v>23</v>
      </c>
      <c r="Q1297" t="s">
        <v>48</v>
      </c>
      <c r="R1297" t="s">
        <v>44</v>
      </c>
      <c r="S1297" t="s">
        <v>986</v>
      </c>
      <c r="T1297" t="s">
        <v>27</v>
      </c>
      <c r="U1297">
        <v>73</v>
      </c>
      <c r="V1297">
        <v>3.6</v>
      </c>
      <c r="W1297" t="s">
        <v>47</v>
      </c>
      <c r="X1297" t="s">
        <v>29</v>
      </c>
    </row>
    <row r="1298" spans="1:24" x14ac:dyDescent="0.3">
      <c r="A1298" t="s">
        <v>2574</v>
      </c>
      <c r="B1298" t="s">
        <v>71</v>
      </c>
      <c r="C1298" t="s">
        <v>72</v>
      </c>
      <c r="D1298" t="str">
        <f t="shared" si="60"/>
        <v>Morning</v>
      </c>
      <c r="E1298">
        <f>HOUR(EV_Data[[#This Row],[Charging Start Time]])</f>
        <v>0</v>
      </c>
      <c r="F1298" s="1">
        <v>44981</v>
      </c>
      <c r="G1298" s="1">
        <v>44981.000694444447</v>
      </c>
      <c r="H1298">
        <v>1</v>
      </c>
      <c r="I1298">
        <v>19.079999999999998</v>
      </c>
      <c r="J1298" t="str">
        <f t="shared" si="61"/>
        <v>Low</v>
      </c>
      <c r="K1298" t="s">
        <v>42</v>
      </c>
      <c r="L1298">
        <v>65</v>
      </c>
      <c r="M1298">
        <v>87</v>
      </c>
      <c r="N1298" t="str">
        <f t="shared" si="62"/>
        <v>Medium Cost</v>
      </c>
      <c r="O1298">
        <v>8.48</v>
      </c>
      <c r="P1298" t="s">
        <v>33</v>
      </c>
      <c r="Q1298" t="s">
        <v>58</v>
      </c>
      <c r="R1298" t="s">
        <v>35</v>
      </c>
      <c r="S1298" t="s">
        <v>236</v>
      </c>
      <c r="T1298" t="s">
        <v>46</v>
      </c>
      <c r="U1298">
        <v>85</v>
      </c>
      <c r="V1298">
        <v>3.1</v>
      </c>
      <c r="W1298" t="s">
        <v>38</v>
      </c>
    </row>
    <row r="1299" spans="1:24" x14ac:dyDescent="0.3">
      <c r="A1299" t="s">
        <v>2575</v>
      </c>
      <c r="B1299" t="s">
        <v>30</v>
      </c>
      <c r="C1299" t="s">
        <v>102</v>
      </c>
      <c r="D1299" t="str">
        <f t="shared" si="60"/>
        <v>Morning</v>
      </c>
      <c r="E1299">
        <f>HOUR(EV_Data[[#This Row],[Charging Start Time]])</f>
        <v>1</v>
      </c>
      <c r="F1299" s="1">
        <v>44981.041666666664</v>
      </c>
      <c r="G1299" s="1">
        <v>44981.087500000001</v>
      </c>
      <c r="H1299">
        <v>66</v>
      </c>
      <c r="I1299">
        <v>24.85</v>
      </c>
      <c r="J1299" t="str">
        <f t="shared" si="61"/>
        <v>Medium</v>
      </c>
      <c r="K1299" t="s">
        <v>50</v>
      </c>
      <c r="L1299">
        <v>22</v>
      </c>
      <c r="M1299">
        <v>40</v>
      </c>
      <c r="N1299" t="str">
        <f t="shared" si="62"/>
        <v>Low Cost</v>
      </c>
      <c r="O1299">
        <v>7.78</v>
      </c>
      <c r="P1299" t="s">
        <v>64</v>
      </c>
      <c r="Q1299" t="s">
        <v>58</v>
      </c>
      <c r="R1299" t="s">
        <v>35</v>
      </c>
      <c r="S1299" t="s">
        <v>380</v>
      </c>
      <c r="T1299" t="s">
        <v>37</v>
      </c>
      <c r="U1299">
        <v>46</v>
      </c>
      <c r="V1299">
        <v>2.5</v>
      </c>
      <c r="W1299" t="s">
        <v>47</v>
      </c>
      <c r="X1299" t="s">
        <v>29</v>
      </c>
    </row>
    <row r="1300" spans="1:24" x14ac:dyDescent="0.3">
      <c r="A1300" t="s">
        <v>2576</v>
      </c>
      <c r="B1300" t="s">
        <v>77</v>
      </c>
      <c r="C1300" t="s">
        <v>78</v>
      </c>
      <c r="D1300" t="str">
        <f t="shared" si="60"/>
        <v>Morning</v>
      </c>
      <c r="E1300">
        <f>HOUR(EV_Data[[#This Row],[Charging Start Time]])</f>
        <v>2</v>
      </c>
      <c r="F1300" s="1">
        <v>44981.083333333336</v>
      </c>
      <c r="G1300" s="1">
        <v>44981.146527777782</v>
      </c>
      <c r="H1300">
        <v>91</v>
      </c>
      <c r="I1300">
        <v>15.09</v>
      </c>
      <c r="J1300" t="str">
        <f t="shared" si="61"/>
        <v>Low</v>
      </c>
      <c r="K1300" t="s">
        <v>55</v>
      </c>
      <c r="L1300">
        <v>6</v>
      </c>
      <c r="M1300">
        <v>42</v>
      </c>
      <c r="N1300" t="str">
        <f t="shared" si="62"/>
        <v>Low Cost</v>
      </c>
      <c r="O1300">
        <v>4.45</v>
      </c>
      <c r="P1300" t="s">
        <v>64</v>
      </c>
      <c r="Q1300" t="s">
        <v>58</v>
      </c>
      <c r="R1300" t="s">
        <v>25</v>
      </c>
      <c r="S1300" t="s">
        <v>903</v>
      </c>
      <c r="T1300" t="s">
        <v>60</v>
      </c>
      <c r="U1300">
        <v>55</v>
      </c>
      <c r="V1300">
        <v>1.9</v>
      </c>
      <c r="W1300" t="s">
        <v>28</v>
      </c>
      <c r="X1300" t="s">
        <v>68</v>
      </c>
    </row>
    <row r="1301" spans="1:24" x14ac:dyDescent="0.3">
      <c r="A1301" t="s">
        <v>2577</v>
      </c>
      <c r="B1301" t="s">
        <v>77</v>
      </c>
      <c r="C1301" t="s">
        <v>78</v>
      </c>
      <c r="D1301" t="str">
        <f t="shared" si="60"/>
        <v>Morning</v>
      </c>
      <c r="E1301">
        <f>HOUR(EV_Data[[#This Row],[Charging Start Time]])</f>
        <v>3</v>
      </c>
      <c r="F1301" s="1">
        <v>44981.125</v>
      </c>
      <c r="G1301" s="1">
        <v>44981.132638888892</v>
      </c>
      <c r="H1301">
        <v>11</v>
      </c>
      <c r="I1301">
        <v>19.53</v>
      </c>
      <c r="J1301" t="str">
        <f t="shared" si="61"/>
        <v>Low</v>
      </c>
      <c r="K1301" t="s">
        <v>50</v>
      </c>
      <c r="L1301">
        <v>11</v>
      </c>
      <c r="M1301">
        <v>37</v>
      </c>
      <c r="N1301" t="str">
        <f t="shared" si="62"/>
        <v>Low Cost</v>
      </c>
      <c r="O1301">
        <v>4.41</v>
      </c>
      <c r="P1301" t="s">
        <v>43</v>
      </c>
      <c r="Q1301" t="s">
        <v>58</v>
      </c>
      <c r="R1301" t="s">
        <v>44</v>
      </c>
      <c r="S1301" t="s">
        <v>301</v>
      </c>
      <c r="T1301" t="s">
        <v>27</v>
      </c>
      <c r="U1301">
        <v>45</v>
      </c>
      <c r="V1301">
        <v>2.4</v>
      </c>
      <c r="W1301" t="s">
        <v>28</v>
      </c>
      <c r="X1301" t="s">
        <v>68</v>
      </c>
    </row>
    <row r="1302" spans="1:24" x14ac:dyDescent="0.3">
      <c r="A1302" t="s">
        <v>2578</v>
      </c>
      <c r="B1302" t="s">
        <v>40</v>
      </c>
      <c r="C1302" t="s">
        <v>41</v>
      </c>
      <c r="D1302" t="str">
        <f t="shared" si="60"/>
        <v>Morning</v>
      </c>
      <c r="E1302">
        <f>HOUR(EV_Data[[#This Row],[Charging Start Time]])</f>
        <v>4</v>
      </c>
      <c r="F1302" s="1">
        <v>44981.166666666664</v>
      </c>
      <c r="G1302" s="1">
        <v>44981.197916666657</v>
      </c>
      <c r="H1302">
        <v>45</v>
      </c>
      <c r="I1302">
        <v>30.71</v>
      </c>
      <c r="J1302" t="str">
        <f t="shared" si="61"/>
        <v>Medium</v>
      </c>
      <c r="K1302" t="s">
        <v>55</v>
      </c>
      <c r="L1302">
        <v>64</v>
      </c>
      <c r="M1302">
        <v>74</v>
      </c>
      <c r="N1302" t="str">
        <f t="shared" si="62"/>
        <v>Medium Cost</v>
      </c>
      <c r="O1302">
        <v>11.03</v>
      </c>
      <c r="P1302" t="s">
        <v>33</v>
      </c>
      <c r="Q1302" t="s">
        <v>58</v>
      </c>
      <c r="R1302" t="s">
        <v>56</v>
      </c>
      <c r="S1302" t="s">
        <v>480</v>
      </c>
      <c r="T1302" t="s">
        <v>27</v>
      </c>
      <c r="U1302">
        <v>82</v>
      </c>
      <c r="V1302">
        <v>4</v>
      </c>
      <c r="W1302" t="s">
        <v>28</v>
      </c>
      <c r="X1302" t="s">
        <v>68</v>
      </c>
    </row>
    <row r="1303" spans="1:24" x14ac:dyDescent="0.3">
      <c r="A1303" t="s">
        <v>2579</v>
      </c>
      <c r="B1303" t="s">
        <v>126</v>
      </c>
      <c r="C1303" t="s">
        <v>31</v>
      </c>
      <c r="D1303" t="str">
        <f t="shared" si="60"/>
        <v>Morning</v>
      </c>
      <c r="E1303">
        <f>HOUR(EV_Data[[#This Row],[Charging Start Time]])</f>
        <v>5</v>
      </c>
      <c r="F1303" s="1">
        <v>44981.208333333336</v>
      </c>
      <c r="G1303" s="1">
        <v>44981.265972222223</v>
      </c>
      <c r="H1303">
        <v>83</v>
      </c>
      <c r="I1303">
        <v>14.29</v>
      </c>
      <c r="J1303" t="str">
        <f t="shared" si="61"/>
        <v>Low</v>
      </c>
      <c r="K1303" t="s">
        <v>42</v>
      </c>
      <c r="L1303">
        <v>78</v>
      </c>
      <c r="M1303">
        <v>100</v>
      </c>
      <c r="N1303" t="str">
        <f t="shared" si="62"/>
        <v>Low Cost</v>
      </c>
      <c r="O1303">
        <v>3.57</v>
      </c>
      <c r="P1303" t="s">
        <v>64</v>
      </c>
      <c r="Q1303" t="s">
        <v>58</v>
      </c>
      <c r="R1303" t="s">
        <v>35</v>
      </c>
      <c r="S1303" t="s">
        <v>450</v>
      </c>
      <c r="T1303" t="s">
        <v>46</v>
      </c>
      <c r="U1303">
        <v>14</v>
      </c>
      <c r="V1303">
        <v>2.9</v>
      </c>
      <c r="W1303" t="s">
        <v>47</v>
      </c>
      <c r="X1303" t="s">
        <v>29</v>
      </c>
    </row>
    <row r="1304" spans="1:24" x14ac:dyDescent="0.3">
      <c r="A1304" t="s">
        <v>2580</v>
      </c>
      <c r="B1304" t="s">
        <v>30</v>
      </c>
      <c r="C1304" t="s">
        <v>102</v>
      </c>
      <c r="D1304" t="str">
        <f t="shared" si="60"/>
        <v>Morning</v>
      </c>
      <c r="E1304">
        <f>HOUR(EV_Data[[#This Row],[Charging Start Time]])</f>
        <v>6</v>
      </c>
      <c r="F1304" s="1">
        <v>44981.25</v>
      </c>
      <c r="G1304" s="1">
        <v>44981.26666666667</v>
      </c>
      <c r="H1304">
        <v>24</v>
      </c>
      <c r="I1304">
        <v>43.1</v>
      </c>
      <c r="J1304" t="str">
        <f t="shared" si="61"/>
        <v>Medium</v>
      </c>
      <c r="K1304" t="s">
        <v>50</v>
      </c>
      <c r="L1304">
        <v>58</v>
      </c>
      <c r="M1304">
        <v>76</v>
      </c>
      <c r="N1304" t="str">
        <f t="shared" si="62"/>
        <v>Medium Cost</v>
      </c>
      <c r="O1304">
        <v>13.76</v>
      </c>
      <c r="P1304" t="s">
        <v>64</v>
      </c>
      <c r="Q1304" t="s">
        <v>34</v>
      </c>
      <c r="R1304" t="s">
        <v>25</v>
      </c>
      <c r="S1304" t="s">
        <v>987</v>
      </c>
      <c r="T1304" t="s">
        <v>60</v>
      </c>
      <c r="U1304">
        <v>2</v>
      </c>
      <c r="V1304">
        <v>4.2</v>
      </c>
      <c r="W1304" t="s">
        <v>47</v>
      </c>
      <c r="X1304" t="s">
        <v>29</v>
      </c>
    </row>
    <row r="1305" spans="1:24" x14ac:dyDescent="0.3">
      <c r="A1305" t="s">
        <v>2581</v>
      </c>
      <c r="B1305" t="s">
        <v>20</v>
      </c>
      <c r="C1305" t="s">
        <v>21</v>
      </c>
      <c r="D1305" t="str">
        <f t="shared" si="60"/>
        <v>Morning</v>
      </c>
      <c r="E1305">
        <f>HOUR(EV_Data[[#This Row],[Charging Start Time]])</f>
        <v>7</v>
      </c>
      <c r="F1305" s="1">
        <v>44981.291666666664</v>
      </c>
      <c r="G1305" s="1">
        <v>44981.372916666667</v>
      </c>
      <c r="H1305">
        <v>117</v>
      </c>
      <c r="I1305">
        <v>25.9</v>
      </c>
      <c r="J1305" t="str">
        <f t="shared" si="61"/>
        <v>Medium</v>
      </c>
      <c r="K1305" t="s">
        <v>42</v>
      </c>
      <c r="L1305">
        <v>62</v>
      </c>
      <c r="M1305">
        <v>89</v>
      </c>
      <c r="N1305" t="str">
        <f t="shared" si="62"/>
        <v>Medium Cost</v>
      </c>
      <c r="O1305">
        <v>8.67</v>
      </c>
      <c r="P1305" t="s">
        <v>33</v>
      </c>
      <c r="Q1305" t="s">
        <v>58</v>
      </c>
      <c r="R1305" t="s">
        <v>35</v>
      </c>
      <c r="S1305" t="s">
        <v>988</v>
      </c>
      <c r="T1305" t="s">
        <v>60</v>
      </c>
      <c r="U1305">
        <v>88</v>
      </c>
      <c r="V1305">
        <v>3.3</v>
      </c>
      <c r="W1305" t="s">
        <v>28</v>
      </c>
      <c r="X1305" t="s">
        <v>68</v>
      </c>
    </row>
    <row r="1306" spans="1:24" x14ac:dyDescent="0.3">
      <c r="A1306" t="s">
        <v>2582</v>
      </c>
      <c r="B1306" t="s">
        <v>92</v>
      </c>
      <c r="C1306" t="s">
        <v>93</v>
      </c>
      <c r="D1306" t="str">
        <f t="shared" si="60"/>
        <v>Morning</v>
      </c>
      <c r="E1306">
        <f>HOUR(EV_Data[[#This Row],[Charging Start Time]])</f>
        <v>8</v>
      </c>
      <c r="F1306" s="1">
        <v>44981.333333333336</v>
      </c>
      <c r="G1306" s="1">
        <v>44981.384027777778</v>
      </c>
      <c r="H1306">
        <v>73</v>
      </c>
      <c r="I1306">
        <v>46.94</v>
      </c>
      <c r="J1306" t="str">
        <f t="shared" si="61"/>
        <v>Medium</v>
      </c>
      <c r="K1306" t="s">
        <v>69</v>
      </c>
      <c r="L1306">
        <v>26</v>
      </c>
      <c r="M1306">
        <v>43</v>
      </c>
      <c r="N1306" t="str">
        <f t="shared" si="62"/>
        <v>Medium Cost</v>
      </c>
      <c r="O1306">
        <v>15.84</v>
      </c>
      <c r="P1306" t="s">
        <v>64</v>
      </c>
      <c r="Q1306" t="s">
        <v>48</v>
      </c>
      <c r="R1306" t="s">
        <v>25</v>
      </c>
      <c r="S1306" t="s">
        <v>360</v>
      </c>
      <c r="T1306" t="s">
        <v>37</v>
      </c>
      <c r="U1306">
        <v>44</v>
      </c>
      <c r="V1306">
        <v>1.9</v>
      </c>
      <c r="W1306" t="s">
        <v>47</v>
      </c>
      <c r="X1306" t="s">
        <v>29</v>
      </c>
    </row>
    <row r="1307" spans="1:24" x14ac:dyDescent="0.3">
      <c r="A1307" t="s">
        <v>2583</v>
      </c>
      <c r="B1307" t="s">
        <v>20</v>
      </c>
      <c r="C1307" t="s">
        <v>21</v>
      </c>
      <c r="D1307" t="str">
        <f t="shared" si="60"/>
        <v>Morning</v>
      </c>
      <c r="E1307">
        <f>HOUR(EV_Data[[#This Row],[Charging Start Time]])</f>
        <v>9</v>
      </c>
      <c r="F1307" s="1">
        <v>44981.375</v>
      </c>
      <c r="G1307" s="1">
        <v>44981.42083333333</v>
      </c>
      <c r="H1307">
        <v>66</v>
      </c>
      <c r="I1307">
        <v>8.9</v>
      </c>
      <c r="J1307" t="str">
        <f t="shared" si="61"/>
        <v>Low</v>
      </c>
      <c r="K1307" t="s">
        <v>69</v>
      </c>
      <c r="L1307">
        <v>66</v>
      </c>
      <c r="M1307">
        <v>81</v>
      </c>
      <c r="N1307" t="str">
        <f t="shared" si="62"/>
        <v>Low Cost</v>
      </c>
      <c r="O1307">
        <v>4.26</v>
      </c>
      <c r="P1307" t="s">
        <v>33</v>
      </c>
      <c r="Q1307" t="s">
        <v>48</v>
      </c>
      <c r="R1307" t="s">
        <v>56</v>
      </c>
      <c r="S1307" t="s">
        <v>989</v>
      </c>
      <c r="T1307" t="s">
        <v>27</v>
      </c>
      <c r="U1307">
        <v>1</v>
      </c>
      <c r="V1307">
        <v>3.9</v>
      </c>
      <c r="W1307" t="s">
        <v>38</v>
      </c>
      <c r="X1307" t="s">
        <v>83</v>
      </c>
    </row>
    <row r="1308" spans="1:24" x14ac:dyDescent="0.3">
      <c r="A1308" t="s">
        <v>2584</v>
      </c>
      <c r="B1308" t="s">
        <v>53</v>
      </c>
      <c r="C1308" t="s">
        <v>54</v>
      </c>
      <c r="D1308" t="str">
        <f t="shared" si="60"/>
        <v>Morning</v>
      </c>
      <c r="E1308">
        <f>HOUR(EV_Data[[#This Row],[Charging Start Time]])</f>
        <v>10</v>
      </c>
      <c r="F1308" s="1">
        <v>44981.416666666664</v>
      </c>
      <c r="G1308" s="1">
        <v>44981.448611111111</v>
      </c>
      <c r="H1308">
        <v>46</v>
      </c>
      <c r="I1308">
        <v>15.88</v>
      </c>
      <c r="J1308" t="str">
        <f t="shared" si="61"/>
        <v>Low</v>
      </c>
      <c r="K1308" t="s">
        <v>32</v>
      </c>
      <c r="L1308">
        <v>38</v>
      </c>
      <c r="M1308">
        <v>67</v>
      </c>
      <c r="N1308" t="str">
        <f t="shared" si="62"/>
        <v>Low Cost</v>
      </c>
      <c r="O1308">
        <v>7.62</v>
      </c>
      <c r="P1308" t="s">
        <v>64</v>
      </c>
      <c r="Q1308" t="s">
        <v>24</v>
      </c>
      <c r="R1308" t="s">
        <v>35</v>
      </c>
      <c r="S1308" t="s">
        <v>990</v>
      </c>
      <c r="T1308" t="s">
        <v>46</v>
      </c>
      <c r="U1308">
        <v>62</v>
      </c>
      <c r="V1308">
        <v>3.2</v>
      </c>
      <c r="W1308" t="s">
        <v>38</v>
      </c>
      <c r="X1308" t="s">
        <v>39</v>
      </c>
    </row>
    <row r="1309" spans="1:24" x14ac:dyDescent="0.3">
      <c r="A1309" t="s">
        <v>2585</v>
      </c>
      <c r="B1309" t="s">
        <v>40</v>
      </c>
      <c r="C1309" t="s">
        <v>41</v>
      </c>
      <c r="D1309" t="str">
        <f t="shared" si="60"/>
        <v>Morning</v>
      </c>
      <c r="E1309">
        <f>HOUR(EV_Data[[#This Row],[Charging Start Time]])</f>
        <v>11</v>
      </c>
      <c r="F1309" s="1">
        <v>44981.458333333336</v>
      </c>
      <c r="G1309" s="1">
        <v>44981.484027777777</v>
      </c>
      <c r="H1309">
        <v>37</v>
      </c>
      <c r="I1309">
        <v>35.86</v>
      </c>
      <c r="J1309" t="str">
        <f t="shared" si="61"/>
        <v>Medium</v>
      </c>
      <c r="K1309" t="s">
        <v>42</v>
      </c>
      <c r="L1309">
        <v>61</v>
      </c>
      <c r="M1309">
        <v>100</v>
      </c>
      <c r="N1309" t="str">
        <f t="shared" si="62"/>
        <v>Medium Cost</v>
      </c>
      <c r="O1309">
        <v>13.56</v>
      </c>
      <c r="P1309" t="s">
        <v>64</v>
      </c>
      <c r="Q1309" t="s">
        <v>48</v>
      </c>
      <c r="R1309" t="s">
        <v>56</v>
      </c>
      <c r="S1309" t="s">
        <v>551</v>
      </c>
      <c r="T1309" t="s">
        <v>37</v>
      </c>
      <c r="U1309">
        <v>60</v>
      </c>
      <c r="V1309">
        <v>4.0999999999999996</v>
      </c>
      <c r="W1309" t="s">
        <v>47</v>
      </c>
      <c r="X1309" t="s">
        <v>29</v>
      </c>
    </row>
    <row r="1310" spans="1:24" x14ac:dyDescent="0.3">
      <c r="A1310" t="s">
        <v>2586</v>
      </c>
      <c r="B1310" t="s">
        <v>92</v>
      </c>
      <c r="C1310" t="s">
        <v>93</v>
      </c>
      <c r="D1310" t="str">
        <f t="shared" si="60"/>
        <v>Afternoon</v>
      </c>
      <c r="E1310">
        <f>HOUR(EV_Data[[#This Row],[Charging Start Time]])</f>
        <v>12</v>
      </c>
      <c r="F1310" s="1">
        <v>44981.5</v>
      </c>
      <c r="G1310" s="1">
        <v>44981.556250000001</v>
      </c>
      <c r="H1310">
        <v>81</v>
      </c>
      <c r="I1310">
        <v>30.12</v>
      </c>
      <c r="J1310" t="str">
        <f t="shared" si="61"/>
        <v>Medium</v>
      </c>
      <c r="K1310" t="s">
        <v>42</v>
      </c>
      <c r="L1310">
        <v>67</v>
      </c>
      <c r="M1310">
        <v>86</v>
      </c>
      <c r="N1310" t="str">
        <f t="shared" si="62"/>
        <v>Medium Cost</v>
      </c>
      <c r="O1310">
        <v>9.82</v>
      </c>
      <c r="P1310" t="s">
        <v>51</v>
      </c>
      <c r="Q1310" t="s">
        <v>34</v>
      </c>
      <c r="R1310" t="s">
        <v>25</v>
      </c>
      <c r="S1310" t="s">
        <v>991</v>
      </c>
      <c r="T1310" t="s">
        <v>60</v>
      </c>
      <c r="U1310">
        <v>27</v>
      </c>
      <c r="V1310">
        <v>4.9000000000000004</v>
      </c>
      <c r="W1310" t="s">
        <v>38</v>
      </c>
    </row>
    <row r="1311" spans="1:24" x14ac:dyDescent="0.3">
      <c r="A1311" t="s">
        <v>2587</v>
      </c>
      <c r="B1311" t="s">
        <v>30</v>
      </c>
      <c r="C1311" t="s">
        <v>102</v>
      </c>
      <c r="D1311" t="str">
        <f t="shared" si="60"/>
        <v>Afternoon</v>
      </c>
      <c r="E1311">
        <f>HOUR(EV_Data[[#This Row],[Charging Start Time]])</f>
        <v>13</v>
      </c>
      <c r="F1311" s="1">
        <v>44981.541666666664</v>
      </c>
      <c r="G1311" s="1">
        <v>44981.584027777782</v>
      </c>
      <c r="H1311">
        <v>61</v>
      </c>
      <c r="I1311">
        <v>5.61</v>
      </c>
      <c r="J1311" t="str">
        <f t="shared" si="61"/>
        <v>Low</v>
      </c>
      <c r="K1311" t="s">
        <v>69</v>
      </c>
      <c r="L1311">
        <v>38</v>
      </c>
      <c r="M1311">
        <v>70</v>
      </c>
      <c r="N1311" t="str">
        <f t="shared" si="62"/>
        <v>Low Cost</v>
      </c>
      <c r="O1311">
        <v>2.6</v>
      </c>
      <c r="P1311" t="s">
        <v>43</v>
      </c>
      <c r="Q1311" t="s">
        <v>34</v>
      </c>
      <c r="R1311" t="s">
        <v>44</v>
      </c>
      <c r="S1311" t="s">
        <v>66</v>
      </c>
      <c r="T1311" t="s">
        <v>46</v>
      </c>
      <c r="U1311">
        <v>83</v>
      </c>
      <c r="V1311">
        <v>5</v>
      </c>
      <c r="W1311" t="s">
        <v>28</v>
      </c>
      <c r="X1311" t="s">
        <v>68</v>
      </c>
    </row>
    <row r="1312" spans="1:24" x14ac:dyDescent="0.3">
      <c r="A1312" t="s">
        <v>2588</v>
      </c>
      <c r="B1312" t="s">
        <v>40</v>
      </c>
      <c r="C1312" t="s">
        <v>41</v>
      </c>
      <c r="D1312" t="str">
        <f t="shared" si="60"/>
        <v>Afternoon</v>
      </c>
      <c r="E1312">
        <f>HOUR(EV_Data[[#This Row],[Charging Start Time]])</f>
        <v>14</v>
      </c>
      <c r="F1312" s="1">
        <v>44981.583333333336</v>
      </c>
      <c r="G1312" s="1">
        <v>44981.613194444442</v>
      </c>
      <c r="H1312">
        <v>43</v>
      </c>
      <c r="I1312">
        <v>7.01</v>
      </c>
      <c r="J1312" t="str">
        <f t="shared" si="61"/>
        <v>Low</v>
      </c>
      <c r="K1312" t="s">
        <v>69</v>
      </c>
      <c r="L1312">
        <v>19</v>
      </c>
      <c r="M1312">
        <v>46</v>
      </c>
      <c r="N1312" t="str">
        <f t="shared" si="62"/>
        <v>Low Cost</v>
      </c>
      <c r="O1312">
        <v>2.17</v>
      </c>
      <c r="P1312" t="s">
        <v>51</v>
      </c>
      <c r="Q1312" t="s">
        <v>34</v>
      </c>
      <c r="R1312" t="s">
        <v>56</v>
      </c>
      <c r="S1312" t="s">
        <v>667</v>
      </c>
      <c r="T1312" t="s">
        <v>60</v>
      </c>
      <c r="U1312">
        <v>44</v>
      </c>
      <c r="V1312">
        <v>3.1</v>
      </c>
      <c r="W1312" t="s">
        <v>28</v>
      </c>
      <c r="X1312" t="s">
        <v>68</v>
      </c>
    </row>
    <row r="1313" spans="1:24" x14ac:dyDescent="0.3">
      <c r="A1313" t="s">
        <v>2589</v>
      </c>
      <c r="B1313" t="s">
        <v>126</v>
      </c>
      <c r="C1313" t="s">
        <v>31</v>
      </c>
      <c r="D1313" t="str">
        <f t="shared" si="60"/>
        <v>Afternoon</v>
      </c>
      <c r="E1313">
        <f>HOUR(EV_Data[[#This Row],[Charging Start Time]])</f>
        <v>15</v>
      </c>
      <c r="F1313" s="1">
        <v>44981.625</v>
      </c>
      <c r="G1313" s="1">
        <v>44981.650694444441</v>
      </c>
      <c r="H1313">
        <v>37</v>
      </c>
      <c r="I1313">
        <v>29.41</v>
      </c>
      <c r="J1313" t="str">
        <f t="shared" si="61"/>
        <v>Medium</v>
      </c>
      <c r="K1313" t="s">
        <v>32</v>
      </c>
      <c r="L1313">
        <v>13</v>
      </c>
      <c r="M1313">
        <v>24</v>
      </c>
      <c r="N1313" t="str">
        <f t="shared" si="62"/>
        <v>Medium Cost</v>
      </c>
      <c r="O1313">
        <v>10.96</v>
      </c>
      <c r="P1313" t="s">
        <v>23</v>
      </c>
      <c r="Q1313" t="s">
        <v>58</v>
      </c>
      <c r="R1313" t="s">
        <v>25</v>
      </c>
      <c r="S1313" t="s">
        <v>992</v>
      </c>
      <c r="T1313" t="s">
        <v>37</v>
      </c>
      <c r="U1313">
        <v>97</v>
      </c>
      <c r="V1313">
        <v>4.7</v>
      </c>
      <c r="W1313" t="s">
        <v>28</v>
      </c>
      <c r="X1313" t="s">
        <v>68</v>
      </c>
    </row>
    <row r="1314" spans="1:24" x14ac:dyDescent="0.3">
      <c r="A1314" t="s">
        <v>2590</v>
      </c>
      <c r="B1314" t="s">
        <v>40</v>
      </c>
      <c r="C1314" t="s">
        <v>41</v>
      </c>
      <c r="D1314" t="str">
        <f t="shared" si="60"/>
        <v>Afternoon</v>
      </c>
      <c r="E1314">
        <f>HOUR(EV_Data[[#This Row],[Charging Start Time]])</f>
        <v>16</v>
      </c>
      <c r="F1314" s="1">
        <v>44981.666666666664</v>
      </c>
      <c r="G1314" s="1">
        <v>44981.717361111107</v>
      </c>
      <c r="H1314">
        <v>73</v>
      </c>
      <c r="I1314">
        <v>33.380000000000003</v>
      </c>
      <c r="J1314" t="str">
        <f t="shared" si="61"/>
        <v>Medium</v>
      </c>
      <c r="K1314" t="s">
        <v>50</v>
      </c>
      <c r="L1314">
        <v>9</v>
      </c>
      <c r="M1314">
        <v>25</v>
      </c>
      <c r="N1314" t="str">
        <f t="shared" si="62"/>
        <v>Medium Cost</v>
      </c>
      <c r="O1314">
        <v>14.36</v>
      </c>
      <c r="P1314" t="s">
        <v>51</v>
      </c>
      <c r="Q1314" t="s">
        <v>24</v>
      </c>
      <c r="R1314" t="s">
        <v>44</v>
      </c>
      <c r="S1314" t="s">
        <v>993</v>
      </c>
      <c r="T1314" t="s">
        <v>37</v>
      </c>
      <c r="U1314">
        <v>85</v>
      </c>
      <c r="V1314">
        <v>4.7</v>
      </c>
      <c r="W1314" t="s">
        <v>47</v>
      </c>
      <c r="X1314" t="s">
        <v>29</v>
      </c>
    </row>
    <row r="1315" spans="1:24" x14ac:dyDescent="0.3">
      <c r="A1315" t="s">
        <v>2591</v>
      </c>
      <c r="B1315" t="s">
        <v>20</v>
      </c>
      <c r="C1315" t="s">
        <v>21</v>
      </c>
      <c r="D1315" t="str">
        <f t="shared" si="60"/>
        <v>Evening</v>
      </c>
      <c r="E1315">
        <f>HOUR(EV_Data[[#This Row],[Charging Start Time]])</f>
        <v>17</v>
      </c>
      <c r="F1315" s="1">
        <v>44981.708333333336</v>
      </c>
      <c r="G1315" s="1">
        <v>44981.729166666657</v>
      </c>
      <c r="H1315">
        <v>30</v>
      </c>
      <c r="I1315">
        <v>49.2</v>
      </c>
      <c r="J1315" t="str">
        <f t="shared" si="61"/>
        <v>Medium</v>
      </c>
      <c r="K1315" t="s">
        <v>50</v>
      </c>
      <c r="L1315">
        <v>46</v>
      </c>
      <c r="M1315">
        <v>63</v>
      </c>
      <c r="N1315" t="str">
        <f t="shared" si="62"/>
        <v>Medium Cost</v>
      </c>
      <c r="O1315">
        <v>15.31</v>
      </c>
      <c r="P1315" t="s">
        <v>51</v>
      </c>
      <c r="Q1315" t="s">
        <v>24</v>
      </c>
      <c r="R1315" t="s">
        <v>44</v>
      </c>
      <c r="S1315" t="s">
        <v>873</v>
      </c>
      <c r="T1315" t="s">
        <v>46</v>
      </c>
      <c r="U1315">
        <v>59</v>
      </c>
      <c r="V1315">
        <v>2.4</v>
      </c>
      <c r="W1315" t="s">
        <v>47</v>
      </c>
      <c r="X1315" t="s">
        <v>29</v>
      </c>
    </row>
    <row r="1316" spans="1:24" x14ac:dyDescent="0.3">
      <c r="A1316" t="s">
        <v>2592</v>
      </c>
      <c r="B1316" t="s">
        <v>92</v>
      </c>
      <c r="C1316" t="s">
        <v>93</v>
      </c>
      <c r="D1316" t="str">
        <f t="shared" si="60"/>
        <v>Evening</v>
      </c>
      <c r="E1316">
        <f>HOUR(EV_Data[[#This Row],[Charging Start Time]])</f>
        <v>18</v>
      </c>
      <c r="F1316" s="1">
        <v>44981.75</v>
      </c>
      <c r="G1316" s="1">
        <v>44981.8125</v>
      </c>
      <c r="H1316">
        <v>90</v>
      </c>
      <c r="I1316">
        <v>25.75</v>
      </c>
      <c r="J1316" t="str">
        <f t="shared" si="61"/>
        <v>Medium</v>
      </c>
      <c r="K1316" t="s">
        <v>69</v>
      </c>
      <c r="L1316">
        <v>80</v>
      </c>
      <c r="M1316">
        <v>100</v>
      </c>
      <c r="N1316" t="str">
        <f t="shared" si="62"/>
        <v>Low Cost</v>
      </c>
      <c r="O1316">
        <v>5.99</v>
      </c>
      <c r="P1316" t="s">
        <v>23</v>
      </c>
      <c r="Q1316" t="s">
        <v>58</v>
      </c>
      <c r="R1316" t="s">
        <v>44</v>
      </c>
      <c r="S1316" t="s">
        <v>994</v>
      </c>
      <c r="T1316" t="s">
        <v>27</v>
      </c>
      <c r="U1316">
        <v>47</v>
      </c>
      <c r="V1316">
        <v>2</v>
      </c>
      <c r="W1316" t="s">
        <v>38</v>
      </c>
      <c r="X1316" t="s">
        <v>39</v>
      </c>
    </row>
    <row r="1317" spans="1:24" x14ac:dyDescent="0.3">
      <c r="A1317" t="s">
        <v>2593</v>
      </c>
      <c r="B1317" t="s">
        <v>77</v>
      </c>
      <c r="C1317" t="s">
        <v>78</v>
      </c>
      <c r="D1317" t="str">
        <f t="shared" si="60"/>
        <v>Evening</v>
      </c>
      <c r="E1317">
        <f>HOUR(EV_Data[[#This Row],[Charging Start Time]])</f>
        <v>19</v>
      </c>
      <c r="F1317" s="1">
        <v>44981.791666666664</v>
      </c>
      <c r="G1317" s="1">
        <v>44981.813888888893</v>
      </c>
      <c r="H1317">
        <v>32</v>
      </c>
      <c r="I1317">
        <v>38.43</v>
      </c>
      <c r="J1317" t="str">
        <f t="shared" si="61"/>
        <v>Medium</v>
      </c>
      <c r="K1317" t="s">
        <v>22</v>
      </c>
      <c r="L1317">
        <v>79</v>
      </c>
      <c r="M1317">
        <v>100</v>
      </c>
      <c r="N1317" t="str">
        <f t="shared" si="62"/>
        <v>High Cost</v>
      </c>
      <c r="O1317">
        <v>17.29</v>
      </c>
      <c r="P1317" t="s">
        <v>43</v>
      </c>
      <c r="Q1317" t="s">
        <v>58</v>
      </c>
      <c r="R1317" t="s">
        <v>25</v>
      </c>
      <c r="S1317" t="s">
        <v>65</v>
      </c>
      <c r="T1317" t="s">
        <v>60</v>
      </c>
      <c r="U1317">
        <v>97</v>
      </c>
      <c r="V1317">
        <v>1.4</v>
      </c>
      <c r="W1317" t="s">
        <v>47</v>
      </c>
      <c r="X1317" t="s">
        <v>29</v>
      </c>
    </row>
    <row r="1318" spans="1:24" x14ac:dyDescent="0.3">
      <c r="A1318" t="s">
        <v>2594</v>
      </c>
      <c r="B1318" t="s">
        <v>20</v>
      </c>
      <c r="C1318" t="s">
        <v>21</v>
      </c>
      <c r="D1318" t="str">
        <f t="shared" si="60"/>
        <v>Evening</v>
      </c>
      <c r="E1318">
        <f>HOUR(EV_Data[[#This Row],[Charging Start Time]])</f>
        <v>20</v>
      </c>
      <c r="F1318" s="1">
        <v>44981.833333333336</v>
      </c>
      <c r="G1318" s="1">
        <v>44981.855555555558</v>
      </c>
      <c r="H1318">
        <v>32</v>
      </c>
      <c r="I1318">
        <v>44.27</v>
      </c>
      <c r="J1318" t="str">
        <f t="shared" si="61"/>
        <v>Medium</v>
      </c>
      <c r="K1318" t="s">
        <v>69</v>
      </c>
      <c r="L1318">
        <v>5</v>
      </c>
      <c r="M1318">
        <v>26</v>
      </c>
      <c r="N1318" t="str">
        <f t="shared" si="62"/>
        <v>Medium Cost</v>
      </c>
      <c r="O1318">
        <v>12.31</v>
      </c>
      <c r="P1318" t="s">
        <v>64</v>
      </c>
      <c r="Q1318" t="s">
        <v>24</v>
      </c>
      <c r="R1318" t="s">
        <v>44</v>
      </c>
      <c r="S1318" t="s">
        <v>995</v>
      </c>
      <c r="T1318" t="s">
        <v>27</v>
      </c>
      <c r="U1318">
        <v>56</v>
      </c>
      <c r="V1318">
        <v>3.2</v>
      </c>
      <c r="W1318" t="s">
        <v>47</v>
      </c>
      <c r="X1318" t="s">
        <v>29</v>
      </c>
    </row>
    <row r="1319" spans="1:24" x14ac:dyDescent="0.3">
      <c r="A1319" t="s">
        <v>2595</v>
      </c>
      <c r="B1319" t="s">
        <v>92</v>
      </c>
      <c r="C1319" t="s">
        <v>93</v>
      </c>
      <c r="D1319" t="str">
        <f t="shared" si="60"/>
        <v>Evening</v>
      </c>
      <c r="E1319">
        <f>HOUR(EV_Data[[#This Row],[Charging Start Time]])</f>
        <v>21</v>
      </c>
      <c r="F1319" s="1">
        <v>44981.875</v>
      </c>
      <c r="G1319" s="1">
        <v>44981.885416666657</v>
      </c>
      <c r="H1319">
        <v>15</v>
      </c>
      <c r="I1319">
        <v>39.94</v>
      </c>
      <c r="J1319" t="str">
        <f t="shared" si="61"/>
        <v>Medium</v>
      </c>
      <c r="K1319" t="s">
        <v>69</v>
      </c>
      <c r="L1319">
        <v>27</v>
      </c>
      <c r="M1319">
        <v>54</v>
      </c>
      <c r="N1319" t="str">
        <f t="shared" si="62"/>
        <v>Medium Cost</v>
      </c>
      <c r="O1319">
        <v>11.04</v>
      </c>
      <c r="P1319" t="s">
        <v>43</v>
      </c>
      <c r="Q1319" t="s">
        <v>58</v>
      </c>
      <c r="R1319" t="s">
        <v>25</v>
      </c>
      <c r="S1319" t="s">
        <v>919</v>
      </c>
      <c r="T1319" t="s">
        <v>46</v>
      </c>
      <c r="U1319">
        <v>7</v>
      </c>
      <c r="V1319">
        <v>4</v>
      </c>
      <c r="W1319" t="s">
        <v>47</v>
      </c>
      <c r="X1319" t="s">
        <v>29</v>
      </c>
    </row>
    <row r="1320" spans="1:24" x14ac:dyDescent="0.3">
      <c r="A1320" t="s">
        <v>2596</v>
      </c>
      <c r="B1320" t="s">
        <v>71</v>
      </c>
      <c r="C1320" t="s">
        <v>72</v>
      </c>
      <c r="D1320" t="str">
        <f t="shared" si="60"/>
        <v>Evening</v>
      </c>
      <c r="E1320">
        <f>HOUR(EV_Data[[#This Row],[Charging Start Time]])</f>
        <v>22</v>
      </c>
      <c r="F1320" s="1">
        <v>44981.916666666664</v>
      </c>
      <c r="G1320" s="1">
        <v>44981.92291666667</v>
      </c>
      <c r="H1320">
        <v>9</v>
      </c>
      <c r="I1320">
        <v>26.21</v>
      </c>
      <c r="J1320" t="str">
        <f t="shared" si="61"/>
        <v>Medium</v>
      </c>
      <c r="K1320" t="s">
        <v>50</v>
      </c>
      <c r="L1320">
        <v>23</v>
      </c>
      <c r="M1320">
        <v>34</v>
      </c>
      <c r="N1320" t="str">
        <f t="shared" si="62"/>
        <v>Medium Cost</v>
      </c>
      <c r="O1320">
        <v>10.38</v>
      </c>
      <c r="P1320" t="s">
        <v>64</v>
      </c>
      <c r="Q1320" t="s">
        <v>58</v>
      </c>
      <c r="R1320" t="s">
        <v>56</v>
      </c>
      <c r="S1320" t="s">
        <v>996</v>
      </c>
      <c r="T1320" t="s">
        <v>27</v>
      </c>
      <c r="U1320">
        <v>87</v>
      </c>
      <c r="V1320">
        <v>4.2</v>
      </c>
      <c r="W1320" t="s">
        <v>47</v>
      </c>
      <c r="X1320" t="s">
        <v>29</v>
      </c>
    </row>
    <row r="1321" spans="1:24" x14ac:dyDescent="0.3">
      <c r="A1321" t="s">
        <v>2597</v>
      </c>
      <c r="B1321" t="s">
        <v>40</v>
      </c>
      <c r="C1321" t="s">
        <v>41</v>
      </c>
      <c r="D1321" t="str">
        <f t="shared" si="60"/>
        <v>Evening</v>
      </c>
      <c r="E1321">
        <f>HOUR(EV_Data[[#This Row],[Charging Start Time]])</f>
        <v>23</v>
      </c>
      <c r="F1321" s="1">
        <v>44981.958333333336</v>
      </c>
      <c r="G1321" s="1">
        <v>44982.011805555558</v>
      </c>
      <c r="H1321">
        <v>77</v>
      </c>
      <c r="I1321">
        <v>18.489999999999998</v>
      </c>
      <c r="J1321" t="str">
        <f t="shared" si="61"/>
        <v>Low</v>
      </c>
      <c r="K1321" t="s">
        <v>50</v>
      </c>
      <c r="L1321">
        <v>61</v>
      </c>
      <c r="M1321">
        <v>85</v>
      </c>
      <c r="N1321" t="str">
        <f t="shared" si="62"/>
        <v>Low Cost</v>
      </c>
      <c r="O1321">
        <v>4.41</v>
      </c>
      <c r="P1321" t="s">
        <v>23</v>
      </c>
      <c r="Q1321" t="s">
        <v>48</v>
      </c>
      <c r="R1321" t="s">
        <v>44</v>
      </c>
      <c r="S1321" t="s">
        <v>997</v>
      </c>
      <c r="T1321" t="s">
        <v>46</v>
      </c>
      <c r="U1321">
        <v>91</v>
      </c>
      <c r="V1321">
        <v>2.4</v>
      </c>
      <c r="W1321" t="s">
        <v>28</v>
      </c>
      <c r="X1321" t="s">
        <v>68</v>
      </c>
    </row>
    <row r="1322" spans="1:24" x14ac:dyDescent="0.3">
      <c r="A1322" t="s">
        <v>2598</v>
      </c>
      <c r="B1322" t="s">
        <v>126</v>
      </c>
      <c r="C1322" t="s">
        <v>31</v>
      </c>
      <c r="D1322" t="str">
        <f t="shared" si="60"/>
        <v>Morning</v>
      </c>
      <c r="E1322">
        <f>HOUR(EV_Data[[#This Row],[Charging Start Time]])</f>
        <v>0</v>
      </c>
      <c r="F1322" s="1">
        <v>44982</v>
      </c>
      <c r="G1322" s="1">
        <v>44982.000694444447</v>
      </c>
      <c r="H1322">
        <v>1</v>
      </c>
      <c r="I1322">
        <v>49.24</v>
      </c>
      <c r="J1322" t="str">
        <f t="shared" si="61"/>
        <v>Medium</v>
      </c>
      <c r="K1322" t="s">
        <v>55</v>
      </c>
      <c r="L1322">
        <v>30</v>
      </c>
      <c r="M1322">
        <v>58</v>
      </c>
      <c r="N1322" t="str">
        <f t="shared" si="62"/>
        <v>Medium Cost</v>
      </c>
      <c r="O1322">
        <v>13.54</v>
      </c>
      <c r="P1322" t="s">
        <v>43</v>
      </c>
      <c r="Q1322" t="s">
        <v>34</v>
      </c>
      <c r="R1322" t="s">
        <v>44</v>
      </c>
      <c r="S1322" t="s">
        <v>998</v>
      </c>
      <c r="T1322" t="s">
        <v>37</v>
      </c>
      <c r="U1322">
        <v>90</v>
      </c>
      <c r="V1322">
        <v>2</v>
      </c>
      <c r="W1322" t="s">
        <v>47</v>
      </c>
      <c r="X1322" t="s">
        <v>29</v>
      </c>
    </row>
    <row r="1323" spans="1:24" x14ac:dyDescent="0.3">
      <c r="A1323" t="s">
        <v>2599</v>
      </c>
      <c r="B1323" t="s">
        <v>40</v>
      </c>
      <c r="C1323" t="s">
        <v>41</v>
      </c>
      <c r="D1323" t="str">
        <f t="shared" si="60"/>
        <v>Morning</v>
      </c>
      <c r="E1323">
        <f>HOUR(EV_Data[[#This Row],[Charging Start Time]])</f>
        <v>1</v>
      </c>
      <c r="F1323" s="1">
        <v>44982.041666666664</v>
      </c>
      <c r="G1323" s="1">
        <v>44982.051388888889</v>
      </c>
      <c r="H1323">
        <v>14</v>
      </c>
      <c r="I1323">
        <v>12.67</v>
      </c>
      <c r="J1323" t="str">
        <f t="shared" si="61"/>
        <v>Low</v>
      </c>
      <c r="K1323" t="s">
        <v>55</v>
      </c>
      <c r="L1323">
        <v>65</v>
      </c>
      <c r="M1323">
        <v>88</v>
      </c>
      <c r="N1323" t="str">
        <f t="shared" si="62"/>
        <v>Low Cost</v>
      </c>
      <c r="O1323">
        <v>4.08</v>
      </c>
      <c r="P1323" t="s">
        <v>43</v>
      </c>
      <c r="Q1323" t="s">
        <v>24</v>
      </c>
      <c r="R1323" t="s">
        <v>25</v>
      </c>
      <c r="S1323" t="s">
        <v>999</v>
      </c>
      <c r="T1323" t="s">
        <v>27</v>
      </c>
      <c r="U1323">
        <v>48</v>
      </c>
      <c r="V1323">
        <v>2</v>
      </c>
      <c r="W1323" t="s">
        <v>28</v>
      </c>
      <c r="X1323" t="s">
        <v>68</v>
      </c>
    </row>
    <row r="1324" spans="1:24" x14ac:dyDescent="0.3">
      <c r="A1324" t="s">
        <v>2600</v>
      </c>
      <c r="B1324" t="s">
        <v>71</v>
      </c>
      <c r="C1324" t="s">
        <v>72</v>
      </c>
      <c r="D1324" t="str">
        <f t="shared" si="60"/>
        <v>Morning</v>
      </c>
      <c r="E1324">
        <f>HOUR(EV_Data[[#This Row],[Charging Start Time]])</f>
        <v>2</v>
      </c>
      <c r="F1324" s="1">
        <v>44982.083333333336</v>
      </c>
      <c r="G1324" s="1">
        <v>44982.137499999997</v>
      </c>
      <c r="H1324">
        <v>78</v>
      </c>
      <c r="I1324">
        <v>5.93</v>
      </c>
      <c r="J1324" t="str">
        <f t="shared" si="61"/>
        <v>Low</v>
      </c>
      <c r="K1324" t="s">
        <v>69</v>
      </c>
      <c r="L1324">
        <v>59</v>
      </c>
      <c r="M1324">
        <v>84</v>
      </c>
      <c r="N1324" t="str">
        <f t="shared" si="62"/>
        <v>Low Cost</v>
      </c>
      <c r="O1324">
        <v>2.95</v>
      </c>
      <c r="P1324" t="s">
        <v>64</v>
      </c>
      <c r="Q1324" t="s">
        <v>58</v>
      </c>
      <c r="R1324" t="s">
        <v>35</v>
      </c>
      <c r="S1324" t="s">
        <v>358</v>
      </c>
      <c r="T1324" t="s">
        <v>37</v>
      </c>
      <c r="U1324">
        <v>13</v>
      </c>
      <c r="V1324">
        <v>1.1000000000000001</v>
      </c>
      <c r="W1324" t="s">
        <v>28</v>
      </c>
      <c r="X1324" t="s">
        <v>68</v>
      </c>
    </row>
    <row r="1325" spans="1:24" x14ac:dyDescent="0.3">
      <c r="A1325" t="s">
        <v>2601</v>
      </c>
      <c r="B1325" t="s">
        <v>126</v>
      </c>
      <c r="C1325" t="s">
        <v>31</v>
      </c>
      <c r="D1325" t="str">
        <f t="shared" si="60"/>
        <v>Morning</v>
      </c>
      <c r="E1325">
        <f>HOUR(EV_Data[[#This Row],[Charging Start Time]])</f>
        <v>3</v>
      </c>
      <c r="F1325" s="1">
        <v>44982.125</v>
      </c>
      <c r="G1325" s="1">
        <v>44982.154861111107</v>
      </c>
      <c r="H1325">
        <v>43</v>
      </c>
      <c r="I1325">
        <v>30.7</v>
      </c>
      <c r="J1325" t="str">
        <f t="shared" si="61"/>
        <v>Medium</v>
      </c>
      <c r="K1325" t="s">
        <v>55</v>
      </c>
      <c r="L1325">
        <v>5</v>
      </c>
      <c r="M1325">
        <v>25</v>
      </c>
      <c r="N1325" t="str">
        <f t="shared" si="62"/>
        <v>Medium Cost</v>
      </c>
      <c r="O1325">
        <v>11.23</v>
      </c>
      <c r="P1325" t="s">
        <v>23</v>
      </c>
      <c r="Q1325" t="s">
        <v>58</v>
      </c>
      <c r="R1325" t="s">
        <v>44</v>
      </c>
      <c r="S1325" t="s">
        <v>775</v>
      </c>
      <c r="T1325" t="s">
        <v>37</v>
      </c>
      <c r="U1325">
        <v>25</v>
      </c>
      <c r="V1325">
        <v>1.1000000000000001</v>
      </c>
      <c r="W1325" t="s">
        <v>28</v>
      </c>
      <c r="X1325" t="s">
        <v>68</v>
      </c>
    </row>
    <row r="1326" spans="1:24" x14ac:dyDescent="0.3">
      <c r="A1326" t="s">
        <v>2602</v>
      </c>
      <c r="B1326" t="s">
        <v>77</v>
      </c>
      <c r="C1326" t="s">
        <v>78</v>
      </c>
      <c r="D1326" t="str">
        <f t="shared" si="60"/>
        <v>Morning</v>
      </c>
      <c r="E1326">
        <f>HOUR(EV_Data[[#This Row],[Charging Start Time]])</f>
        <v>4</v>
      </c>
      <c r="F1326" s="1">
        <v>44982.166666666664</v>
      </c>
      <c r="G1326" s="1">
        <v>44982.209722222222</v>
      </c>
      <c r="H1326">
        <v>62</v>
      </c>
      <c r="I1326">
        <v>9.9700000000000006</v>
      </c>
      <c r="J1326" t="str">
        <f t="shared" si="61"/>
        <v>Low</v>
      </c>
      <c r="K1326" t="s">
        <v>32</v>
      </c>
      <c r="L1326">
        <v>57</v>
      </c>
      <c r="M1326">
        <v>85</v>
      </c>
      <c r="N1326" t="str">
        <f t="shared" si="62"/>
        <v>Low Cost</v>
      </c>
      <c r="O1326">
        <v>4.76</v>
      </c>
      <c r="P1326" t="s">
        <v>64</v>
      </c>
      <c r="Q1326" t="s">
        <v>24</v>
      </c>
      <c r="R1326" t="s">
        <v>56</v>
      </c>
      <c r="S1326" t="s">
        <v>1000</v>
      </c>
      <c r="T1326" t="s">
        <v>27</v>
      </c>
      <c r="U1326">
        <v>80</v>
      </c>
      <c r="V1326">
        <v>4.5999999999999996</v>
      </c>
      <c r="W1326" t="s">
        <v>38</v>
      </c>
    </row>
    <row r="1327" spans="1:24" x14ac:dyDescent="0.3">
      <c r="A1327" t="s">
        <v>2603</v>
      </c>
      <c r="B1327" t="s">
        <v>126</v>
      </c>
      <c r="C1327" t="s">
        <v>31</v>
      </c>
      <c r="D1327" t="str">
        <f t="shared" si="60"/>
        <v>Morning</v>
      </c>
      <c r="E1327">
        <f>HOUR(EV_Data[[#This Row],[Charging Start Time]])</f>
        <v>5</v>
      </c>
      <c r="F1327" s="1">
        <v>44982.208333333336</v>
      </c>
      <c r="G1327" s="1">
        <v>44982.271527777782</v>
      </c>
      <c r="H1327">
        <v>91</v>
      </c>
      <c r="I1327">
        <v>49.53</v>
      </c>
      <c r="J1327" t="str">
        <f t="shared" si="61"/>
        <v>Medium</v>
      </c>
      <c r="K1327" t="s">
        <v>50</v>
      </c>
      <c r="L1327">
        <v>15</v>
      </c>
      <c r="M1327">
        <v>46</v>
      </c>
      <c r="N1327" t="str">
        <f t="shared" si="62"/>
        <v>High Cost</v>
      </c>
      <c r="O1327">
        <v>22.53</v>
      </c>
      <c r="P1327" t="s">
        <v>51</v>
      </c>
      <c r="Q1327" t="s">
        <v>24</v>
      </c>
      <c r="R1327" t="s">
        <v>35</v>
      </c>
      <c r="S1327" t="s">
        <v>672</v>
      </c>
      <c r="T1327" t="s">
        <v>37</v>
      </c>
      <c r="U1327">
        <v>13</v>
      </c>
      <c r="V1327">
        <v>3.3</v>
      </c>
      <c r="W1327" t="s">
        <v>28</v>
      </c>
      <c r="X1327" t="s">
        <v>68</v>
      </c>
    </row>
    <row r="1328" spans="1:24" x14ac:dyDescent="0.3">
      <c r="A1328" t="s">
        <v>2604</v>
      </c>
      <c r="B1328" t="s">
        <v>126</v>
      </c>
      <c r="C1328" t="s">
        <v>31</v>
      </c>
      <c r="D1328" t="str">
        <f t="shared" si="60"/>
        <v>Morning</v>
      </c>
      <c r="E1328">
        <f>HOUR(EV_Data[[#This Row],[Charging Start Time]])</f>
        <v>6</v>
      </c>
      <c r="F1328" s="1">
        <v>44982.25</v>
      </c>
      <c r="G1328" s="1">
        <v>44982.295138888891</v>
      </c>
      <c r="H1328">
        <v>65</v>
      </c>
      <c r="I1328">
        <v>16.36</v>
      </c>
      <c r="J1328" t="str">
        <f t="shared" si="61"/>
        <v>Low</v>
      </c>
      <c r="K1328" t="s">
        <v>69</v>
      </c>
      <c r="L1328">
        <v>70</v>
      </c>
      <c r="M1328">
        <v>100</v>
      </c>
      <c r="N1328" t="str">
        <f t="shared" si="62"/>
        <v>Low Cost</v>
      </c>
      <c r="O1328">
        <v>7.85</v>
      </c>
      <c r="P1328" t="s">
        <v>43</v>
      </c>
      <c r="Q1328" t="s">
        <v>58</v>
      </c>
      <c r="R1328" t="s">
        <v>56</v>
      </c>
      <c r="S1328" t="s">
        <v>576</v>
      </c>
      <c r="T1328" t="s">
        <v>27</v>
      </c>
      <c r="U1328">
        <v>28</v>
      </c>
      <c r="V1328">
        <v>4.7</v>
      </c>
      <c r="W1328" t="s">
        <v>28</v>
      </c>
      <c r="X1328" t="s">
        <v>68</v>
      </c>
    </row>
    <row r="1329" spans="1:24" x14ac:dyDescent="0.3">
      <c r="A1329" t="s">
        <v>2605</v>
      </c>
      <c r="B1329" t="s">
        <v>71</v>
      </c>
      <c r="C1329" t="s">
        <v>72</v>
      </c>
      <c r="D1329" t="str">
        <f t="shared" si="60"/>
        <v>Morning</v>
      </c>
      <c r="E1329">
        <f>HOUR(EV_Data[[#This Row],[Charging Start Time]])</f>
        <v>7</v>
      </c>
      <c r="F1329" s="1">
        <v>44982.291666666664</v>
      </c>
      <c r="G1329" s="1">
        <v>44982.334722222222</v>
      </c>
      <c r="H1329">
        <v>62</v>
      </c>
      <c r="I1329">
        <v>43.21</v>
      </c>
      <c r="J1329" t="str">
        <f t="shared" si="61"/>
        <v>Medium</v>
      </c>
      <c r="K1329" t="s">
        <v>50</v>
      </c>
      <c r="L1329">
        <v>25</v>
      </c>
      <c r="M1329">
        <v>36</v>
      </c>
      <c r="N1329" t="str">
        <f t="shared" si="62"/>
        <v>High Cost</v>
      </c>
      <c r="O1329">
        <v>18.809999999999999</v>
      </c>
      <c r="P1329" t="s">
        <v>33</v>
      </c>
      <c r="Q1329" t="s">
        <v>48</v>
      </c>
      <c r="R1329" t="s">
        <v>56</v>
      </c>
      <c r="S1329" t="s">
        <v>731</v>
      </c>
      <c r="T1329" t="s">
        <v>60</v>
      </c>
      <c r="U1329">
        <v>59</v>
      </c>
      <c r="V1329">
        <v>2.9</v>
      </c>
      <c r="W1329" t="s">
        <v>28</v>
      </c>
      <c r="X1329" t="s">
        <v>68</v>
      </c>
    </row>
    <row r="1330" spans="1:24" x14ac:dyDescent="0.3">
      <c r="A1330" t="s">
        <v>2606</v>
      </c>
      <c r="B1330" t="s">
        <v>30</v>
      </c>
      <c r="C1330" t="s">
        <v>102</v>
      </c>
      <c r="D1330" t="str">
        <f t="shared" si="60"/>
        <v>Morning</v>
      </c>
      <c r="E1330">
        <f>HOUR(EV_Data[[#This Row],[Charging Start Time]])</f>
        <v>8</v>
      </c>
      <c r="F1330" s="1">
        <v>44982.333333333336</v>
      </c>
      <c r="G1330" s="1">
        <v>44982.379166666673</v>
      </c>
      <c r="H1330">
        <v>66</v>
      </c>
      <c r="I1330">
        <v>22.38</v>
      </c>
      <c r="J1330" t="str">
        <f t="shared" si="61"/>
        <v>Medium</v>
      </c>
      <c r="K1330" t="s">
        <v>42</v>
      </c>
      <c r="L1330">
        <v>76</v>
      </c>
      <c r="M1330">
        <v>100</v>
      </c>
      <c r="N1330" t="str">
        <f t="shared" si="62"/>
        <v>Low Cost</v>
      </c>
      <c r="O1330">
        <v>6.36</v>
      </c>
      <c r="P1330" t="s">
        <v>51</v>
      </c>
      <c r="Q1330" t="s">
        <v>48</v>
      </c>
      <c r="R1330" t="s">
        <v>56</v>
      </c>
      <c r="S1330" t="s">
        <v>388</v>
      </c>
      <c r="T1330" t="s">
        <v>37</v>
      </c>
      <c r="U1330">
        <v>66</v>
      </c>
      <c r="V1330">
        <v>1.6</v>
      </c>
      <c r="W1330" t="s">
        <v>47</v>
      </c>
      <c r="X1330" t="s">
        <v>29</v>
      </c>
    </row>
    <row r="1331" spans="1:24" x14ac:dyDescent="0.3">
      <c r="A1331" t="s">
        <v>2607</v>
      </c>
      <c r="B1331" t="s">
        <v>20</v>
      </c>
      <c r="C1331" t="s">
        <v>21</v>
      </c>
      <c r="D1331" t="str">
        <f t="shared" si="60"/>
        <v>Morning</v>
      </c>
      <c r="E1331">
        <f>HOUR(EV_Data[[#This Row],[Charging Start Time]])</f>
        <v>9</v>
      </c>
      <c r="F1331" s="1">
        <v>44982.375</v>
      </c>
      <c r="G1331" s="1">
        <v>44982.424305555563</v>
      </c>
      <c r="H1331">
        <v>71</v>
      </c>
      <c r="I1331">
        <v>37.1</v>
      </c>
      <c r="J1331" t="str">
        <f t="shared" si="61"/>
        <v>Medium</v>
      </c>
      <c r="K1331" t="s">
        <v>42</v>
      </c>
      <c r="L1331">
        <v>70</v>
      </c>
      <c r="M1331">
        <v>93</v>
      </c>
      <c r="N1331" t="str">
        <f t="shared" si="62"/>
        <v>Medium Cost</v>
      </c>
      <c r="O1331">
        <v>12.38</v>
      </c>
      <c r="P1331" t="s">
        <v>51</v>
      </c>
      <c r="Q1331" t="s">
        <v>24</v>
      </c>
      <c r="R1331" t="s">
        <v>44</v>
      </c>
      <c r="S1331" t="s">
        <v>1001</v>
      </c>
      <c r="T1331" t="s">
        <v>46</v>
      </c>
      <c r="U1331">
        <v>93</v>
      </c>
      <c r="V1331">
        <v>4.4000000000000004</v>
      </c>
      <c r="W1331" t="s">
        <v>38</v>
      </c>
      <c r="X1331" t="s">
        <v>62</v>
      </c>
    </row>
    <row r="1332" spans="1:24" x14ac:dyDescent="0.3">
      <c r="A1332" t="s">
        <v>2608</v>
      </c>
      <c r="B1332" t="s">
        <v>92</v>
      </c>
      <c r="C1332" t="s">
        <v>93</v>
      </c>
      <c r="D1332" t="str">
        <f t="shared" si="60"/>
        <v>Morning</v>
      </c>
      <c r="E1332">
        <f>HOUR(EV_Data[[#This Row],[Charging Start Time]])</f>
        <v>10</v>
      </c>
      <c r="F1332" s="1">
        <v>44982.416666666664</v>
      </c>
      <c r="G1332" s="1">
        <v>44982.45</v>
      </c>
      <c r="H1332">
        <v>48</v>
      </c>
      <c r="I1332">
        <v>36.44</v>
      </c>
      <c r="J1332" t="str">
        <f t="shared" si="61"/>
        <v>Medium</v>
      </c>
      <c r="K1332" t="s">
        <v>22</v>
      </c>
      <c r="L1332">
        <v>21</v>
      </c>
      <c r="M1332">
        <v>55</v>
      </c>
      <c r="N1332" t="str">
        <f t="shared" si="62"/>
        <v>Medium Cost</v>
      </c>
      <c r="O1332">
        <v>10.84</v>
      </c>
      <c r="P1332" t="s">
        <v>33</v>
      </c>
      <c r="Q1332" t="s">
        <v>24</v>
      </c>
      <c r="R1332" t="s">
        <v>44</v>
      </c>
      <c r="S1332" t="s">
        <v>1002</v>
      </c>
      <c r="T1332" t="s">
        <v>46</v>
      </c>
      <c r="U1332">
        <v>61</v>
      </c>
      <c r="V1332">
        <v>1.2</v>
      </c>
      <c r="W1332" t="s">
        <v>47</v>
      </c>
      <c r="X1332" t="s">
        <v>29</v>
      </c>
    </row>
    <row r="1333" spans="1:24" x14ac:dyDescent="0.3">
      <c r="A1333" t="s">
        <v>2609</v>
      </c>
      <c r="B1333" t="s">
        <v>30</v>
      </c>
      <c r="C1333" t="s">
        <v>102</v>
      </c>
      <c r="D1333" t="str">
        <f t="shared" si="60"/>
        <v>Morning</v>
      </c>
      <c r="E1333">
        <f>HOUR(EV_Data[[#This Row],[Charging Start Time]])</f>
        <v>11</v>
      </c>
      <c r="F1333" s="1">
        <v>44982.458333333336</v>
      </c>
      <c r="G1333" s="1">
        <v>44982.5</v>
      </c>
      <c r="H1333">
        <v>60</v>
      </c>
      <c r="I1333">
        <v>32.96</v>
      </c>
      <c r="J1333" t="str">
        <f t="shared" si="61"/>
        <v>Medium</v>
      </c>
      <c r="K1333" t="s">
        <v>50</v>
      </c>
      <c r="L1333">
        <v>27</v>
      </c>
      <c r="M1333">
        <v>52</v>
      </c>
      <c r="N1333" t="str">
        <f t="shared" si="62"/>
        <v>Medium Cost</v>
      </c>
      <c r="O1333">
        <v>12.91</v>
      </c>
      <c r="P1333" t="s">
        <v>51</v>
      </c>
      <c r="Q1333" t="s">
        <v>24</v>
      </c>
      <c r="R1333" t="s">
        <v>35</v>
      </c>
      <c r="S1333" t="s">
        <v>1003</v>
      </c>
      <c r="T1333" t="s">
        <v>27</v>
      </c>
      <c r="U1333">
        <v>69</v>
      </c>
      <c r="V1333">
        <v>4.7</v>
      </c>
      <c r="W1333" t="s">
        <v>38</v>
      </c>
      <c r="X1333" t="s">
        <v>62</v>
      </c>
    </row>
    <row r="1334" spans="1:24" x14ac:dyDescent="0.3">
      <c r="A1334" t="s">
        <v>2610</v>
      </c>
      <c r="B1334" t="s">
        <v>77</v>
      </c>
      <c r="C1334" t="s">
        <v>78</v>
      </c>
      <c r="D1334" t="str">
        <f t="shared" si="60"/>
        <v>Afternoon</v>
      </c>
      <c r="E1334">
        <f>HOUR(EV_Data[[#This Row],[Charging Start Time]])</f>
        <v>12</v>
      </c>
      <c r="F1334" s="1">
        <v>44982.5</v>
      </c>
      <c r="G1334" s="1">
        <v>44982.500694444447</v>
      </c>
      <c r="H1334">
        <v>1</v>
      </c>
      <c r="I1334">
        <v>5.03</v>
      </c>
      <c r="J1334" t="str">
        <f t="shared" si="61"/>
        <v>Low</v>
      </c>
      <c r="K1334" t="s">
        <v>32</v>
      </c>
      <c r="L1334">
        <v>77</v>
      </c>
      <c r="M1334">
        <v>100</v>
      </c>
      <c r="N1334" t="str">
        <f t="shared" si="62"/>
        <v>Low Cost</v>
      </c>
      <c r="O1334">
        <v>2.39</v>
      </c>
      <c r="P1334" t="s">
        <v>64</v>
      </c>
      <c r="Q1334" t="s">
        <v>48</v>
      </c>
      <c r="R1334" t="s">
        <v>25</v>
      </c>
      <c r="S1334" t="s">
        <v>897</v>
      </c>
      <c r="T1334" t="s">
        <v>37</v>
      </c>
      <c r="U1334">
        <v>71</v>
      </c>
      <c r="V1334">
        <v>2</v>
      </c>
      <c r="W1334" t="s">
        <v>28</v>
      </c>
      <c r="X1334" t="s">
        <v>68</v>
      </c>
    </row>
    <row r="1335" spans="1:24" x14ac:dyDescent="0.3">
      <c r="A1335" t="s">
        <v>2611</v>
      </c>
      <c r="B1335" t="s">
        <v>20</v>
      </c>
      <c r="C1335" t="s">
        <v>21</v>
      </c>
      <c r="D1335" t="str">
        <f t="shared" si="60"/>
        <v>Afternoon</v>
      </c>
      <c r="E1335">
        <f>HOUR(EV_Data[[#This Row],[Charging Start Time]])</f>
        <v>13</v>
      </c>
      <c r="F1335" s="1">
        <v>44982.541666666664</v>
      </c>
      <c r="G1335" s="1">
        <v>44982.568749999999</v>
      </c>
      <c r="H1335">
        <v>39</v>
      </c>
      <c r="I1335">
        <v>8.64</v>
      </c>
      <c r="J1335" t="str">
        <f t="shared" si="61"/>
        <v>Low</v>
      </c>
      <c r="K1335" t="s">
        <v>42</v>
      </c>
      <c r="L1335">
        <v>55</v>
      </c>
      <c r="M1335">
        <v>78</v>
      </c>
      <c r="N1335" t="str">
        <f t="shared" si="62"/>
        <v>Low Cost</v>
      </c>
      <c r="O1335">
        <v>3.97</v>
      </c>
      <c r="P1335" t="s">
        <v>64</v>
      </c>
      <c r="Q1335" t="s">
        <v>58</v>
      </c>
      <c r="R1335" t="s">
        <v>56</v>
      </c>
      <c r="S1335" t="s">
        <v>1004</v>
      </c>
      <c r="T1335" t="s">
        <v>46</v>
      </c>
      <c r="U1335">
        <v>23</v>
      </c>
      <c r="V1335">
        <v>1.2</v>
      </c>
      <c r="W1335" t="s">
        <v>28</v>
      </c>
      <c r="X1335" t="s">
        <v>68</v>
      </c>
    </row>
    <row r="1336" spans="1:24" x14ac:dyDescent="0.3">
      <c r="A1336" t="s">
        <v>2612</v>
      </c>
      <c r="B1336" t="s">
        <v>126</v>
      </c>
      <c r="C1336" t="s">
        <v>31</v>
      </c>
      <c r="D1336" t="str">
        <f t="shared" si="60"/>
        <v>Afternoon</v>
      </c>
      <c r="E1336">
        <f>HOUR(EV_Data[[#This Row],[Charging Start Time]])</f>
        <v>14</v>
      </c>
      <c r="F1336" s="1">
        <v>44982.583333333336</v>
      </c>
      <c r="G1336" s="1">
        <v>44982.640277777777</v>
      </c>
      <c r="H1336">
        <v>82</v>
      </c>
      <c r="I1336">
        <v>34.6</v>
      </c>
      <c r="J1336" t="str">
        <f t="shared" si="61"/>
        <v>Medium</v>
      </c>
      <c r="K1336" t="s">
        <v>32</v>
      </c>
      <c r="L1336">
        <v>27</v>
      </c>
      <c r="M1336">
        <v>44</v>
      </c>
      <c r="N1336" t="str">
        <f t="shared" si="62"/>
        <v>Medium Cost</v>
      </c>
      <c r="O1336">
        <v>16.13</v>
      </c>
      <c r="P1336" t="s">
        <v>23</v>
      </c>
      <c r="Q1336" t="s">
        <v>34</v>
      </c>
      <c r="R1336" t="s">
        <v>44</v>
      </c>
      <c r="S1336" t="s">
        <v>1005</v>
      </c>
      <c r="T1336" t="s">
        <v>27</v>
      </c>
      <c r="U1336">
        <v>69</v>
      </c>
      <c r="V1336">
        <v>1.9</v>
      </c>
      <c r="W1336" t="s">
        <v>28</v>
      </c>
      <c r="X1336" t="s">
        <v>68</v>
      </c>
    </row>
    <row r="1337" spans="1:24" x14ac:dyDescent="0.3">
      <c r="A1337" t="s">
        <v>2613</v>
      </c>
      <c r="B1337" t="s">
        <v>77</v>
      </c>
      <c r="C1337" t="s">
        <v>78</v>
      </c>
      <c r="D1337" t="str">
        <f t="shared" si="60"/>
        <v>Afternoon</v>
      </c>
      <c r="E1337">
        <f>HOUR(EV_Data[[#This Row],[Charging Start Time]])</f>
        <v>15</v>
      </c>
      <c r="F1337" s="1">
        <v>44982.625</v>
      </c>
      <c r="G1337" s="1">
        <v>44982.671527777777</v>
      </c>
      <c r="H1337">
        <v>67</v>
      </c>
      <c r="I1337">
        <v>14.44</v>
      </c>
      <c r="J1337" t="str">
        <f t="shared" si="61"/>
        <v>Low</v>
      </c>
      <c r="K1337" t="s">
        <v>69</v>
      </c>
      <c r="L1337">
        <v>42</v>
      </c>
      <c r="M1337">
        <v>74</v>
      </c>
      <c r="N1337" t="str">
        <f t="shared" si="62"/>
        <v>Low Cost</v>
      </c>
      <c r="O1337">
        <v>3.17</v>
      </c>
      <c r="P1337" t="s">
        <v>43</v>
      </c>
      <c r="Q1337" t="s">
        <v>34</v>
      </c>
      <c r="R1337" t="s">
        <v>56</v>
      </c>
      <c r="S1337" t="s">
        <v>928</v>
      </c>
      <c r="T1337" t="s">
        <v>46</v>
      </c>
      <c r="U1337">
        <v>59</v>
      </c>
      <c r="V1337">
        <v>3.9</v>
      </c>
      <c r="W1337" t="s">
        <v>47</v>
      </c>
      <c r="X1337" t="s">
        <v>29</v>
      </c>
    </row>
    <row r="1338" spans="1:24" x14ac:dyDescent="0.3">
      <c r="A1338" t="s">
        <v>2614</v>
      </c>
      <c r="B1338" t="s">
        <v>20</v>
      </c>
      <c r="C1338" t="s">
        <v>21</v>
      </c>
      <c r="D1338" t="str">
        <f t="shared" si="60"/>
        <v>Afternoon</v>
      </c>
      <c r="E1338">
        <f>HOUR(EV_Data[[#This Row],[Charging Start Time]])</f>
        <v>16</v>
      </c>
      <c r="F1338" s="1">
        <v>44982.666666666664</v>
      </c>
      <c r="G1338" s="1">
        <v>44982.698611111111</v>
      </c>
      <c r="H1338">
        <v>46</v>
      </c>
      <c r="I1338">
        <v>14.57</v>
      </c>
      <c r="J1338" t="str">
        <f t="shared" si="61"/>
        <v>Low</v>
      </c>
      <c r="K1338" t="s">
        <v>50</v>
      </c>
      <c r="L1338">
        <v>16</v>
      </c>
      <c r="M1338">
        <v>31</v>
      </c>
      <c r="N1338" t="str">
        <f t="shared" si="62"/>
        <v>Low Cost</v>
      </c>
      <c r="O1338">
        <v>3.19</v>
      </c>
      <c r="P1338" t="s">
        <v>33</v>
      </c>
      <c r="Q1338" t="s">
        <v>58</v>
      </c>
      <c r="R1338" t="s">
        <v>56</v>
      </c>
      <c r="S1338" t="s">
        <v>1006</v>
      </c>
      <c r="T1338" t="s">
        <v>37</v>
      </c>
      <c r="U1338">
        <v>52</v>
      </c>
      <c r="V1338">
        <v>2.8</v>
      </c>
      <c r="W1338" t="s">
        <v>47</v>
      </c>
      <c r="X1338" t="s">
        <v>29</v>
      </c>
    </row>
    <row r="1339" spans="1:24" x14ac:dyDescent="0.3">
      <c r="A1339" t="s">
        <v>2615</v>
      </c>
      <c r="B1339" t="s">
        <v>40</v>
      </c>
      <c r="C1339" t="s">
        <v>41</v>
      </c>
      <c r="D1339" t="str">
        <f t="shared" si="60"/>
        <v>Evening</v>
      </c>
      <c r="E1339">
        <f>HOUR(EV_Data[[#This Row],[Charging Start Time]])</f>
        <v>17</v>
      </c>
      <c r="F1339" s="1">
        <v>44982.708333333336</v>
      </c>
      <c r="G1339" s="1">
        <v>44982.725694444453</v>
      </c>
      <c r="H1339">
        <v>25</v>
      </c>
      <c r="I1339">
        <v>44.02</v>
      </c>
      <c r="J1339" t="str">
        <f t="shared" si="61"/>
        <v>Medium</v>
      </c>
      <c r="K1339" t="s">
        <v>42</v>
      </c>
      <c r="L1339">
        <v>64</v>
      </c>
      <c r="M1339">
        <v>97</v>
      </c>
      <c r="N1339" t="str">
        <f t="shared" si="62"/>
        <v>Medium Cost</v>
      </c>
      <c r="O1339">
        <v>15.75</v>
      </c>
      <c r="P1339" t="s">
        <v>33</v>
      </c>
      <c r="Q1339" t="s">
        <v>24</v>
      </c>
      <c r="R1339" t="s">
        <v>44</v>
      </c>
      <c r="S1339" t="s">
        <v>1007</v>
      </c>
      <c r="T1339" t="s">
        <v>37</v>
      </c>
      <c r="U1339">
        <v>66</v>
      </c>
      <c r="V1339">
        <v>4.7</v>
      </c>
      <c r="W1339" t="s">
        <v>38</v>
      </c>
      <c r="X1339" t="s">
        <v>83</v>
      </c>
    </row>
    <row r="1340" spans="1:24" x14ac:dyDescent="0.3">
      <c r="A1340" t="s">
        <v>2616</v>
      </c>
      <c r="B1340" t="s">
        <v>53</v>
      </c>
      <c r="C1340" t="s">
        <v>54</v>
      </c>
      <c r="D1340" t="str">
        <f t="shared" si="60"/>
        <v>Evening</v>
      </c>
      <c r="E1340">
        <f>HOUR(EV_Data[[#This Row],[Charging Start Time]])</f>
        <v>18</v>
      </c>
      <c r="F1340" s="1">
        <v>44982.75</v>
      </c>
      <c r="G1340" s="1">
        <v>44982.810416666667</v>
      </c>
      <c r="H1340">
        <v>87</v>
      </c>
      <c r="I1340">
        <v>9.9600000000000009</v>
      </c>
      <c r="J1340" t="str">
        <f t="shared" si="61"/>
        <v>Low</v>
      </c>
      <c r="K1340" t="s">
        <v>50</v>
      </c>
      <c r="L1340">
        <v>61</v>
      </c>
      <c r="M1340">
        <v>98</v>
      </c>
      <c r="N1340" t="str">
        <f t="shared" si="62"/>
        <v>Low Cost</v>
      </c>
      <c r="O1340">
        <v>4.67</v>
      </c>
      <c r="P1340" t="s">
        <v>51</v>
      </c>
      <c r="Q1340" t="s">
        <v>34</v>
      </c>
      <c r="R1340" t="s">
        <v>56</v>
      </c>
      <c r="S1340" t="s">
        <v>1008</v>
      </c>
      <c r="T1340" t="s">
        <v>46</v>
      </c>
      <c r="U1340">
        <v>81</v>
      </c>
      <c r="V1340">
        <v>2.4</v>
      </c>
      <c r="W1340" t="s">
        <v>28</v>
      </c>
      <c r="X1340" t="s">
        <v>68</v>
      </c>
    </row>
    <row r="1341" spans="1:24" x14ac:dyDescent="0.3">
      <c r="A1341" t="s">
        <v>2617</v>
      </c>
      <c r="B1341" t="s">
        <v>30</v>
      </c>
      <c r="C1341" t="s">
        <v>102</v>
      </c>
      <c r="D1341" t="str">
        <f t="shared" si="60"/>
        <v>Evening</v>
      </c>
      <c r="E1341">
        <f>HOUR(EV_Data[[#This Row],[Charging Start Time]])</f>
        <v>19</v>
      </c>
      <c r="F1341" s="1">
        <v>44982.791666666664</v>
      </c>
      <c r="G1341" s="1">
        <v>44982.822916666657</v>
      </c>
      <c r="H1341">
        <v>45</v>
      </c>
      <c r="I1341">
        <v>39.590000000000003</v>
      </c>
      <c r="J1341" t="str">
        <f t="shared" si="61"/>
        <v>Medium</v>
      </c>
      <c r="K1341" t="s">
        <v>69</v>
      </c>
      <c r="L1341">
        <v>17</v>
      </c>
      <c r="M1341">
        <v>27</v>
      </c>
      <c r="N1341" t="str">
        <f t="shared" si="62"/>
        <v>Medium Cost</v>
      </c>
      <c r="O1341">
        <v>14.48</v>
      </c>
      <c r="P1341" t="s">
        <v>64</v>
      </c>
      <c r="Q1341" t="s">
        <v>48</v>
      </c>
      <c r="R1341" t="s">
        <v>35</v>
      </c>
      <c r="S1341" t="s">
        <v>1009</v>
      </c>
      <c r="T1341" t="s">
        <v>46</v>
      </c>
      <c r="U1341">
        <v>10</v>
      </c>
      <c r="V1341">
        <v>2.2999999999999998</v>
      </c>
      <c r="W1341" t="s">
        <v>28</v>
      </c>
      <c r="X1341" t="s">
        <v>68</v>
      </c>
    </row>
    <row r="1342" spans="1:24" x14ac:dyDescent="0.3">
      <c r="A1342" t="s">
        <v>2618</v>
      </c>
      <c r="B1342" t="s">
        <v>53</v>
      </c>
      <c r="C1342" t="s">
        <v>54</v>
      </c>
      <c r="D1342" t="str">
        <f t="shared" si="60"/>
        <v>Evening</v>
      </c>
      <c r="E1342">
        <f>HOUR(EV_Data[[#This Row],[Charging Start Time]])</f>
        <v>20</v>
      </c>
      <c r="F1342" s="1">
        <v>44982.833333333336</v>
      </c>
      <c r="G1342" s="1">
        <v>44982.874305555553</v>
      </c>
      <c r="H1342">
        <v>59</v>
      </c>
      <c r="I1342">
        <v>42.56</v>
      </c>
      <c r="J1342" t="str">
        <f t="shared" si="61"/>
        <v>Medium</v>
      </c>
      <c r="K1342" t="s">
        <v>69</v>
      </c>
      <c r="L1342">
        <v>38</v>
      </c>
      <c r="M1342">
        <v>48</v>
      </c>
      <c r="N1342" t="str">
        <f t="shared" si="62"/>
        <v>Medium Cost</v>
      </c>
      <c r="O1342">
        <v>16.48</v>
      </c>
      <c r="P1342" t="s">
        <v>64</v>
      </c>
      <c r="Q1342" t="s">
        <v>34</v>
      </c>
      <c r="R1342" t="s">
        <v>35</v>
      </c>
      <c r="S1342" t="s">
        <v>572</v>
      </c>
      <c r="T1342" t="s">
        <v>46</v>
      </c>
      <c r="U1342">
        <v>65</v>
      </c>
      <c r="V1342">
        <v>4</v>
      </c>
      <c r="W1342" t="s">
        <v>28</v>
      </c>
      <c r="X1342" t="s">
        <v>68</v>
      </c>
    </row>
    <row r="1343" spans="1:24" x14ac:dyDescent="0.3">
      <c r="A1343" t="s">
        <v>2619</v>
      </c>
      <c r="B1343" t="s">
        <v>53</v>
      </c>
      <c r="C1343" t="s">
        <v>54</v>
      </c>
      <c r="D1343" t="str">
        <f t="shared" si="60"/>
        <v>Evening</v>
      </c>
      <c r="E1343">
        <f>HOUR(EV_Data[[#This Row],[Charging Start Time]])</f>
        <v>21</v>
      </c>
      <c r="F1343" s="1">
        <v>44982.875</v>
      </c>
      <c r="G1343" s="1">
        <v>44982.875694444447</v>
      </c>
      <c r="H1343">
        <v>1</v>
      </c>
      <c r="I1343">
        <v>9.07</v>
      </c>
      <c r="J1343" t="str">
        <f t="shared" si="61"/>
        <v>Low</v>
      </c>
      <c r="K1343" t="s">
        <v>32</v>
      </c>
      <c r="L1343">
        <v>10</v>
      </c>
      <c r="M1343">
        <v>30</v>
      </c>
      <c r="N1343" t="str">
        <f t="shared" si="62"/>
        <v>Low Cost</v>
      </c>
      <c r="O1343">
        <v>3.21</v>
      </c>
      <c r="P1343" t="s">
        <v>64</v>
      </c>
      <c r="Q1343" t="s">
        <v>24</v>
      </c>
      <c r="R1343" t="s">
        <v>44</v>
      </c>
      <c r="S1343" t="s">
        <v>977</v>
      </c>
      <c r="T1343" t="s">
        <v>46</v>
      </c>
      <c r="U1343">
        <v>70</v>
      </c>
      <c r="V1343">
        <v>1.9</v>
      </c>
      <c r="W1343" t="s">
        <v>28</v>
      </c>
      <c r="X1343" t="s">
        <v>68</v>
      </c>
    </row>
    <row r="1344" spans="1:24" x14ac:dyDescent="0.3">
      <c r="A1344" t="s">
        <v>2620</v>
      </c>
      <c r="B1344" t="s">
        <v>71</v>
      </c>
      <c r="C1344" t="s">
        <v>72</v>
      </c>
      <c r="D1344" t="str">
        <f t="shared" si="60"/>
        <v>Evening</v>
      </c>
      <c r="E1344">
        <f>HOUR(EV_Data[[#This Row],[Charging Start Time]])</f>
        <v>22</v>
      </c>
      <c r="F1344" s="1">
        <v>44982.916666666664</v>
      </c>
      <c r="G1344" s="1">
        <v>44982.938194444447</v>
      </c>
      <c r="H1344">
        <v>31</v>
      </c>
      <c r="I1344">
        <v>11.62</v>
      </c>
      <c r="J1344" t="str">
        <f t="shared" si="61"/>
        <v>Low</v>
      </c>
      <c r="K1344" t="s">
        <v>50</v>
      </c>
      <c r="L1344">
        <v>36</v>
      </c>
      <c r="M1344">
        <v>69</v>
      </c>
      <c r="N1344" t="str">
        <f t="shared" si="62"/>
        <v>Low Cost</v>
      </c>
      <c r="O1344">
        <v>4.3499999999999996</v>
      </c>
      <c r="P1344" t="s">
        <v>43</v>
      </c>
      <c r="Q1344" t="s">
        <v>48</v>
      </c>
      <c r="R1344" t="s">
        <v>35</v>
      </c>
      <c r="S1344" t="s">
        <v>1010</v>
      </c>
      <c r="T1344" t="s">
        <v>60</v>
      </c>
      <c r="U1344">
        <v>78</v>
      </c>
      <c r="V1344">
        <v>2.9</v>
      </c>
      <c r="W1344" t="s">
        <v>38</v>
      </c>
      <c r="X1344" t="s">
        <v>85</v>
      </c>
    </row>
    <row r="1345" spans="1:24" x14ac:dyDescent="0.3">
      <c r="A1345" t="s">
        <v>2621</v>
      </c>
      <c r="B1345" t="s">
        <v>71</v>
      </c>
      <c r="C1345" t="s">
        <v>72</v>
      </c>
      <c r="D1345" t="str">
        <f t="shared" si="60"/>
        <v>Evening</v>
      </c>
      <c r="E1345">
        <f>HOUR(EV_Data[[#This Row],[Charging Start Time]])</f>
        <v>23</v>
      </c>
      <c r="F1345" s="1">
        <v>44982.958333333336</v>
      </c>
      <c r="G1345" s="1">
        <v>44982.977083333331</v>
      </c>
      <c r="H1345">
        <v>27</v>
      </c>
      <c r="I1345">
        <v>27.67</v>
      </c>
      <c r="J1345" t="str">
        <f t="shared" si="61"/>
        <v>Medium</v>
      </c>
      <c r="K1345" t="s">
        <v>55</v>
      </c>
      <c r="L1345">
        <v>54</v>
      </c>
      <c r="M1345">
        <v>91</v>
      </c>
      <c r="N1345" t="str">
        <f t="shared" si="62"/>
        <v>Medium Cost</v>
      </c>
      <c r="O1345">
        <v>10.16</v>
      </c>
      <c r="P1345" t="s">
        <v>43</v>
      </c>
      <c r="Q1345" t="s">
        <v>58</v>
      </c>
      <c r="R1345" t="s">
        <v>44</v>
      </c>
      <c r="S1345" t="s">
        <v>1011</v>
      </c>
      <c r="T1345" t="s">
        <v>37</v>
      </c>
      <c r="U1345">
        <v>94</v>
      </c>
      <c r="V1345">
        <v>1.5</v>
      </c>
      <c r="W1345" t="s">
        <v>38</v>
      </c>
    </row>
    <row r="1346" spans="1:24" x14ac:dyDescent="0.3">
      <c r="A1346" t="s">
        <v>2622</v>
      </c>
      <c r="B1346" t="s">
        <v>40</v>
      </c>
      <c r="C1346" t="s">
        <v>41</v>
      </c>
      <c r="D1346" t="str">
        <f t="shared" ref="D1346:D1409" si="63">IF(E1346&lt;12,"Morning",IF(E1346&lt;17,"Afternoon","Evening"))</f>
        <v>Morning</v>
      </c>
      <c r="E1346">
        <f>HOUR(EV_Data[[#This Row],[Charging Start Time]])</f>
        <v>0</v>
      </c>
      <c r="F1346" s="1">
        <v>44983</v>
      </c>
      <c r="G1346" s="1">
        <v>44983.079861111109</v>
      </c>
      <c r="H1346">
        <v>115</v>
      </c>
      <c r="I1346">
        <v>23.36</v>
      </c>
      <c r="J1346" t="str">
        <f t="shared" ref="J1346:J1409" si="64">IF(I1346&lt;20,"Low",IF(I1346&lt;50,"Medium","High"))</f>
        <v>Medium</v>
      </c>
      <c r="K1346" t="s">
        <v>55</v>
      </c>
      <c r="L1346">
        <v>38</v>
      </c>
      <c r="M1346">
        <v>52</v>
      </c>
      <c r="N1346" t="str">
        <f t="shared" ref="N1346:N1409" si="65">IF(O1346&lt;8,"Low Cost",IF(O1346&lt;17,"Medium Cost","High Cost"))</f>
        <v>Low Cost</v>
      </c>
      <c r="O1346">
        <v>5.72</v>
      </c>
      <c r="P1346" t="s">
        <v>64</v>
      </c>
      <c r="Q1346" t="s">
        <v>58</v>
      </c>
      <c r="R1346" t="s">
        <v>35</v>
      </c>
      <c r="S1346" t="s">
        <v>133</v>
      </c>
      <c r="T1346" t="s">
        <v>27</v>
      </c>
      <c r="U1346">
        <v>30</v>
      </c>
      <c r="V1346">
        <v>2.5</v>
      </c>
      <c r="W1346" t="s">
        <v>38</v>
      </c>
      <c r="X1346" t="s">
        <v>83</v>
      </c>
    </row>
    <row r="1347" spans="1:24" x14ac:dyDescent="0.3">
      <c r="A1347" t="s">
        <v>2623</v>
      </c>
      <c r="B1347" t="s">
        <v>53</v>
      </c>
      <c r="C1347" t="s">
        <v>54</v>
      </c>
      <c r="D1347" t="str">
        <f t="shared" si="63"/>
        <v>Morning</v>
      </c>
      <c r="E1347">
        <f>HOUR(EV_Data[[#This Row],[Charging Start Time]])</f>
        <v>1</v>
      </c>
      <c r="F1347" s="1">
        <v>44983.041666666664</v>
      </c>
      <c r="G1347" s="1">
        <v>44983.05</v>
      </c>
      <c r="H1347">
        <v>12</v>
      </c>
      <c r="I1347">
        <v>30.75</v>
      </c>
      <c r="J1347" t="str">
        <f t="shared" si="64"/>
        <v>Medium</v>
      </c>
      <c r="K1347" t="s">
        <v>50</v>
      </c>
      <c r="L1347">
        <v>10</v>
      </c>
      <c r="M1347">
        <v>31</v>
      </c>
      <c r="N1347" t="str">
        <f t="shared" si="65"/>
        <v>Medium Cost</v>
      </c>
      <c r="O1347">
        <v>9.0299999999999994</v>
      </c>
      <c r="P1347" t="s">
        <v>51</v>
      </c>
      <c r="Q1347" t="s">
        <v>34</v>
      </c>
      <c r="R1347" t="s">
        <v>56</v>
      </c>
      <c r="S1347" t="s">
        <v>239</v>
      </c>
      <c r="T1347" t="s">
        <v>46</v>
      </c>
      <c r="U1347">
        <v>66</v>
      </c>
      <c r="V1347">
        <v>4.4000000000000004</v>
      </c>
      <c r="W1347" t="s">
        <v>28</v>
      </c>
      <c r="X1347" t="s">
        <v>68</v>
      </c>
    </row>
    <row r="1348" spans="1:24" x14ac:dyDescent="0.3">
      <c r="A1348" t="s">
        <v>2624</v>
      </c>
      <c r="B1348" t="s">
        <v>30</v>
      </c>
      <c r="C1348" t="s">
        <v>102</v>
      </c>
      <c r="D1348" t="str">
        <f t="shared" si="63"/>
        <v>Morning</v>
      </c>
      <c r="E1348">
        <f>HOUR(EV_Data[[#This Row],[Charging Start Time]])</f>
        <v>2</v>
      </c>
      <c r="F1348" s="1">
        <v>44983.083333333336</v>
      </c>
      <c r="G1348" s="1">
        <v>44983.131249999999</v>
      </c>
      <c r="H1348">
        <v>69</v>
      </c>
      <c r="I1348">
        <v>30.59</v>
      </c>
      <c r="J1348" t="str">
        <f t="shared" si="64"/>
        <v>Medium</v>
      </c>
      <c r="K1348" t="s">
        <v>22</v>
      </c>
      <c r="L1348">
        <v>74</v>
      </c>
      <c r="M1348">
        <v>100</v>
      </c>
      <c r="N1348" t="str">
        <f t="shared" si="65"/>
        <v>Medium Cost</v>
      </c>
      <c r="O1348">
        <v>13.56</v>
      </c>
      <c r="P1348" t="s">
        <v>33</v>
      </c>
      <c r="Q1348" t="s">
        <v>34</v>
      </c>
      <c r="R1348" t="s">
        <v>35</v>
      </c>
      <c r="S1348" t="s">
        <v>223</v>
      </c>
      <c r="T1348" t="s">
        <v>27</v>
      </c>
      <c r="U1348">
        <v>28</v>
      </c>
      <c r="V1348">
        <v>1</v>
      </c>
      <c r="W1348" t="s">
        <v>47</v>
      </c>
      <c r="X1348" t="s">
        <v>29</v>
      </c>
    </row>
    <row r="1349" spans="1:24" x14ac:dyDescent="0.3">
      <c r="A1349" t="s">
        <v>2625</v>
      </c>
      <c r="B1349" t="s">
        <v>71</v>
      </c>
      <c r="C1349" t="s">
        <v>72</v>
      </c>
      <c r="D1349" t="str">
        <f t="shared" si="63"/>
        <v>Morning</v>
      </c>
      <c r="E1349">
        <f>HOUR(EV_Data[[#This Row],[Charging Start Time]])</f>
        <v>3</v>
      </c>
      <c r="F1349" s="1">
        <v>44983.125</v>
      </c>
      <c r="G1349" s="1">
        <v>44983.175000000003</v>
      </c>
      <c r="H1349">
        <v>72</v>
      </c>
      <c r="I1349">
        <v>45.34</v>
      </c>
      <c r="J1349" t="str">
        <f t="shared" si="64"/>
        <v>Medium</v>
      </c>
      <c r="K1349" t="s">
        <v>42</v>
      </c>
      <c r="L1349">
        <v>42</v>
      </c>
      <c r="M1349">
        <v>52</v>
      </c>
      <c r="N1349" t="str">
        <f t="shared" si="65"/>
        <v>High Cost</v>
      </c>
      <c r="O1349">
        <v>18.37</v>
      </c>
      <c r="P1349" t="s">
        <v>23</v>
      </c>
      <c r="Q1349" t="s">
        <v>48</v>
      </c>
      <c r="R1349" t="s">
        <v>25</v>
      </c>
      <c r="S1349" t="s">
        <v>1012</v>
      </c>
      <c r="T1349" t="s">
        <v>27</v>
      </c>
      <c r="U1349">
        <v>90</v>
      </c>
      <c r="V1349">
        <v>2.4</v>
      </c>
      <c r="W1349" t="s">
        <v>28</v>
      </c>
      <c r="X1349" t="s">
        <v>68</v>
      </c>
    </row>
    <row r="1350" spans="1:24" x14ac:dyDescent="0.3">
      <c r="A1350" t="s">
        <v>2626</v>
      </c>
      <c r="B1350" t="s">
        <v>126</v>
      </c>
      <c r="C1350" t="s">
        <v>31</v>
      </c>
      <c r="D1350" t="str">
        <f t="shared" si="63"/>
        <v>Morning</v>
      </c>
      <c r="E1350">
        <f>HOUR(EV_Data[[#This Row],[Charging Start Time]])</f>
        <v>4</v>
      </c>
      <c r="F1350" s="1">
        <v>44983.166666666664</v>
      </c>
      <c r="G1350" s="1">
        <v>44983.190972222219</v>
      </c>
      <c r="H1350">
        <v>35</v>
      </c>
      <c r="I1350">
        <v>18.43</v>
      </c>
      <c r="J1350" t="str">
        <f t="shared" si="64"/>
        <v>Low</v>
      </c>
      <c r="K1350" t="s">
        <v>55</v>
      </c>
      <c r="L1350">
        <v>10</v>
      </c>
      <c r="M1350">
        <v>27</v>
      </c>
      <c r="N1350" t="str">
        <f t="shared" si="65"/>
        <v>Low Cost</v>
      </c>
      <c r="O1350">
        <v>7.69</v>
      </c>
      <c r="P1350" t="s">
        <v>43</v>
      </c>
      <c r="Q1350" t="s">
        <v>48</v>
      </c>
      <c r="R1350" t="s">
        <v>35</v>
      </c>
      <c r="S1350" t="s">
        <v>1013</v>
      </c>
      <c r="T1350" t="s">
        <v>60</v>
      </c>
      <c r="U1350">
        <v>19</v>
      </c>
      <c r="V1350">
        <v>3.5</v>
      </c>
      <c r="W1350" t="s">
        <v>47</v>
      </c>
      <c r="X1350" t="s">
        <v>29</v>
      </c>
    </row>
    <row r="1351" spans="1:24" x14ac:dyDescent="0.3">
      <c r="A1351" t="s">
        <v>2627</v>
      </c>
      <c r="B1351" t="s">
        <v>77</v>
      </c>
      <c r="C1351" t="s">
        <v>78</v>
      </c>
      <c r="D1351" t="str">
        <f t="shared" si="63"/>
        <v>Morning</v>
      </c>
      <c r="E1351">
        <f>HOUR(EV_Data[[#This Row],[Charging Start Time]])</f>
        <v>5</v>
      </c>
      <c r="F1351" s="1">
        <v>44983.208333333336</v>
      </c>
      <c r="G1351" s="1">
        <v>44983.21597222222</v>
      </c>
      <c r="H1351">
        <v>11</v>
      </c>
      <c r="I1351">
        <v>22.52</v>
      </c>
      <c r="J1351" t="str">
        <f t="shared" si="64"/>
        <v>Medium</v>
      </c>
      <c r="K1351" t="s">
        <v>32</v>
      </c>
      <c r="L1351">
        <v>64</v>
      </c>
      <c r="M1351">
        <v>94</v>
      </c>
      <c r="N1351" t="str">
        <f t="shared" si="65"/>
        <v>Medium Cost</v>
      </c>
      <c r="O1351">
        <v>10.48</v>
      </c>
      <c r="P1351" t="s">
        <v>43</v>
      </c>
      <c r="Q1351" t="s">
        <v>58</v>
      </c>
      <c r="R1351" t="s">
        <v>25</v>
      </c>
      <c r="S1351" t="s">
        <v>662</v>
      </c>
      <c r="T1351" t="s">
        <v>37</v>
      </c>
      <c r="U1351">
        <v>97</v>
      </c>
      <c r="V1351">
        <v>2.6</v>
      </c>
      <c r="W1351" t="s">
        <v>28</v>
      </c>
      <c r="X1351" t="s">
        <v>68</v>
      </c>
    </row>
    <row r="1352" spans="1:24" x14ac:dyDescent="0.3">
      <c r="A1352" t="s">
        <v>2628</v>
      </c>
      <c r="B1352" t="s">
        <v>20</v>
      </c>
      <c r="C1352" t="s">
        <v>21</v>
      </c>
      <c r="D1352" t="str">
        <f t="shared" si="63"/>
        <v>Morning</v>
      </c>
      <c r="E1352">
        <f>HOUR(EV_Data[[#This Row],[Charging Start Time]])</f>
        <v>6</v>
      </c>
      <c r="F1352" s="1">
        <v>44983.25</v>
      </c>
      <c r="G1352" s="1">
        <v>44983.279166666667</v>
      </c>
      <c r="H1352">
        <v>42</v>
      </c>
      <c r="I1352">
        <v>13.51</v>
      </c>
      <c r="J1352" t="str">
        <f t="shared" si="64"/>
        <v>Low</v>
      </c>
      <c r="K1352" t="s">
        <v>50</v>
      </c>
      <c r="L1352">
        <v>73</v>
      </c>
      <c r="M1352">
        <v>90</v>
      </c>
      <c r="N1352" t="str">
        <f t="shared" si="65"/>
        <v>Low Cost</v>
      </c>
      <c r="O1352">
        <v>6.3</v>
      </c>
      <c r="P1352" t="s">
        <v>51</v>
      </c>
      <c r="Q1352" t="s">
        <v>34</v>
      </c>
      <c r="R1352" t="s">
        <v>56</v>
      </c>
      <c r="S1352" t="s">
        <v>453</v>
      </c>
      <c r="T1352" t="s">
        <v>46</v>
      </c>
      <c r="U1352">
        <v>31</v>
      </c>
      <c r="V1352">
        <v>1.3</v>
      </c>
      <c r="W1352" t="s">
        <v>38</v>
      </c>
      <c r="X1352" t="s">
        <v>85</v>
      </c>
    </row>
    <row r="1353" spans="1:24" x14ac:dyDescent="0.3">
      <c r="A1353" t="s">
        <v>2629</v>
      </c>
      <c r="B1353" t="s">
        <v>53</v>
      </c>
      <c r="C1353" t="s">
        <v>54</v>
      </c>
      <c r="D1353" t="str">
        <f t="shared" si="63"/>
        <v>Morning</v>
      </c>
      <c r="E1353">
        <f>HOUR(EV_Data[[#This Row],[Charging Start Time]])</f>
        <v>7</v>
      </c>
      <c r="F1353" s="1">
        <v>44983.291666666664</v>
      </c>
      <c r="G1353" s="1">
        <v>44983.322916666657</v>
      </c>
      <c r="H1353">
        <v>45</v>
      </c>
      <c r="I1353">
        <v>7.88</v>
      </c>
      <c r="J1353" t="str">
        <f t="shared" si="64"/>
        <v>Low</v>
      </c>
      <c r="K1353" t="s">
        <v>55</v>
      </c>
      <c r="L1353">
        <v>68</v>
      </c>
      <c r="M1353">
        <v>95</v>
      </c>
      <c r="N1353" t="str">
        <f t="shared" si="65"/>
        <v>Low Cost</v>
      </c>
      <c r="O1353">
        <v>3.14</v>
      </c>
      <c r="P1353" t="s">
        <v>43</v>
      </c>
      <c r="Q1353" t="s">
        <v>34</v>
      </c>
      <c r="R1353" t="s">
        <v>35</v>
      </c>
      <c r="S1353" t="s">
        <v>666</v>
      </c>
      <c r="T1353" t="s">
        <v>27</v>
      </c>
      <c r="U1353">
        <v>89</v>
      </c>
      <c r="V1353">
        <v>2.5</v>
      </c>
      <c r="W1353" t="s">
        <v>38</v>
      </c>
      <c r="X1353" t="s">
        <v>85</v>
      </c>
    </row>
    <row r="1354" spans="1:24" x14ac:dyDescent="0.3">
      <c r="A1354" t="s">
        <v>2630</v>
      </c>
      <c r="B1354" t="s">
        <v>20</v>
      </c>
      <c r="C1354" t="s">
        <v>21</v>
      </c>
      <c r="D1354" t="str">
        <f t="shared" si="63"/>
        <v>Morning</v>
      </c>
      <c r="E1354">
        <f>HOUR(EV_Data[[#This Row],[Charging Start Time]])</f>
        <v>8</v>
      </c>
      <c r="F1354" s="1">
        <v>44983.333333333336</v>
      </c>
      <c r="G1354" s="1">
        <v>44983.363194444442</v>
      </c>
      <c r="H1354">
        <v>43</v>
      </c>
      <c r="I1354">
        <v>31.68</v>
      </c>
      <c r="J1354" t="str">
        <f t="shared" si="64"/>
        <v>Medium</v>
      </c>
      <c r="K1354" t="s">
        <v>55</v>
      </c>
      <c r="L1354">
        <v>30</v>
      </c>
      <c r="M1354">
        <v>42</v>
      </c>
      <c r="N1354" t="str">
        <f t="shared" si="65"/>
        <v>Medium Cost</v>
      </c>
      <c r="O1354">
        <v>10.46</v>
      </c>
      <c r="P1354" t="s">
        <v>33</v>
      </c>
      <c r="Q1354" t="s">
        <v>34</v>
      </c>
      <c r="R1354" t="s">
        <v>44</v>
      </c>
      <c r="S1354" t="s">
        <v>258</v>
      </c>
      <c r="T1354" t="s">
        <v>37</v>
      </c>
      <c r="U1354">
        <v>2</v>
      </c>
      <c r="V1354">
        <v>4.0999999999999996</v>
      </c>
      <c r="W1354" t="s">
        <v>38</v>
      </c>
      <c r="X1354" t="s">
        <v>62</v>
      </c>
    </row>
    <row r="1355" spans="1:24" x14ac:dyDescent="0.3">
      <c r="A1355" t="s">
        <v>2631</v>
      </c>
      <c r="B1355" t="s">
        <v>126</v>
      </c>
      <c r="C1355" t="s">
        <v>31</v>
      </c>
      <c r="D1355" t="str">
        <f t="shared" si="63"/>
        <v>Morning</v>
      </c>
      <c r="E1355">
        <f>HOUR(EV_Data[[#This Row],[Charging Start Time]])</f>
        <v>9</v>
      </c>
      <c r="F1355" s="1">
        <v>44983.375</v>
      </c>
      <c r="G1355" s="1">
        <v>44983.408333333333</v>
      </c>
      <c r="H1355">
        <v>48</v>
      </c>
      <c r="I1355">
        <v>9</v>
      </c>
      <c r="J1355" t="str">
        <f t="shared" si="64"/>
        <v>Low</v>
      </c>
      <c r="K1355" t="s">
        <v>50</v>
      </c>
      <c r="L1355">
        <v>71</v>
      </c>
      <c r="M1355">
        <v>88</v>
      </c>
      <c r="N1355" t="str">
        <f t="shared" si="65"/>
        <v>Low Cost</v>
      </c>
      <c r="O1355">
        <v>2.5299999999999998</v>
      </c>
      <c r="P1355" t="s">
        <v>64</v>
      </c>
      <c r="Q1355" t="s">
        <v>34</v>
      </c>
      <c r="R1355" t="s">
        <v>44</v>
      </c>
      <c r="S1355" t="s">
        <v>1014</v>
      </c>
      <c r="T1355" t="s">
        <v>60</v>
      </c>
      <c r="U1355">
        <v>75</v>
      </c>
      <c r="V1355">
        <v>1.3</v>
      </c>
      <c r="W1355" t="s">
        <v>38</v>
      </c>
      <c r="X1355" t="s">
        <v>39</v>
      </c>
    </row>
    <row r="1356" spans="1:24" x14ac:dyDescent="0.3">
      <c r="A1356" t="s">
        <v>2632</v>
      </c>
      <c r="B1356" t="s">
        <v>40</v>
      </c>
      <c r="C1356" t="s">
        <v>41</v>
      </c>
      <c r="D1356" t="str">
        <f t="shared" si="63"/>
        <v>Morning</v>
      </c>
      <c r="E1356">
        <f>HOUR(EV_Data[[#This Row],[Charging Start Time]])</f>
        <v>10</v>
      </c>
      <c r="F1356" s="1">
        <v>44983.416666666664</v>
      </c>
      <c r="G1356" s="1">
        <v>44983.466666666667</v>
      </c>
      <c r="H1356">
        <v>72</v>
      </c>
      <c r="I1356">
        <v>29.59</v>
      </c>
      <c r="J1356" t="str">
        <f t="shared" si="64"/>
        <v>Medium</v>
      </c>
      <c r="K1356" t="s">
        <v>22</v>
      </c>
      <c r="L1356">
        <v>70</v>
      </c>
      <c r="M1356">
        <v>100</v>
      </c>
      <c r="N1356" t="str">
        <f t="shared" si="65"/>
        <v>Medium Cost</v>
      </c>
      <c r="O1356">
        <v>9.1</v>
      </c>
      <c r="P1356" t="s">
        <v>64</v>
      </c>
      <c r="Q1356" t="s">
        <v>58</v>
      </c>
      <c r="R1356" t="s">
        <v>35</v>
      </c>
      <c r="S1356" t="s">
        <v>1015</v>
      </c>
      <c r="T1356" t="s">
        <v>37</v>
      </c>
      <c r="U1356">
        <v>15</v>
      </c>
      <c r="V1356">
        <v>1.6</v>
      </c>
      <c r="W1356" t="s">
        <v>47</v>
      </c>
      <c r="X1356" t="s">
        <v>29</v>
      </c>
    </row>
    <row r="1357" spans="1:24" x14ac:dyDescent="0.3">
      <c r="A1357" t="s">
        <v>2633</v>
      </c>
      <c r="B1357" t="s">
        <v>20</v>
      </c>
      <c r="C1357" t="s">
        <v>21</v>
      </c>
      <c r="D1357" t="str">
        <f t="shared" si="63"/>
        <v>Morning</v>
      </c>
      <c r="E1357">
        <f>HOUR(EV_Data[[#This Row],[Charging Start Time]])</f>
        <v>11</v>
      </c>
      <c r="F1357" s="1">
        <v>44983.458333333336</v>
      </c>
      <c r="G1357" s="1">
        <v>44983.490972222222</v>
      </c>
      <c r="H1357">
        <v>47</v>
      </c>
      <c r="I1357">
        <v>22.37</v>
      </c>
      <c r="J1357" t="str">
        <f t="shared" si="64"/>
        <v>Medium</v>
      </c>
      <c r="K1357" t="s">
        <v>69</v>
      </c>
      <c r="L1357">
        <v>49</v>
      </c>
      <c r="M1357">
        <v>87</v>
      </c>
      <c r="N1357" t="str">
        <f t="shared" si="65"/>
        <v>Low Cost</v>
      </c>
      <c r="O1357">
        <v>5.04</v>
      </c>
      <c r="P1357" t="s">
        <v>33</v>
      </c>
      <c r="Q1357" t="s">
        <v>58</v>
      </c>
      <c r="R1357" t="s">
        <v>56</v>
      </c>
      <c r="S1357" t="s">
        <v>1005</v>
      </c>
      <c r="T1357" t="s">
        <v>27</v>
      </c>
      <c r="U1357">
        <v>16</v>
      </c>
      <c r="V1357">
        <v>4.3</v>
      </c>
      <c r="W1357" t="s">
        <v>38</v>
      </c>
      <c r="X1357" t="s">
        <v>39</v>
      </c>
    </row>
    <row r="1358" spans="1:24" x14ac:dyDescent="0.3">
      <c r="A1358" t="s">
        <v>2634</v>
      </c>
      <c r="B1358" t="s">
        <v>30</v>
      </c>
      <c r="C1358" t="s">
        <v>102</v>
      </c>
      <c r="D1358" t="str">
        <f t="shared" si="63"/>
        <v>Afternoon</v>
      </c>
      <c r="E1358">
        <f>HOUR(EV_Data[[#This Row],[Charging Start Time]])</f>
        <v>12</v>
      </c>
      <c r="F1358" s="1">
        <v>44983.5</v>
      </c>
      <c r="G1358" s="1">
        <v>44983.531944444447</v>
      </c>
      <c r="H1358">
        <v>46</v>
      </c>
      <c r="I1358">
        <v>15.73</v>
      </c>
      <c r="J1358" t="str">
        <f t="shared" si="64"/>
        <v>Low</v>
      </c>
      <c r="K1358" t="s">
        <v>55</v>
      </c>
      <c r="L1358">
        <v>22</v>
      </c>
      <c r="M1358">
        <v>54</v>
      </c>
      <c r="N1358" t="str">
        <f t="shared" si="65"/>
        <v>Low Cost</v>
      </c>
      <c r="O1358">
        <v>5.12</v>
      </c>
      <c r="P1358" t="s">
        <v>64</v>
      </c>
      <c r="Q1358" t="s">
        <v>48</v>
      </c>
      <c r="R1358" t="s">
        <v>25</v>
      </c>
      <c r="S1358" t="s">
        <v>1016</v>
      </c>
      <c r="T1358" t="s">
        <v>60</v>
      </c>
      <c r="U1358">
        <v>91</v>
      </c>
      <c r="V1358">
        <v>2.4</v>
      </c>
      <c r="W1358" t="s">
        <v>38</v>
      </c>
      <c r="X1358" t="s">
        <v>62</v>
      </c>
    </row>
    <row r="1359" spans="1:24" x14ac:dyDescent="0.3">
      <c r="A1359" t="s">
        <v>2635</v>
      </c>
      <c r="B1359" t="s">
        <v>126</v>
      </c>
      <c r="C1359" t="s">
        <v>31</v>
      </c>
      <c r="D1359" t="str">
        <f t="shared" si="63"/>
        <v>Afternoon</v>
      </c>
      <c r="E1359">
        <f>HOUR(EV_Data[[#This Row],[Charging Start Time]])</f>
        <v>13</v>
      </c>
      <c r="F1359" s="1">
        <v>44983.541666666664</v>
      </c>
      <c r="G1359" s="1">
        <v>44983.581944444442</v>
      </c>
      <c r="H1359">
        <v>58</v>
      </c>
      <c r="I1359">
        <v>42.22</v>
      </c>
      <c r="J1359" t="str">
        <f t="shared" si="64"/>
        <v>Medium</v>
      </c>
      <c r="K1359" t="s">
        <v>22</v>
      </c>
      <c r="L1359">
        <v>65</v>
      </c>
      <c r="M1359">
        <v>89</v>
      </c>
      <c r="N1359" t="str">
        <f t="shared" si="65"/>
        <v>Medium Cost</v>
      </c>
      <c r="O1359">
        <v>15.6</v>
      </c>
      <c r="P1359" t="s">
        <v>43</v>
      </c>
      <c r="Q1359" t="s">
        <v>24</v>
      </c>
      <c r="R1359" t="s">
        <v>44</v>
      </c>
      <c r="S1359" t="s">
        <v>1001</v>
      </c>
      <c r="T1359" t="s">
        <v>27</v>
      </c>
      <c r="U1359">
        <v>85</v>
      </c>
      <c r="V1359">
        <v>2.7</v>
      </c>
      <c r="W1359" t="s">
        <v>47</v>
      </c>
      <c r="X1359" t="s">
        <v>29</v>
      </c>
    </row>
    <row r="1360" spans="1:24" x14ac:dyDescent="0.3">
      <c r="A1360" t="s">
        <v>2636</v>
      </c>
      <c r="B1360" t="s">
        <v>71</v>
      </c>
      <c r="C1360" t="s">
        <v>72</v>
      </c>
      <c r="D1360" t="str">
        <f t="shared" si="63"/>
        <v>Afternoon</v>
      </c>
      <c r="E1360">
        <f>HOUR(EV_Data[[#This Row],[Charging Start Time]])</f>
        <v>14</v>
      </c>
      <c r="F1360" s="1">
        <v>44983.583333333336</v>
      </c>
      <c r="G1360" s="1">
        <v>44983.612500000003</v>
      </c>
      <c r="H1360">
        <v>42</v>
      </c>
      <c r="I1360">
        <v>8.0500000000000007</v>
      </c>
      <c r="J1360" t="str">
        <f t="shared" si="64"/>
        <v>Low</v>
      </c>
      <c r="K1360" t="s">
        <v>22</v>
      </c>
      <c r="L1360">
        <v>18</v>
      </c>
      <c r="M1360">
        <v>57</v>
      </c>
      <c r="N1360" t="str">
        <f t="shared" si="65"/>
        <v>Low Cost</v>
      </c>
      <c r="O1360">
        <v>3.75</v>
      </c>
      <c r="P1360" t="s">
        <v>43</v>
      </c>
      <c r="Q1360" t="s">
        <v>24</v>
      </c>
      <c r="R1360" t="s">
        <v>25</v>
      </c>
      <c r="S1360" t="s">
        <v>641</v>
      </c>
      <c r="T1360" t="s">
        <v>60</v>
      </c>
      <c r="U1360">
        <v>86</v>
      </c>
      <c r="V1360">
        <v>2.8</v>
      </c>
      <c r="W1360" t="s">
        <v>28</v>
      </c>
      <c r="X1360" t="s">
        <v>68</v>
      </c>
    </row>
    <row r="1361" spans="1:24" x14ac:dyDescent="0.3">
      <c r="A1361" t="s">
        <v>2637</v>
      </c>
      <c r="B1361" t="s">
        <v>92</v>
      </c>
      <c r="C1361" t="s">
        <v>93</v>
      </c>
      <c r="D1361" t="str">
        <f t="shared" si="63"/>
        <v>Afternoon</v>
      </c>
      <c r="E1361">
        <f>HOUR(EV_Data[[#This Row],[Charging Start Time]])</f>
        <v>15</v>
      </c>
      <c r="F1361" s="1">
        <v>44983.625</v>
      </c>
      <c r="G1361" s="1">
        <v>44983.715277777781</v>
      </c>
      <c r="H1361">
        <v>130</v>
      </c>
      <c r="I1361">
        <v>6.27</v>
      </c>
      <c r="J1361" t="str">
        <f t="shared" si="64"/>
        <v>Low</v>
      </c>
      <c r="K1361" t="s">
        <v>32</v>
      </c>
      <c r="L1361">
        <v>78</v>
      </c>
      <c r="M1361">
        <v>89</v>
      </c>
      <c r="N1361" t="str">
        <f t="shared" si="65"/>
        <v>Low Cost</v>
      </c>
      <c r="O1361">
        <v>3.03</v>
      </c>
      <c r="P1361" t="s">
        <v>43</v>
      </c>
      <c r="Q1361" t="s">
        <v>48</v>
      </c>
      <c r="R1361" t="s">
        <v>35</v>
      </c>
      <c r="S1361" t="s">
        <v>444</v>
      </c>
      <c r="T1361" t="s">
        <v>46</v>
      </c>
      <c r="U1361">
        <v>18</v>
      </c>
      <c r="V1361">
        <v>4.8</v>
      </c>
      <c r="W1361" t="s">
        <v>28</v>
      </c>
      <c r="X1361" t="s">
        <v>68</v>
      </c>
    </row>
    <row r="1362" spans="1:24" x14ac:dyDescent="0.3">
      <c r="A1362" t="s">
        <v>2638</v>
      </c>
      <c r="B1362" t="s">
        <v>40</v>
      </c>
      <c r="C1362" t="s">
        <v>41</v>
      </c>
      <c r="D1362" t="str">
        <f t="shared" si="63"/>
        <v>Afternoon</v>
      </c>
      <c r="E1362">
        <f>HOUR(EV_Data[[#This Row],[Charging Start Time]])</f>
        <v>16</v>
      </c>
      <c r="F1362" s="1">
        <v>44983.666666666664</v>
      </c>
      <c r="G1362" s="1">
        <v>44983.720833333333</v>
      </c>
      <c r="H1362">
        <v>78</v>
      </c>
      <c r="I1362">
        <v>45.06</v>
      </c>
      <c r="J1362" t="str">
        <f t="shared" si="64"/>
        <v>Medium</v>
      </c>
      <c r="K1362" t="s">
        <v>55</v>
      </c>
      <c r="L1362">
        <v>45</v>
      </c>
      <c r="M1362">
        <v>63</v>
      </c>
      <c r="N1362" t="str">
        <f t="shared" si="65"/>
        <v>High Cost</v>
      </c>
      <c r="O1362">
        <v>22.39</v>
      </c>
      <c r="P1362" t="s">
        <v>64</v>
      </c>
      <c r="Q1362" t="s">
        <v>58</v>
      </c>
      <c r="R1362" t="s">
        <v>44</v>
      </c>
      <c r="S1362" t="s">
        <v>695</v>
      </c>
      <c r="T1362" t="s">
        <v>46</v>
      </c>
      <c r="U1362">
        <v>49</v>
      </c>
      <c r="V1362">
        <v>3</v>
      </c>
      <c r="W1362" t="s">
        <v>28</v>
      </c>
      <c r="X1362" t="s">
        <v>68</v>
      </c>
    </row>
    <row r="1363" spans="1:24" x14ac:dyDescent="0.3">
      <c r="A1363" t="s">
        <v>2639</v>
      </c>
      <c r="B1363" t="s">
        <v>53</v>
      </c>
      <c r="C1363" t="s">
        <v>54</v>
      </c>
      <c r="D1363" t="str">
        <f t="shared" si="63"/>
        <v>Evening</v>
      </c>
      <c r="E1363">
        <f>HOUR(EV_Data[[#This Row],[Charging Start Time]])</f>
        <v>17</v>
      </c>
      <c r="F1363" s="1">
        <v>44983.708333333336</v>
      </c>
      <c r="G1363" s="1">
        <v>44983.752083333333</v>
      </c>
      <c r="H1363">
        <v>63</v>
      </c>
      <c r="I1363">
        <v>25.36</v>
      </c>
      <c r="J1363" t="str">
        <f t="shared" si="64"/>
        <v>Medium</v>
      </c>
      <c r="K1363" t="s">
        <v>69</v>
      </c>
      <c r="L1363">
        <v>29</v>
      </c>
      <c r="M1363">
        <v>64</v>
      </c>
      <c r="N1363" t="str">
        <f t="shared" si="65"/>
        <v>Medium Cost</v>
      </c>
      <c r="O1363">
        <v>11.49</v>
      </c>
      <c r="P1363" t="s">
        <v>33</v>
      </c>
      <c r="Q1363" t="s">
        <v>48</v>
      </c>
      <c r="R1363" t="s">
        <v>25</v>
      </c>
      <c r="S1363" t="s">
        <v>1017</v>
      </c>
      <c r="T1363" t="s">
        <v>60</v>
      </c>
      <c r="U1363">
        <v>70</v>
      </c>
      <c r="V1363">
        <v>1.7</v>
      </c>
      <c r="W1363" t="s">
        <v>28</v>
      </c>
      <c r="X1363" t="s">
        <v>68</v>
      </c>
    </row>
    <row r="1364" spans="1:24" x14ac:dyDescent="0.3">
      <c r="A1364" t="s">
        <v>2640</v>
      </c>
      <c r="B1364" t="s">
        <v>30</v>
      </c>
      <c r="C1364" t="s">
        <v>102</v>
      </c>
      <c r="D1364" t="str">
        <f t="shared" si="63"/>
        <v>Evening</v>
      </c>
      <c r="E1364">
        <f>HOUR(EV_Data[[#This Row],[Charging Start Time]])</f>
        <v>18</v>
      </c>
      <c r="F1364" s="1">
        <v>44983.75</v>
      </c>
      <c r="G1364" s="1">
        <v>44983.804861111108</v>
      </c>
      <c r="H1364">
        <v>79</v>
      </c>
      <c r="I1364">
        <v>35.44</v>
      </c>
      <c r="J1364" t="str">
        <f t="shared" si="64"/>
        <v>Medium</v>
      </c>
      <c r="K1364" t="s">
        <v>69</v>
      </c>
      <c r="L1364">
        <v>40</v>
      </c>
      <c r="M1364">
        <v>60</v>
      </c>
      <c r="N1364" t="str">
        <f t="shared" si="65"/>
        <v>Medium Cost</v>
      </c>
      <c r="O1364">
        <v>11.01</v>
      </c>
      <c r="P1364" t="s">
        <v>33</v>
      </c>
      <c r="Q1364" t="s">
        <v>58</v>
      </c>
      <c r="R1364" t="s">
        <v>35</v>
      </c>
      <c r="S1364" t="s">
        <v>1018</v>
      </c>
      <c r="T1364" t="s">
        <v>46</v>
      </c>
      <c r="U1364">
        <v>91</v>
      </c>
      <c r="V1364">
        <v>3.3</v>
      </c>
      <c r="W1364" t="s">
        <v>28</v>
      </c>
      <c r="X1364" t="s">
        <v>68</v>
      </c>
    </row>
    <row r="1365" spans="1:24" x14ac:dyDescent="0.3">
      <c r="A1365" t="s">
        <v>2641</v>
      </c>
      <c r="B1365" t="s">
        <v>30</v>
      </c>
      <c r="C1365" t="s">
        <v>102</v>
      </c>
      <c r="D1365" t="str">
        <f t="shared" si="63"/>
        <v>Evening</v>
      </c>
      <c r="E1365">
        <f>HOUR(EV_Data[[#This Row],[Charging Start Time]])</f>
        <v>19</v>
      </c>
      <c r="F1365" s="1">
        <v>44983.791666666664</v>
      </c>
      <c r="G1365" s="1">
        <v>44983.8</v>
      </c>
      <c r="H1365">
        <v>12</v>
      </c>
      <c r="I1365">
        <v>34.950000000000003</v>
      </c>
      <c r="J1365" t="str">
        <f t="shared" si="64"/>
        <v>Medium</v>
      </c>
      <c r="K1365" t="s">
        <v>50</v>
      </c>
      <c r="L1365">
        <v>23</v>
      </c>
      <c r="M1365">
        <v>48</v>
      </c>
      <c r="N1365" t="str">
        <f t="shared" si="65"/>
        <v>Medium Cost</v>
      </c>
      <c r="O1365">
        <v>13</v>
      </c>
      <c r="P1365" t="s">
        <v>64</v>
      </c>
      <c r="Q1365" t="s">
        <v>58</v>
      </c>
      <c r="R1365" t="s">
        <v>56</v>
      </c>
      <c r="S1365" t="s">
        <v>488</v>
      </c>
      <c r="T1365" t="s">
        <v>60</v>
      </c>
      <c r="U1365">
        <v>63</v>
      </c>
      <c r="V1365">
        <v>3.7</v>
      </c>
      <c r="W1365" t="s">
        <v>38</v>
      </c>
      <c r="X1365" t="s">
        <v>83</v>
      </c>
    </row>
    <row r="1366" spans="1:24" x14ac:dyDescent="0.3">
      <c r="A1366" t="s">
        <v>2642</v>
      </c>
      <c r="B1366" t="s">
        <v>30</v>
      </c>
      <c r="C1366" t="s">
        <v>102</v>
      </c>
      <c r="D1366" t="str">
        <f t="shared" si="63"/>
        <v>Evening</v>
      </c>
      <c r="E1366">
        <f>HOUR(EV_Data[[#This Row],[Charging Start Time]])</f>
        <v>20</v>
      </c>
      <c r="F1366" s="1">
        <v>44983.833333333336</v>
      </c>
      <c r="G1366" s="1">
        <v>44983.859027777777</v>
      </c>
      <c r="H1366">
        <v>37</v>
      </c>
      <c r="I1366">
        <v>38.92</v>
      </c>
      <c r="J1366" t="str">
        <f t="shared" si="64"/>
        <v>Medium</v>
      </c>
      <c r="K1366" t="s">
        <v>69</v>
      </c>
      <c r="L1366">
        <v>59</v>
      </c>
      <c r="M1366">
        <v>94</v>
      </c>
      <c r="N1366" t="str">
        <f t="shared" si="65"/>
        <v>Medium Cost</v>
      </c>
      <c r="O1366">
        <v>8.76</v>
      </c>
      <c r="P1366" t="s">
        <v>23</v>
      </c>
      <c r="Q1366" t="s">
        <v>24</v>
      </c>
      <c r="R1366" t="s">
        <v>44</v>
      </c>
      <c r="S1366" t="s">
        <v>659</v>
      </c>
      <c r="T1366" t="s">
        <v>46</v>
      </c>
      <c r="U1366">
        <v>78</v>
      </c>
      <c r="V1366">
        <v>4.4000000000000004</v>
      </c>
      <c r="W1366" t="s">
        <v>28</v>
      </c>
      <c r="X1366" t="s">
        <v>68</v>
      </c>
    </row>
    <row r="1367" spans="1:24" x14ac:dyDescent="0.3">
      <c r="A1367" t="s">
        <v>2643</v>
      </c>
      <c r="B1367" t="s">
        <v>77</v>
      </c>
      <c r="C1367" t="s">
        <v>78</v>
      </c>
      <c r="D1367" t="str">
        <f t="shared" si="63"/>
        <v>Evening</v>
      </c>
      <c r="E1367">
        <f>HOUR(EV_Data[[#This Row],[Charging Start Time]])</f>
        <v>21</v>
      </c>
      <c r="F1367" s="1">
        <v>44983.875</v>
      </c>
      <c r="G1367" s="1">
        <v>44983.963888888888</v>
      </c>
      <c r="H1367">
        <v>128</v>
      </c>
      <c r="I1367">
        <v>42.89</v>
      </c>
      <c r="J1367" t="str">
        <f t="shared" si="64"/>
        <v>Medium</v>
      </c>
      <c r="K1367" t="s">
        <v>22</v>
      </c>
      <c r="L1367">
        <v>10</v>
      </c>
      <c r="M1367">
        <v>20</v>
      </c>
      <c r="N1367" t="str">
        <f t="shared" si="65"/>
        <v>Medium Cost</v>
      </c>
      <c r="O1367">
        <v>15.22</v>
      </c>
      <c r="P1367" t="s">
        <v>33</v>
      </c>
      <c r="Q1367" t="s">
        <v>48</v>
      </c>
      <c r="R1367" t="s">
        <v>35</v>
      </c>
      <c r="S1367" t="s">
        <v>1019</v>
      </c>
      <c r="T1367" t="s">
        <v>60</v>
      </c>
      <c r="U1367">
        <v>42</v>
      </c>
      <c r="V1367">
        <v>5</v>
      </c>
      <c r="W1367" t="s">
        <v>47</v>
      </c>
      <c r="X1367" t="s">
        <v>29</v>
      </c>
    </row>
    <row r="1368" spans="1:24" x14ac:dyDescent="0.3">
      <c r="A1368" t="s">
        <v>2644</v>
      </c>
      <c r="B1368" t="s">
        <v>40</v>
      </c>
      <c r="C1368" t="s">
        <v>41</v>
      </c>
      <c r="D1368" t="str">
        <f t="shared" si="63"/>
        <v>Evening</v>
      </c>
      <c r="E1368">
        <f>HOUR(EV_Data[[#This Row],[Charging Start Time]])</f>
        <v>22</v>
      </c>
      <c r="F1368" s="1">
        <v>44983.916666666664</v>
      </c>
      <c r="G1368" s="1">
        <v>44983.936805555553</v>
      </c>
      <c r="H1368">
        <v>29</v>
      </c>
      <c r="I1368">
        <v>12.41</v>
      </c>
      <c r="J1368" t="str">
        <f t="shared" si="64"/>
        <v>Low</v>
      </c>
      <c r="K1368" t="s">
        <v>42</v>
      </c>
      <c r="L1368">
        <v>28</v>
      </c>
      <c r="M1368">
        <v>52</v>
      </c>
      <c r="N1368" t="str">
        <f t="shared" si="65"/>
        <v>Low Cost</v>
      </c>
      <c r="O1368">
        <v>5.22</v>
      </c>
      <c r="P1368" t="s">
        <v>33</v>
      </c>
      <c r="Q1368" t="s">
        <v>58</v>
      </c>
      <c r="R1368" t="s">
        <v>25</v>
      </c>
      <c r="S1368" t="s">
        <v>143</v>
      </c>
      <c r="T1368" t="s">
        <v>37</v>
      </c>
      <c r="U1368">
        <v>97</v>
      </c>
      <c r="V1368">
        <v>1.6</v>
      </c>
      <c r="W1368" t="s">
        <v>38</v>
      </c>
    </row>
    <row r="1369" spans="1:24" x14ac:dyDescent="0.3">
      <c r="A1369" t="s">
        <v>2645</v>
      </c>
      <c r="B1369" t="s">
        <v>71</v>
      </c>
      <c r="C1369" t="s">
        <v>72</v>
      </c>
      <c r="D1369" t="str">
        <f t="shared" si="63"/>
        <v>Evening</v>
      </c>
      <c r="E1369">
        <f>HOUR(EV_Data[[#This Row],[Charging Start Time]])</f>
        <v>23</v>
      </c>
      <c r="F1369" s="1">
        <v>44983.958333333336</v>
      </c>
      <c r="G1369" s="1">
        <v>44984.009027777778</v>
      </c>
      <c r="H1369">
        <v>73</v>
      </c>
      <c r="I1369">
        <v>8.56</v>
      </c>
      <c r="J1369" t="str">
        <f t="shared" si="64"/>
        <v>Low</v>
      </c>
      <c r="K1369" t="s">
        <v>32</v>
      </c>
      <c r="L1369">
        <v>44</v>
      </c>
      <c r="M1369">
        <v>61</v>
      </c>
      <c r="N1369" t="str">
        <f t="shared" si="65"/>
        <v>Low Cost</v>
      </c>
      <c r="O1369">
        <v>2.81</v>
      </c>
      <c r="P1369" t="s">
        <v>64</v>
      </c>
      <c r="Q1369" t="s">
        <v>58</v>
      </c>
      <c r="R1369" t="s">
        <v>25</v>
      </c>
      <c r="S1369" t="s">
        <v>174</v>
      </c>
      <c r="T1369" t="s">
        <v>27</v>
      </c>
      <c r="U1369">
        <v>11</v>
      </c>
      <c r="V1369">
        <v>1.2</v>
      </c>
      <c r="W1369" t="s">
        <v>28</v>
      </c>
      <c r="X1369" t="s">
        <v>68</v>
      </c>
    </row>
    <row r="1370" spans="1:24" x14ac:dyDescent="0.3">
      <c r="A1370" t="s">
        <v>2646</v>
      </c>
      <c r="B1370" t="s">
        <v>126</v>
      </c>
      <c r="C1370" t="s">
        <v>31</v>
      </c>
      <c r="D1370" t="str">
        <f t="shared" si="63"/>
        <v>Morning</v>
      </c>
      <c r="E1370">
        <f>HOUR(EV_Data[[#This Row],[Charging Start Time]])</f>
        <v>0</v>
      </c>
      <c r="F1370" s="1">
        <v>44984</v>
      </c>
      <c r="G1370" s="1">
        <v>44984.029166666667</v>
      </c>
      <c r="H1370">
        <v>42</v>
      </c>
      <c r="I1370">
        <v>40.36</v>
      </c>
      <c r="J1370" t="str">
        <f t="shared" si="64"/>
        <v>Medium</v>
      </c>
      <c r="K1370" t="s">
        <v>22</v>
      </c>
      <c r="L1370">
        <v>34</v>
      </c>
      <c r="M1370">
        <v>65</v>
      </c>
      <c r="N1370" t="str">
        <f t="shared" si="65"/>
        <v>Medium Cost</v>
      </c>
      <c r="O1370">
        <v>16.16</v>
      </c>
      <c r="P1370" t="s">
        <v>51</v>
      </c>
      <c r="Q1370" t="s">
        <v>34</v>
      </c>
      <c r="R1370" t="s">
        <v>35</v>
      </c>
      <c r="S1370" t="s">
        <v>665</v>
      </c>
      <c r="T1370" t="s">
        <v>46</v>
      </c>
      <c r="U1370">
        <v>62</v>
      </c>
      <c r="V1370">
        <v>2.8</v>
      </c>
      <c r="W1370" t="s">
        <v>28</v>
      </c>
      <c r="X1370" t="s">
        <v>68</v>
      </c>
    </row>
    <row r="1371" spans="1:24" x14ac:dyDescent="0.3">
      <c r="A1371" t="s">
        <v>2647</v>
      </c>
      <c r="B1371" t="s">
        <v>30</v>
      </c>
      <c r="C1371" t="s">
        <v>102</v>
      </c>
      <c r="D1371" t="str">
        <f t="shared" si="63"/>
        <v>Morning</v>
      </c>
      <c r="E1371">
        <f>HOUR(EV_Data[[#This Row],[Charging Start Time]])</f>
        <v>1</v>
      </c>
      <c r="F1371" s="1">
        <v>44984.041666666664</v>
      </c>
      <c r="G1371" s="1">
        <v>44984.103472222218</v>
      </c>
      <c r="H1371">
        <v>89</v>
      </c>
      <c r="I1371">
        <v>34.71</v>
      </c>
      <c r="J1371" t="str">
        <f t="shared" si="64"/>
        <v>Medium</v>
      </c>
      <c r="K1371" t="s">
        <v>69</v>
      </c>
      <c r="L1371">
        <v>59</v>
      </c>
      <c r="M1371">
        <v>95</v>
      </c>
      <c r="N1371" t="str">
        <f t="shared" si="65"/>
        <v>Medium Cost</v>
      </c>
      <c r="O1371">
        <v>12.3</v>
      </c>
      <c r="P1371" t="s">
        <v>23</v>
      </c>
      <c r="Q1371" t="s">
        <v>34</v>
      </c>
      <c r="R1371" t="s">
        <v>56</v>
      </c>
      <c r="S1371" t="s">
        <v>1020</v>
      </c>
      <c r="T1371" t="s">
        <v>37</v>
      </c>
      <c r="U1371">
        <v>96</v>
      </c>
      <c r="V1371">
        <v>1.4</v>
      </c>
      <c r="W1371" t="s">
        <v>28</v>
      </c>
      <c r="X1371" t="s">
        <v>68</v>
      </c>
    </row>
    <row r="1372" spans="1:24" x14ac:dyDescent="0.3">
      <c r="A1372" t="s">
        <v>2648</v>
      </c>
      <c r="B1372" t="s">
        <v>30</v>
      </c>
      <c r="C1372" t="s">
        <v>102</v>
      </c>
      <c r="D1372" t="str">
        <f t="shared" si="63"/>
        <v>Morning</v>
      </c>
      <c r="E1372">
        <f>HOUR(EV_Data[[#This Row],[Charging Start Time]])</f>
        <v>2</v>
      </c>
      <c r="F1372" s="1">
        <v>44984.083333333336</v>
      </c>
      <c r="G1372" s="1">
        <v>44984.118750000001</v>
      </c>
      <c r="H1372">
        <v>51</v>
      </c>
      <c r="I1372">
        <v>31.18</v>
      </c>
      <c r="J1372" t="str">
        <f t="shared" si="64"/>
        <v>Medium</v>
      </c>
      <c r="K1372" t="s">
        <v>69</v>
      </c>
      <c r="L1372">
        <v>41</v>
      </c>
      <c r="M1372">
        <v>60</v>
      </c>
      <c r="N1372" t="str">
        <f t="shared" si="65"/>
        <v>Low Cost</v>
      </c>
      <c r="O1372">
        <v>7.08</v>
      </c>
      <c r="P1372" t="s">
        <v>33</v>
      </c>
      <c r="Q1372" t="s">
        <v>34</v>
      </c>
      <c r="R1372" t="s">
        <v>25</v>
      </c>
      <c r="S1372" t="s">
        <v>1021</v>
      </c>
      <c r="T1372" t="s">
        <v>37</v>
      </c>
      <c r="U1372">
        <v>83</v>
      </c>
      <c r="V1372">
        <v>3.4</v>
      </c>
      <c r="W1372" t="s">
        <v>38</v>
      </c>
      <c r="X1372" t="s">
        <v>39</v>
      </c>
    </row>
    <row r="1373" spans="1:24" x14ac:dyDescent="0.3">
      <c r="A1373" t="s">
        <v>2649</v>
      </c>
      <c r="B1373" t="s">
        <v>53</v>
      </c>
      <c r="C1373" t="s">
        <v>54</v>
      </c>
      <c r="D1373" t="str">
        <f t="shared" si="63"/>
        <v>Morning</v>
      </c>
      <c r="E1373">
        <f>HOUR(EV_Data[[#This Row],[Charging Start Time]])</f>
        <v>3</v>
      </c>
      <c r="F1373" s="1">
        <v>44984.125</v>
      </c>
      <c r="G1373" s="1">
        <v>44984.152777777781</v>
      </c>
      <c r="H1373">
        <v>40</v>
      </c>
      <c r="I1373">
        <v>40.04</v>
      </c>
      <c r="J1373" t="str">
        <f t="shared" si="64"/>
        <v>Medium</v>
      </c>
      <c r="K1373" t="s">
        <v>22</v>
      </c>
      <c r="L1373">
        <v>44</v>
      </c>
      <c r="M1373">
        <v>55</v>
      </c>
      <c r="N1373" t="str">
        <f t="shared" si="65"/>
        <v>Medium Cost</v>
      </c>
      <c r="O1373">
        <v>14.03</v>
      </c>
      <c r="P1373" t="s">
        <v>51</v>
      </c>
      <c r="Q1373" t="s">
        <v>48</v>
      </c>
      <c r="R1373" t="s">
        <v>35</v>
      </c>
      <c r="S1373" t="s">
        <v>883</v>
      </c>
      <c r="T1373" t="s">
        <v>46</v>
      </c>
      <c r="U1373">
        <v>92</v>
      </c>
      <c r="V1373">
        <v>2.9</v>
      </c>
      <c r="W1373" t="s">
        <v>28</v>
      </c>
      <c r="X1373" t="s">
        <v>68</v>
      </c>
    </row>
    <row r="1374" spans="1:24" x14ac:dyDescent="0.3">
      <c r="A1374" t="s">
        <v>2650</v>
      </c>
      <c r="B1374" t="s">
        <v>53</v>
      </c>
      <c r="C1374" t="s">
        <v>54</v>
      </c>
      <c r="D1374" t="str">
        <f t="shared" si="63"/>
        <v>Morning</v>
      </c>
      <c r="E1374">
        <f>HOUR(EV_Data[[#This Row],[Charging Start Time]])</f>
        <v>4</v>
      </c>
      <c r="F1374" s="1">
        <v>44984.166666666664</v>
      </c>
      <c r="G1374" s="1">
        <v>44984.167361111111</v>
      </c>
      <c r="H1374">
        <v>1</v>
      </c>
      <c r="I1374">
        <v>36.35</v>
      </c>
      <c r="J1374" t="str">
        <f t="shared" si="64"/>
        <v>Medium</v>
      </c>
      <c r="K1374" t="s">
        <v>42</v>
      </c>
      <c r="L1374">
        <v>77</v>
      </c>
      <c r="M1374">
        <v>94</v>
      </c>
      <c r="N1374" t="str">
        <f t="shared" si="65"/>
        <v>Medium Cost</v>
      </c>
      <c r="O1374">
        <v>8.85</v>
      </c>
      <c r="P1374" t="s">
        <v>64</v>
      </c>
      <c r="Q1374" t="s">
        <v>24</v>
      </c>
      <c r="R1374" t="s">
        <v>35</v>
      </c>
      <c r="S1374" t="s">
        <v>1022</v>
      </c>
      <c r="T1374" t="s">
        <v>60</v>
      </c>
      <c r="U1374">
        <v>1</v>
      </c>
      <c r="V1374">
        <v>3.2</v>
      </c>
      <c r="W1374" t="s">
        <v>28</v>
      </c>
      <c r="X1374" t="s">
        <v>68</v>
      </c>
    </row>
    <row r="1375" spans="1:24" x14ac:dyDescent="0.3">
      <c r="A1375" t="s">
        <v>2651</v>
      </c>
      <c r="B1375" t="s">
        <v>71</v>
      </c>
      <c r="C1375" t="s">
        <v>72</v>
      </c>
      <c r="D1375" t="str">
        <f t="shared" si="63"/>
        <v>Morning</v>
      </c>
      <c r="E1375">
        <f>HOUR(EV_Data[[#This Row],[Charging Start Time]])</f>
        <v>5</v>
      </c>
      <c r="F1375" s="1">
        <v>44984.208333333336</v>
      </c>
      <c r="G1375" s="1">
        <v>44984.247916666667</v>
      </c>
      <c r="H1375">
        <v>57</v>
      </c>
      <c r="I1375">
        <v>44.26</v>
      </c>
      <c r="J1375" t="str">
        <f t="shared" si="64"/>
        <v>Medium</v>
      </c>
      <c r="K1375" t="s">
        <v>69</v>
      </c>
      <c r="L1375">
        <v>5</v>
      </c>
      <c r="M1375">
        <v>18</v>
      </c>
      <c r="N1375" t="str">
        <f t="shared" si="65"/>
        <v>Medium Cost</v>
      </c>
      <c r="O1375">
        <v>10.59</v>
      </c>
      <c r="P1375" t="s">
        <v>43</v>
      </c>
      <c r="Q1375" t="s">
        <v>34</v>
      </c>
      <c r="R1375" t="s">
        <v>56</v>
      </c>
      <c r="S1375" t="s">
        <v>1023</v>
      </c>
      <c r="T1375" t="s">
        <v>37</v>
      </c>
      <c r="U1375">
        <v>83</v>
      </c>
      <c r="V1375">
        <v>2.2000000000000002</v>
      </c>
      <c r="W1375" t="s">
        <v>38</v>
      </c>
      <c r="X1375" t="s">
        <v>85</v>
      </c>
    </row>
    <row r="1376" spans="1:24" x14ac:dyDescent="0.3">
      <c r="A1376" t="s">
        <v>2652</v>
      </c>
      <c r="B1376" t="s">
        <v>126</v>
      </c>
      <c r="C1376" t="s">
        <v>31</v>
      </c>
      <c r="D1376" t="str">
        <f t="shared" si="63"/>
        <v>Morning</v>
      </c>
      <c r="E1376">
        <f>HOUR(EV_Data[[#This Row],[Charging Start Time]])</f>
        <v>6</v>
      </c>
      <c r="F1376" s="1">
        <v>44984.25</v>
      </c>
      <c r="G1376" s="1">
        <v>44984.320833333331</v>
      </c>
      <c r="H1376">
        <v>102</v>
      </c>
      <c r="I1376">
        <v>20.13</v>
      </c>
      <c r="J1376" t="str">
        <f t="shared" si="64"/>
        <v>Medium</v>
      </c>
      <c r="K1376" t="s">
        <v>42</v>
      </c>
      <c r="L1376">
        <v>35</v>
      </c>
      <c r="M1376">
        <v>73</v>
      </c>
      <c r="N1376" t="str">
        <f t="shared" si="65"/>
        <v>Medium Cost</v>
      </c>
      <c r="O1376">
        <v>8.61</v>
      </c>
      <c r="P1376" t="s">
        <v>43</v>
      </c>
      <c r="Q1376" t="s">
        <v>34</v>
      </c>
      <c r="R1376" t="s">
        <v>56</v>
      </c>
      <c r="S1376" t="s">
        <v>707</v>
      </c>
      <c r="T1376" t="s">
        <v>37</v>
      </c>
      <c r="U1376">
        <v>58</v>
      </c>
      <c r="V1376">
        <v>2.4</v>
      </c>
      <c r="W1376" t="s">
        <v>38</v>
      </c>
      <c r="X1376" t="s">
        <v>85</v>
      </c>
    </row>
    <row r="1377" spans="1:24" x14ac:dyDescent="0.3">
      <c r="A1377" t="s">
        <v>2653</v>
      </c>
      <c r="B1377" t="s">
        <v>30</v>
      </c>
      <c r="C1377" t="s">
        <v>102</v>
      </c>
      <c r="D1377" t="str">
        <f t="shared" si="63"/>
        <v>Morning</v>
      </c>
      <c r="E1377">
        <f>HOUR(EV_Data[[#This Row],[Charging Start Time]])</f>
        <v>7</v>
      </c>
      <c r="F1377" s="1">
        <v>44984.291666666664</v>
      </c>
      <c r="G1377" s="1">
        <v>44984.369444444441</v>
      </c>
      <c r="H1377">
        <v>112</v>
      </c>
      <c r="I1377">
        <v>9.77</v>
      </c>
      <c r="J1377" t="str">
        <f t="shared" si="64"/>
        <v>Low</v>
      </c>
      <c r="K1377" t="s">
        <v>69</v>
      </c>
      <c r="L1377">
        <v>18</v>
      </c>
      <c r="M1377">
        <v>47</v>
      </c>
      <c r="N1377" t="str">
        <f t="shared" si="65"/>
        <v>Low Cost</v>
      </c>
      <c r="O1377">
        <v>1.98</v>
      </c>
      <c r="P1377" t="s">
        <v>23</v>
      </c>
      <c r="Q1377" t="s">
        <v>48</v>
      </c>
      <c r="R1377" t="s">
        <v>35</v>
      </c>
      <c r="S1377" t="s">
        <v>1024</v>
      </c>
      <c r="T1377" t="s">
        <v>37</v>
      </c>
      <c r="U1377">
        <v>100</v>
      </c>
      <c r="V1377">
        <v>4.0999999999999996</v>
      </c>
      <c r="W1377" t="s">
        <v>38</v>
      </c>
      <c r="X1377" t="s">
        <v>62</v>
      </c>
    </row>
    <row r="1378" spans="1:24" x14ac:dyDescent="0.3">
      <c r="A1378" t="s">
        <v>2654</v>
      </c>
      <c r="B1378" t="s">
        <v>126</v>
      </c>
      <c r="C1378" t="s">
        <v>31</v>
      </c>
      <c r="D1378" t="str">
        <f t="shared" si="63"/>
        <v>Morning</v>
      </c>
      <c r="E1378">
        <f>HOUR(EV_Data[[#This Row],[Charging Start Time]])</f>
        <v>8</v>
      </c>
      <c r="F1378" s="1">
        <v>44984.333333333336</v>
      </c>
      <c r="G1378" s="1">
        <v>44984.374305555553</v>
      </c>
      <c r="H1378">
        <v>59</v>
      </c>
      <c r="I1378">
        <v>47.83</v>
      </c>
      <c r="J1378" t="str">
        <f t="shared" si="64"/>
        <v>Medium</v>
      </c>
      <c r="K1378" t="s">
        <v>50</v>
      </c>
      <c r="L1378">
        <v>71</v>
      </c>
      <c r="M1378">
        <v>100</v>
      </c>
      <c r="N1378" t="str">
        <f t="shared" si="65"/>
        <v>Medium Cost</v>
      </c>
      <c r="O1378">
        <v>9.61</v>
      </c>
      <c r="P1378" t="s">
        <v>33</v>
      </c>
      <c r="Q1378" t="s">
        <v>58</v>
      </c>
      <c r="R1378" t="s">
        <v>25</v>
      </c>
      <c r="S1378" t="s">
        <v>1025</v>
      </c>
      <c r="T1378" t="s">
        <v>46</v>
      </c>
      <c r="U1378">
        <v>62</v>
      </c>
      <c r="V1378">
        <v>2.9</v>
      </c>
      <c r="W1378" t="s">
        <v>28</v>
      </c>
      <c r="X1378" t="s">
        <v>68</v>
      </c>
    </row>
    <row r="1379" spans="1:24" x14ac:dyDescent="0.3">
      <c r="A1379" t="s">
        <v>2655</v>
      </c>
      <c r="B1379" t="s">
        <v>30</v>
      </c>
      <c r="C1379" t="s">
        <v>102</v>
      </c>
      <c r="D1379" t="str">
        <f t="shared" si="63"/>
        <v>Morning</v>
      </c>
      <c r="E1379">
        <f>HOUR(EV_Data[[#This Row],[Charging Start Time]])</f>
        <v>9</v>
      </c>
      <c r="F1379" s="1">
        <v>44984.375</v>
      </c>
      <c r="G1379" s="1">
        <v>44984.409722222219</v>
      </c>
      <c r="H1379">
        <v>50</v>
      </c>
      <c r="I1379">
        <v>14.16</v>
      </c>
      <c r="J1379" t="str">
        <f t="shared" si="64"/>
        <v>Low</v>
      </c>
      <c r="K1379" t="s">
        <v>22</v>
      </c>
      <c r="L1379">
        <v>14</v>
      </c>
      <c r="M1379">
        <v>44</v>
      </c>
      <c r="N1379" t="str">
        <f t="shared" si="65"/>
        <v>Low Cost</v>
      </c>
      <c r="O1379">
        <v>3.63</v>
      </c>
      <c r="P1379" t="s">
        <v>43</v>
      </c>
      <c r="Q1379" t="s">
        <v>34</v>
      </c>
      <c r="R1379" t="s">
        <v>35</v>
      </c>
      <c r="S1379" t="s">
        <v>353</v>
      </c>
      <c r="T1379" t="s">
        <v>27</v>
      </c>
      <c r="U1379">
        <v>17</v>
      </c>
      <c r="V1379">
        <v>4.9000000000000004</v>
      </c>
      <c r="W1379" t="s">
        <v>28</v>
      </c>
      <c r="X1379" t="s">
        <v>68</v>
      </c>
    </row>
    <row r="1380" spans="1:24" x14ac:dyDescent="0.3">
      <c r="A1380" t="s">
        <v>2656</v>
      </c>
      <c r="B1380" t="s">
        <v>126</v>
      </c>
      <c r="C1380" t="s">
        <v>31</v>
      </c>
      <c r="D1380" t="str">
        <f t="shared" si="63"/>
        <v>Morning</v>
      </c>
      <c r="E1380">
        <f>HOUR(EV_Data[[#This Row],[Charging Start Time]])</f>
        <v>10</v>
      </c>
      <c r="F1380" s="1">
        <v>44984.416666666664</v>
      </c>
      <c r="G1380" s="1">
        <v>44984.452777777777</v>
      </c>
      <c r="H1380">
        <v>52</v>
      </c>
      <c r="I1380">
        <v>29.04</v>
      </c>
      <c r="J1380" t="str">
        <f t="shared" si="64"/>
        <v>Medium</v>
      </c>
      <c r="K1380" t="s">
        <v>69</v>
      </c>
      <c r="L1380">
        <v>36</v>
      </c>
      <c r="M1380">
        <v>65</v>
      </c>
      <c r="N1380" t="str">
        <f t="shared" si="65"/>
        <v>Medium Cost</v>
      </c>
      <c r="O1380">
        <v>13.16</v>
      </c>
      <c r="P1380" t="s">
        <v>33</v>
      </c>
      <c r="Q1380" t="s">
        <v>34</v>
      </c>
      <c r="R1380" t="s">
        <v>44</v>
      </c>
      <c r="S1380" t="s">
        <v>918</v>
      </c>
      <c r="T1380" t="s">
        <v>46</v>
      </c>
      <c r="U1380">
        <v>80</v>
      </c>
      <c r="V1380">
        <v>2.2999999999999998</v>
      </c>
      <c r="W1380" t="s">
        <v>47</v>
      </c>
      <c r="X1380" t="s">
        <v>29</v>
      </c>
    </row>
    <row r="1381" spans="1:24" x14ac:dyDescent="0.3">
      <c r="A1381" t="s">
        <v>2657</v>
      </c>
      <c r="B1381" t="s">
        <v>53</v>
      </c>
      <c r="C1381" t="s">
        <v>54</v>
      </c>
      <c r="D1381" t="str">
        <f t="shared" si="63"/>
        <v>Morning</v>
      </c>
      <c r="E1381">
        <f>HOUR(EV_Data[[#This Row],[Charging Start Time]])</f>
        <v>11</v>
      </c>
      <c r="F1381" s="1">
        <v>44984.458333333336</v>
      </c>
      <c r="G1381" s="1">
        <v>44984.493055555547</v>
      </c>
      <c r="H1381">
        <v>50</v>
      </c>
      <c r="I1381">
        <v>43.41</v>
      </c>
      <c r="J1381" t="str">
        <f t="shared" si="64"/>
        <v>Medium</v>
      </c>
      <c r="K1381" t="s">
        <v>55</v>
      </c>
      <c r="L1381">
        <v>28</v>
      </c>
      <c r="M1381">
        <v>68</v>
      </c>
      <c r="N1381" t="str">
        <f t="shared" si="65"/>
        <v>High Cost</v>
      </c>
      <c r="O1381">
        <v>21.01</v>
      </c>
      <c r="P1381" t="s">
        <v>33</v>
      </c>
      <c r="Q1381" t="s">
        <v>48</v>
      </c>
      <c r="R1381" t="s">
        <v>35</v>
      </c>
      <c r="S1381" t="s">
        <v>1026</v>
      </c>
      <c r="T1381" t="s">
        <v>60</v>
      </c>
      <c r="U1381">
        <v>67</v>
      </c>
      <c r="V1381">
        <v>4.5999999999999996</v>
      </c>
      <c r="W1381" t="s">
        <v>28</v>
      </c>
      <c r="X1381" t="s">
        <v>68</v>
      </c>
    </row>
    <row r="1382" spans="1:24" x14ac:dyDescent="0.3">
      <c r="A1382" t="s">
        <v>2658</v>
      </c>
      <c r="B1382" t="s">
        <v>92</v>
      </c>
      <c r="C1382" t="s">
        <v>93</v>
      </c>
      <c r="D1382" t="str">
        <f t="shared" si="63"/>
        <v>Afternoon</v>
      </c>
      <c r="E1382">
        <f>HOUR(EV_Data[[#This Row],[Charging Start Time]])</f>
        <v>12</v>
      </c>
      <c r="F1382" s="1">
        <v>44984.5</v>
      </c>
      <c r="G1382" s="1">
        <v>44984.515972222223</v>
      </c>
      <c r="H1382">
        <v>23</v>
      </c>
      <c r="I1382">
        <v>17.57</v>
      </c>
      <c r="J1382" t="str">
        <f t="shared" si="64"/>
        <v>Low</v>
      </c>
      <c r="K1382" t="s">
        <v>22</v>
      </c>
      <c r="L1382">
        <v>19</v>
      </c>
      <c r="M1382">
        <v>47</v>
      </c>
      <c r="N1382" t="str">
        <f t="shared" si="65"/>
        <v>Low Cost</v>
      </c>
      <c r="O1382">
        <v>4.57</v>
      </c>
      <c r="P1382" t="s">
        <v>33</v>
      </c>
      <c r="Q1382" t="s">
        <v>24</v>
      </c>
      <c r="R1382" t="s">
        <v>25</v>
      </c>
      <c r="S1382" t="s">
        <v>798</v>
      </c>
      <c r="T1382" t="s">
        <v>60</v>
      </c>
      <c r="U1382">
        <v>39</v>
      </c>
      <c r="V1382">
        <v>2.8</v>
      </c>
      <c r="W1382" t="s">
        <v>47</v>
      </c>
      <c r="X1382" t="s">
        <v>29</v>
      </c>
    </row>
    <row r="1383" spans="1:24" x14ac:dyDescent="0.3">
      <c r="A1383" t="s">
        <v>2659</v>
      </c>
      <c r="B1383" t="s">
        <v>77</v>
      </c>
      <c r="C1383" t="s">
        <v>78</v>
      </c>
      <c r="D1383" t="str">
        <f t="shared" si="63"/>
        <v>Afternoon</v>
      </c>
      <c r="E1383">
        <f>HOUR(EV_Data[[#This Row],[Charging Start Time]])</f>
        <v>13</v>
      </c>
      <c r="F1383" s="1">
        <v>44984.541666666664</v>
      </c>
      <c r="G1383" s="1">
        <v>44984.578472222223</v>
      </c>
      <c r="H1383">
        <v>53</v>
      </c>
      <c r="I1383">
        <v>14.76</v>
      </c>
      <c r="J1383" t="str">
        <f t="shared" si="64"/>
        <v>Low</v>
      </c>
      <c r="K1383" t="s">
        <v>42</v>
      </c>
      <c r="L1383">
        <v>19</v>
      </c>
      <c r="M1383">
        <v>31</v>
      </c>
      <c r="N1383" t="str">
        <f t="shared" si="65"/>
        <v>Low Cost</v>
      </c>
      <c r="O1383">
        <v>3.55</v>
      </c>
      <c r="P1383" t="s">
        <v>33</v>
      </c>
      <c r="Q1383" t="s">
        <v>24</v>
      </c>
      <c r="R1383" t="s">
        <v>56</v>
      </c>
      <c r="S1383" t="s">
        <v>383</v>
      </c>
      <c r="T1383" t="s">
        <v>37</v>
      </c>
      <c r="U1383">
        <v>62</v>
      </c>
      <c r="V1383">
        <v>3.5</v>
      </c>
      <c r="W1383" t="s">
        <v>38</v>
      </c>
      <c r="X1383" t="s">
        <v>62</v>
      </c>
    </row>
    <row r="1384" spans="1:24" x14ac:dyDescent="0.3">
      <c r="A1384" t="s">
        <v>2660</v>
      </c>
      <c r="B1384" t="s">
        <v>126</v>
      </c>
      <c r="C1384" t="s">
        <v>31</v>
      </c>
      <c r="D1384" t="str">
        <f t="shared" si="63"/>
        <v>Afternoon</v>
      </c>
      <c r="E1384">
        <f>HOUR(EV_Data[[#This Row],[Charging Start Time]])</f>
        <v>14</v>
      </c>
      <c r="F1384" s="1">
        <v>44984.583333333336</v>
      </c>
      <c r="G1384" s="1">
        <v>44984.625</v>
      </c>
      <c r="H1384">
        <v>60</v>
      </c>
      <c r="I1384">
        <v>14.13</v>
      </c>
      <c r="J1384" t="str">
        <f t="shared" si="64"/>
        <v>Low</v>
      </c>
      <c r="K1384" t="s">
        <v>22</v>
      </c>
      <c r="L1384">
        <v>32</v>
      </c>
      <c r="M1384">
        <v>70</v>
      </c>
      <c r="N1384" t="str">
        <f t="shared" si="65"/>
        <v>Low Cost</v>
      </c>
      <c r="O1384">
        <v>4.75</v>
      </c>
      <c r="P1384" t="s">
        <v>33</v>
      </c>
      <c r="Q1384" t="s">
        <v>24</v>
      </c>
      <c r="R1384" t="s">
        <v>25</v>
      </c>
      <c r="S1384" t="s">
        <v>1027</v>
      </c>
      <c r="T1384" t="s">
        <v>60</v>
      </c>
      <c r="U1384">
        <v>65</v>
      </c>
      <c r="V1384">
        <v>1.8</v>
      </c>
      <c r="W1384" t="s">
        <v>38</v>
      </c>
      <c r="X1384" t="s">
        <v>85</v>
      </c>
    </row>
    <row r="1385" spans="1:24" x14ac:dyDescent="0.3">
      <c r="A1385" t="s">
        <v>2661</v>
      </c>
      <c r="B1385" t="s">
        <v>77</v>
      </c>
      <c r="C1385" t="s">
        <v>78</v>
      </c>
      <c r="D1385" t="str">
        <f t="shared" si="63"/>
        <v>Afternoon</v>
      </c>
      <c r="E1385">
        <f>HOUR(EV_Data[[#This Row],[Charging Start Time]])</f>
        <v>15</v>
      </c>
      <c r="F1385" s="1">
        <v>44984.625</v>
      </c>
      <c r="G1385" s="1">
        <v>44984.706944444442</v>
      </c>
      <c r="H1385">
        <v>118</v>
      </c>
      <c r="I1385">
        <v>45.67</v>
      </c>
      <c r="J1385" t="str">
        <f t="shared" si="64"/>
        <v>Medium</v>
      </c>
      <c r="K1385" t="s">
        <v>22</v>
      </c>
      <c r="L1385">
        <v>41</v>
      </c>
      <c r="M1385">
        <v>72</v>
      </c>
      <c r="N1385" t="str">
        <f t="shared" si="65"/>
        <v>Medium Cost</v>
      </c>
      <c r="O1385">
        <v>9.65</v>
      </c>
      <c r="P1385" t="s">
        <v>33</v>
      </c>
      <c r="Q1385" t="s">
        <v>24</v>
      </c>
      <c r="R1385" t="s">
        <v>44</v>
      </c>
      <c r="S1385" t="s">
        <v>1028</v>
      </c>
      <c r="T1385" t="s">
        <v>27</v>
      </c>
      <c r="U1385">
        <v>69</v>
      </c>
      <c r="V1385">
        <v>2.1</v>
      </c>
      <c r="W1385" t="s">
        <v>47</v>
      </c>
      <c r="X1385" t="s">
        <v>29</v>
      </c>
    </row>
    <row r="1386" spans="1:24" x14ac:dyDescent="0.3">
      <c r="A1386" t="s">
        <v>2662</v>
      </c>
      <c r="B1386" t="s">
        <v>92</v>
      </c>
      <c r="C1386" t="s">
        <v>93</v>
      </c>
      <c r="D1386" t="str">
        <f t="shared" si="63"/>
        <v>Afternoon</v>
      </c>
      <c r="E1386">
        <f>HOUR(EV_Data[[#This Row],[Charging Start Time]])</f>
        <v>16</v>
      </c>
      <c r="F1386" s="1">
        <v>44984.666666666664</v>
      </c>
      <c r="G1386" s="1">
        <v>44984.693055555559</v>
      </c>
      <c r="H1386">
        <v>38</v>
      </c>
      <c r="I1386">
        <v>5.54</v>
      </c>
      <c r="J1386" t="str">
        <f t="shared" si="64"/>
        <v>Low</v>
      </c>
      <c r="K1386" t="s">
        <v>55</v>
      </c>
      <c r="L1386">
        <v>8</v>
      </c>
      <c r="M1386">
        <v>30</v>
      </c>
      <c r="N1386" t="str">
        <f t="shared" si="65"/>
        <v>Low Cost</v>
      </c>
      <c r="O1386">
        <v>2.29</v>
      </c>
      <c r="P1386" t="s">
        <v>33</v>
      </c>
      <c r="Q1386" t="s">
        <v>24</v>
      </c>
      <c r="R1386" t="s">
        <v>44</v>
      </c>
      <c r="S1386" t="s">
        <v>446</v>
      </c>
      <c r="T1386" t="s">
        <v>60</v>
      </c>
      <c r="U1386">
        <v>38</v>
      </c>
      <c r="V1386">
        <v>3</v>
      </c>
      <c r="W1386" t="s">
        <v>47</v>
      </c>
      <c r="X1386" t="s">
        <v>29</v>
      </c>
    </row>
    <row r="1387" spans="1:24" x14ac:dyDescent="0.3">
      <c r="A1387" t="s">
        <v>2663</v>
      </c>
      <c r="B1387" t="s">
        <v>30</v>
      </c>
      <c r="C1387" t="s">
        <v>102</v>
      </c>
      <c r="D1387" t="str">
        <f t="shared" si="63"/>
        <v>Evening</v>
      </c>
      <c r="E1387">
        <f>HOUR(EV_Data[[#This Row],[Charging Start Time]])</f>
        <v>17</v>
      </c>
      <c r="F1387" s="1">
        <v>44984.708333333336</v>
      </c>
      <c r="G1387" s="1">
        <v>44984.769444444442</v>
      </c>
      <c r="H1387">
        <v>88</v>
      </c>
      <c r="I1387">
        <v>8.73</v>
      </c>
      <c r="J1387" t="str">
        <f t="shared" si="64"/>
        <v>Low</v>
      </c>
      <c r="K1387" t="s">
        <v>55</v>
      </c>
      <c r="L1387">
        <v>43</v>
      </c>
      <c r="M1387">
        <v>55</v>
      </c>
      <c r="N1387" t="str">
        <f t="shared" si="65"/>
        <v>Low Cost</v>
      </c>
      <c r="O1387">
        <v>2.91</v>
      </c>
      <c r="P1387" t="s">
        <v>64</v>
      </c>
      <c r="Q1387" t="s">
        <v>34</v>
      </c>
      <c r="R1387" t="s">
        <v>25</v>
      </c>
      <c r="S1387" t="s">
        <v>818</v>
      </c>
      <c r="T1387" t="s">
        <v>60</v>
      </c>
      <c r="U1387">
        <v>64</v>
      </c>
      <c r="V1387">
        <v>1.8</v>
      </c>
      <c r="W1387" t="s">
        <v>47</v>
      </c>
      <c r="X1387" t="s">
        <v>29</v>
      </c>
    </row>
    <row r="1388" spans="1:24" x14ac:dyDescent="0.3">
      <c r="A1388" t="s">
        <v>2664</v>
      </c>
      <c r="B1388" t="s">
        <v>30</v>
      </c>
      <c r="C1388" t="s">
        <v>102</v>
      </c>
      <c r="D1388" t="str">
        <f t="shared" si="63"/>
        <v>Evening</v>
      </c>
      <c r="E1388">
        <f>HOUR(EV_Data[[#This Row],[Charging Start Time]])</f>
        <v>18</v>
      </c>
      <c r="F1388" s="1">
        <v>44984.75</v>
      </c>
      <c r="G1388" s="1">
        <v>44984.798611111109</v>
      </c>
      <c r="H1388">
        <v>70</v>
      </c>
      <c r="I1388">
        <v>37.43</v>
      </c>
      <c r="J1388" t="str">
        <f t="shared" si="64"/>
        <v>Medium</v>
      </c>
      <c r="K1388" t="s">
        <v>50</v>
      </c>
      <c r="L1388">
        <v>58</v>
      </c>
      <c r="M1388">
        <v>69</v>
      </c>
      <c r="N1388" t="str">
        <f t="shared" si="65"/>
        <v>Medium Cost</v>
      </c>
      <c r="O1388">
        <v>10.66</v>
      </c>
      <c r="P1388" t="s">
        <v>23</v>
      </c>
      <c r="Q1388" t="s">
        <v>34</v>
      </c>
      <c r="R1388" t="s">
        <v>56</v>
      </c>
      <c r="S1388" t="s">
        <v>620</v>
      </c>
      <c r="T1388" t="s">
        <v>46</v>
      </c>
      <c r="U1388">
        <v>1</v>
      </c>
      <c r="V1388">
        <v>3.7</v>
      </c>
      <c r="W1388" t="s">
        <v>38</v>
      </c>
      <c r="X1388" t="s">
        <v>62</v>
      </c>
    </row>
    <row r="1389" spans="1:24" x14ac:dyDescent="0.3">
      <c r="A1389" t="s">
        <v>2665</v>
      </c>
      <c r="B1389" t="s">
        <v>40</v>
      </c>
      <c r="C1389" t="s">
        <v>41</v>
      </c>
      <c r="D1389" t="str">
        <f t="shared" si="63"/>
        <v>Evening</v>
      </c>
      <c r="E1389">
        <f>HOUR(EV_Data[[#This Row],[Charging Start Time]])</f>
        <v>19</v>
      </c>
      <c r="F1389" s="1">
        <v>44984.791666666664</v>
      </c>
      <c r="G1389" s="1">
        <v>44984.792361111111</v>
      </c>
      <c r="H1389">
        <v>1</v>
      </c>
      <c r="I1389">
        <v>34.83</v>
      </c>
      <c r="J1389" t="str">
        <f t="shared" si="64"/>
        <v>Medium</v>
      </c>
      <c r="K1389" t="s">
        <v>32</v>
      </c>
      <c r="L1389">
        <v>11</v>
      </c>
      <c r="M1389">
        <v>40</v>
      </c>
      <c r="N1389" t="str">
        <f t="shared" si="65"/>
        <v>Medium Cost</v>
      </c>
      <c r="O1389">
        <v>16.920000000000002</v>
      </c>
      <c r="P1389" t="s">
        <v>51</v>
      </c>
      <c r="Q1389" t="s">
        <v>34</v>
      </c>
      <c r="R1389" t="s">
        <v>35</v>
      </c>
      <c r="S1389" t="s">
        <v>1029</v>
      </c>
      <c r="T1389" t="s">
        <v>46</v>
      </c>
      <c r="U1389">
        <v>44</v>
      </c>
      <c r="V1389">
        <v>2.1</v>
      </c>
      <c r="W1389" t="s">
        <v>28</v>
      </c>
      <c r="X1389" t="s">
        <v>68</v>
      </c>
    </row>
    <row r="1390" spans="1:24" x14ac:dyDescent="0.3">
      <c r="A1390" t="s">
        <v>2666</v>
      </c>
      <c r="B1390" t="s">
        <v>30</v>
      </c>
      <c r="C1390" t="s">
        <v>102</v>
      </c>
      <c r="D1390" t="str">
        <f t="shared" si="63"/>
        <v>Evening</v>
      </c>
      <c r="E1390">
        <f>HOUR(EV_Data[[#This Row],[Charging Start Time]])</f>
        <v>20</v>
      </c>
      <c r="F1390" s="1">
        <v>44984.833333333336</v>
      </c>
      <c r="G1390" s="1">
        <v>44984.879861111112</v>
      </c>
      <c r="H1390">
        <v>67</v>
      </c>
      <c r="I1390">
        <v>40.950000000000003</v>
      </c>
      <c r="J1390" t="str">
        <f t="shared" si="64"/>
        <v>Medium</v>
      </c>
      <c r="K1390" t="s">
        <v>55</v>
      </c>
      <c r="L1390">
        <v>55</v>
      </c>
      <c r="M1390">
        <v>89</v>
      </c>
      <c r="N1390" t="str">
        <f t="shared" si="65"/>
        <v>Medium Cost</v>
      </c>
      <c r="O1390">
        <v>15.72</v>
      </c>
      <c r="P1390" t="s">
        <v>23</v>
      </c>
      <c r="Q1390" t="s">
        <v>24</v>
      </c>
      <c r="R1390" t="s">
        <v>25</v>
      </c>
      <c r="S1390" t="s">
        <v>885</v>
      </c>
      <c r="T1390" t="s">
        <v>27</v>
      </c>
      <c r="U1390">
        <v>34</v>
      </c>
      <c r="V1390">
        <v>4.5999999999999996</v>
      </c>
      <c r="W1390" t="s">
        <v>47</v>
      </c>
      <c r="X1390" t="s">
        <v>29</v>
      </c>
    </row>
    <row r="1391" spans="1:24" x14ac:dyDescent="0.3">
      <c r="A1391" t="s">
        <v>2667</v>
      </c>
      <c r="B1391" t="s">
        <v>92</v>
      </c>
      <c r="C1391" t="s">
        <v>93</v>
      </c>
      <c r="D1391" t="str">
        <f t="shared" si="63"/>
        <v>Evening</v>
      </c>
      <c r="E1391">
        <f>HOUR(EV_Data[[#This Row],[Charging Start Time]])</f>
        <v>21</v>
      </c>
      <c r="F1391" s="1">
        <v>44984.875</v>
      </c>
      <c r="G1391" s="1">
        <v>44984.92291666667</v>
      </c>
      <c r="H1391">
        <v>69</v>
      </c>
      <c r="I1391">
        <v>40.020000000000003</v>
      </c>
      <c r="J1391" t="str">
        <f t="shared" si="64"/>
        <v>Medium</v>
      </c>
      <c r="K1391" t="s">
        <v>22</v>
      </c>
      <c r="L1391">
        <v>79</v>
      </c>
      <c r="M1391">
        <v>100</v>
      </c>
      <c r="N1391" t="str">
        <f t="shared" si="65"/>
        <v>Medium Cost</v>
      </c>
      <c r="O1391">
        <v>10.07</v>
      </c>
      <c r="P1391" t="s">
        <v>23</v>
      </c>
      <c r="Q1391" t="s">
        <v>24</v>
      </c>
      <c r="R1391" t="s">
        <v>44</v>
      </c>
      <c r="S1391" t="s">
        <v>1030</v>
      </c>
      <c r="T1391" t="s">
        <v>60</v>
      </c>
      <c r="U1391">
        <v>92</v>
      </c>
      <c r="V1391">
        <v>1.8</v>
      </c>
      <c r="W1391" t="s">
        <v>47</v>
      </c>
      <c r="X1391" t="s">
        <v>29</v>
      </c>
    </row>
    <row r="1392" spans="1:24" x14ac:dyDescent="0.3">
      <c r="A1392" t="s">
        <v>2668</v>
      </c>
      <c r="B1392" t="s">
        <v>92</v>
      </c>
      <c r="C1392" t="s">
        <v>93</v>
      </c>
      <c r="D1392" t="str">
        <f t="shared" si="63"/>
        <v>Evening</v>
      </c>
      <c r="E1392">
        <f>HOUR(EV_Data[[#This Row],[Charging Start Time]])</f>
        <v>22</v>
      </c>
      <c r="F1392" s="1">
        <v>44984.916666666664</v>
      </c>
      <c r="G1392" s="1">
        <v>44984.959027777782</v>
      </c>
      <c r="H1392">
        <v>61</v>
      </c>
      <c r="I1392">
        <v>26.63</v>
      </c>
      <c r="J1392" t="str">
        <f t="shared" si="64"/>
        <v>Medium</v>
      </c>
      <c r="K1392" t="s">
        <v>50</v>
      </c>
      <c r="L1392">
        <v>49</v>
      </c>
      <c r="M1392">
        <v>83</v>
      </c>
      <c r="N1392" t="str">
        <f t="shared" si="65"/>
        <v>Low Cost</v>
      </c>
      <c r="O1392">
        <v>5.88</v>
      </c>
      <c r="P1392" t="s">
        <v>23</v>
      </c>
      <c r="Q1392" t="s">
        <v>24</v>
      </c>
      <c r="R1392" t="s">
        <v>56</v>
      </c>
      <c r="S1392" t="s">
        <v>384</v>
      </c>
      <c r="T1392" t="s">
        <v>37</v>
      </c>
      <c r="U1392">
        <v>97</v>
      </c>
      <c r="V1392">
        <v>3.7</v>
      </c>
      <c r="W1392" t="s">
        <v>28</v>
      </c>
      <c r="X1392" t="s">
        <v>68</v>
      </c>
    </row>
    <row r="1393" spans="1:24" x14ac:dyDescent="0.3">
      <c r="A1393" t="s">
        <v>2669</v>
      </c>
      <c r="B1393" t="s">
        <v>92</v>
      </c>
      <c r="C1393" t="s">
        <v>93</v>
      </c>
      <c r="D1393" t="str">
        <f t="shared" si="63"/>
        <v>Evening</v>
      </c>
      <c r="E1393">
        <f>HOUR(EV_Data[[#This Row],[Charging Start Time]])</f>
        <v>23</v>
      </c>
      <c r="F1393" s="1">
        <v>44984.958333333336</v>
      </c>
      <c r="G1393" s="1">
        <v>44985.005555555559</v>
      </c>
      <c r="H1393">
        <v>68</v>
      </c>
      <c r="I1393">
        <v>33.450000000000003</v>
      </c>
      <c r="J1393" t="str">
        <f t="shared" si="64"/>
        <v>Medium</v>
      </c>
      <c r="K1393" t="s">
        <v>50</v>
      </c>
      <c r="L1393">
        <v>51</v>
      </c>
      <c r="M1393">
        <v>76</v>
      </c>
      <c r="N1393" t="str">
        <f t="shared" si="65"/>
        <v>Medium Cost</v>
      </c>
      <c r="O1393">
        <v>10.38</v>
      </c>
      <c r="P1393" t="s">
        <v>23</v>
      </c>
      <c r="Q1393" t="s">
        <v>34</v>
      </c>
      <c r="R1393" t="s">
        <v>25</v>
      </c>
      <c r="S1393" t="s">
        <v>300</v>
      </c>
      <c r="T1393" t="s">
        <v>60</v>
      </c>
      <c r="U1393">
        <v>48</v>
      </c>
      <c r="V1393">
        <v>2.2999999999999998</v>
      </c>
      <c r="W1393" t="s">
        <v>28</v>
      </c>
      <c r="X1393" t="s">
        <v>68</v>
      </c>
    </row>
    <row r="1394" spans="1:24" x14ac:dyDescent="0.3">
      <c r="A1394" t="s">
        <v>2670</v>
      </c>
      <c r="B1394" t="s">
        <v>92</v>
      </c>
      <c r="C1394" t="s">
        <v>93</v>
      </c>
      <c r="D1394" t="str">
        <f t="shared" si="63"/>
        <v>Morning</v>
      </c>
      <c r="E1394">
        <f>HOUR(EV_Data[[#This Row],[Charging Start Time]])</f>
        <v>0</v>
      </c>
      <c r="F1394" s="1">
        <v>44985</v>
      </c>
      <c r="G1394" s="1">
        <v>44985.05972222222</v>
      </c>
      <c r="H1394">
        <v>86</v>
      </c>
      <c r="I1394">
        <v>25.57</v>
      </c>
      <c r="J1394" t="str">
        <f t="shared" si="64"/>
        <v>Medium</v>
      </c>
      <c r="K1394" t="s">
        <v>42</v>
      </c>
      <c r="L1394">
        <v>56</v>
      </c>
      <c r="M1394">
        <v>71</v>
      </c>
      <c r="N1394" t="str">
        <f t="shared" si="65"/>
        <v>Low Cost</v>
      </c>
      <c r="O1394">
        <v>6.69</v>
      </c>
      <c r="P1394" t="s">
        <v>64</v>
      </c>
      <c r="Q1394" t="s">
        <v>58</v>
      </c>
      <c r="R1394" t="s">
        <v>25</v>
      </c>
      <c r="S1394" t="s">
        <v>498</v>
      </c>
      <c r="T1394" t="s">
        <v>46</v>
      </c>
      <c r="U1394">
        <v>51</v>
      </c>
      <c r="V1394">
        <v>2.2999999999999998</v>
      </c>
      <c r="W1394" t="s">
        <v>38</v>
      </c>
      <c r="X1394" t="s">
        <v>85</v>
      </c>
    </row>
    <row r="1395" spans="1:24" x14ac:dyDescent="0.3">
      <c r="A1395" t="s">
        <v>2671</v>
      </c>
      <c r="B1395" t="s">
        <v>126</v>
      </c>
      <c r="C1395" t="s">
        <v>31</v>
      </c>
      <c r="D1395" t="str">
        <f t="shared" si="63"/>
        <v>Morning</v>
      </c>
      <c r="E1395">
        <f>HOUR(EV_Data[[#This Row],[Charging Start Time]])</f>
        <v>1</v>
      </c>
      <c r="F1395" s="1">
        <v>44985.041666666664</v>
      </c>
      <c r="G1395" s="1">
        <v>44985.118055555547</v>
      </c>
      <c r="H1395">
        <v>110</v>
      </c>
      <c r="I1395">
        <v>22.3</v>
      </c>
      <c r="J1395" t="str">
        <f t="shared" si="64"/>
        <v>Medium</v>
      </c>
      <c r="K1395" t="s">
        <v>69</v>
      </c>
      <c r="L1395">
        <v>5</v>
      </c>
      <c r="M1395">
        <v>40</v>
      </c>
      <c r="N1395" t="str">
        <f t="shared" si="65"/>
        <v>Medium Cost</v>
      </c>
      <c r="O1395">
        <v>8.8800000000000008</v>
      </c>
      <c r="P1395" t="s">
        <v>51</v>
      </c>
      <c r="Q1395" t="s">
        <v>48</v>
      </c>
      <c r="R1395" t="s">
        <v>56</v>
      </c>
      <c r="S1395" t="s">
        <v>628</v>
      </c>
      <c r="T1395" t="s">
        <v>46</v>
      </c>
      <c r="U1395">
        <v>30</v>
      </c>
      <c r="V1395">
        <v>1.9</v>
      </c>
      <c r="W1395" t="s">
        <v>28</v>
      </c>
      <c r="X1395" t="s">
        <v>68</v>
      </c>
    </row>
    <row r="1396" spans="1:24" x14ac:dyDescent="0.3">
      <c r="A1396" t="s">
        <v>2672</v>
      </c>
      <c r="B1396" t="s">
        <v>53</v>
      </c>
      <c r="C1396" t="s">
        <v>54</v>
      </c>
      <c r="D1396" t="str">
        <f t="shared" si="63"/>
        <v>Morning</v>
      </c>
      <c r="E1396">
        <f>HOUR(EV_Data[[#This Row],[Charging Start Time]])</f>
        <v>2</v>
      </c>
      <c r="F1396" s="1">
        <v>44985.083333333336</v>
      </c>
      <c r="G1396" s="1">
        <v>44985.122916666667</v>
      </c>
      <c r="H1396">
        <v>57</v>
      </c>
      <c r="I1396">
        <v>49.13</v>
      </c>
      <c r="J1396" t="str">
        <f t="shared" si="64"/>
        <v>Medium</v>
      </c>
      <c r="K1396" t="s">
        <v>55</v>
      </c>
      <c r="L1396">
        <v>61</v>
      </c>
      <c r="M1396">
        <v>100</v>
      </c>
      <c r="N1396" t="str">
        <f t="shared" si="65"/>
        <v>High Cost</v>
      </c>
      <c r="O1396">
        <v>23.63</v>
      </c>
      <c r="P1396" t="s">
        <v>23</v>
      </c>
      <c r="Q1396" t="s">
        <v>58</v>
      </c>
      <c r="R1396" t="s">
        <v>44</v>
      </c>
      <c r="S1396" t="s">
        <v>1031</v>
      </c>
      <c r="T1396" t="s">
        <v>27</v>
      </c>
      <c r="U1396">
        <v>78</v>
      </c>
      <c r="V1396">
        <v>1.9</v>
      </c>
      <c r="W1396" t="s">
        <v>38</v>
      </c>
    </row>
    <row r="1397" spans="1:24" x14ac:dyDescent="0.3">
      <c r="A1397" t="s">
        <v>2673</v>
      </c>
      <c r="B1397" t="s">
        <v>92</v>
      </c>
      <c r="C1397" t="s">
        <v>93</v>
      </c>
      <c r="D1397" t="str">
        <f t="shared" si="63"/>
        <v>Morning</v>
      </c>
      <c r="E1397">
        <f>HOUR(EV_Data[[#This Row],[Charging Start Time]])</f>
        <v>3</v>
      </c>
      <c r="F1397" s="1">
        <v>44985.125</v>
      </c>
      <c r="G1397" s="1">
        <v>44985.154166666667</v>
      </c>
      <c r="H1397">
        <v>42</v>
      </c>
      <c r="I1397">
        <v>8.4</v>
      </c>
      <c r="J1397" t="str">
        <f t="shared" si="64"/>
        <v>Low</v>
      </c>
      <c r="K1397" t="s">
        <v>32</v>
      </c>
      <c r="L1397">
        <v>70</v>
      </c>
      <c r="M1397">
        <v>99</v>
      </c>
      <c r="N1397" t="str">
        <f t="shared" si="65"/>
        <v>Low Cost</v>
      </c>
      <c r="O1397">
        <v>1.94</v>
      </c>
      <c r="P1397" t="s">
        <v>64</v>
      </c>
      <c r="Q1397" t="s">
        <v>34</v>
      </c>
      <c r="R1397" t="s">
        <v>44</v>
      </c>
      <c r="S1397" t="s">
        <v>1032</v>
      </c>
      <c r="T1397" t="s">
        <v>27</v>
      </c>
      <c r="U1397">
        <v>74</v>
      </c>
      <c r="V1397">
        <v>4.3</v>
      </c>
      <c r="W1397" t="s">
        <v>28</v>
      </c>
      <c r="X1397" t="s">
        <v>68</v>
      </c>
    </row>
    <row r="1398" spans="1:24" x14ac:dyDescent="0.3">
      <c r="A1398" t="s">
        <v>2674</v>
      </c>
      <c r="B1398" t="s">
        <v>20</v>
      </c>
      <c r="C1398" t="s">
        <v>21</v>
      </c>
      <c r="D1398" t="str">
        <f t="shared" si="63"/>
        <v>Morning</v>
      </c>
      <c r="E1398">
        <f>HOUR(EV_Data[[#This Row],[Charging Start Time]])</f>
        <v>4</v>
      </c>
      <c r="F1398" s="1">
        <v>44985.166666666664</v>
      </c>
      <c r="G1398" s="1">
        <v>44985.213888888888</v>
      </c>
      <c r="H1398">
        <v>68</v>
      </c>
      <c r="I1398">
        <v>39.92</v>
      </c>
      <c r="J1398" t="str">
        <f t="shared" si="64"/>
        <v>Medium</v>
      </c>
      <c r="K1398" t="s">
        <v>50</v>
      </c>
      <c r="L1398">
        <v>56</v>
      </c>
      <c r="M1398">
        <v>87</v>
      </c>
      <c r="N1398" t="str">
        <f t="shared" si="65"/>
        <v>Medium Cost</v>
      </c>
      <c r="O1398">
        <v>12.18</v>
      </c>
      <c r="P1398" t="s">
        <v>64</v>
      </c>
      <c r="Q1398" t="s">
        <v>34</v>
      </c>
      <c r="R1398" t="s">
        <v>56</v>
      </c>
      <c r="S1398" t="s">
        <v>1033</v>
      </c>
      <c r="T1398" t="s">
        <v>27</v>
      </c>
      <c r="U1398">
        <v>55</v>
      </c>
      <c r="V1398">
        <v>2.5</v>
      </c>
      <c r="W1398" t="s">
        <v>28</v>
      </c>
      <c r="X1398" t="s">
        <v>68</v>
      </c>
    </row>
    <row r="1399" spans="1:24" x14ac:dyDescent="0.3">
      <c r="A1399" t="s">
        <v>2675</v>
      </c>
      <c r="B1399" t="s">
        <v>77</v>
      </c>
      <c r="C1399" t="s">
        <v>78</v>
      </c>
      <c r="D1399" t="str">
        <f t="shared" si="63"/>
        <v>Morning</v>
      </c>
      <c r="E1399">
        <f>HOUR(EV_Data[[#This Row],[Charging Start Time]])</f>
        <v>5</v>
      </c>
      <c r="F1399" s="1">
        <v>44985.208333333336</v>
      </c>
      <c r="G1399" s="1">
        <v>44985.231944444437</v>
      </c>
      <c r="H1399">
        <v>34</v>
      </c>
      <c r="I1399">
        <v>14.42</v>
      </c>
      <c r="J1399" t="str">
        <f t="shared" si="64"/>
        <v>Low</v>
      </c>
      <c r="K1399" t="s">
        <v>50</v>
      </c>
      <c r="L1399">
        <v>16</v>
      </c>
      <c r="M1399">
        <v>37</v>
      </c>
      <c r="N1399" t="str">
        <f t="shared" si="65"/>
        <v>Low Cost</v>
      </c>
      <c r="O1399">
        <v>6.58</v>
      </c>
      <c r="P1399" t="s">
        <v>64</v>
      </c>
      <c r="Q1399" t="s">
        <v>58</v>
      </c>
      <c r="R1399" t="s">
        <v>56</v>
      </c>
      <c r="S1399" t="s">
        <v>376</v>
      </c>
      <c r="T1399" t="s">
        <v>46</v>
      </c>
      <c r="U1399">
        <v>96</v>
      </c>
      <c r="V1399">
        <v>2.1</v>
      </c>
      <c r="W1399" t="s">
        <v>38</v>
      </c>
      <c r="X1399" t="s">
        <v>39</v>
      </c>
    </row>
    <row r="1400" spans="1:24" x14ac:dyDescent="0.3">
      <c r="A1400" t="s">
        <v>2676</v>
      </c>
      <c r="B1400" t="s">
        <v>126</v>
      </c>
      <c r="C1400" t="s">
        <v>31</v>
      </c>
      <c r="D1400" t="str">
        <f t="shared" si="63"/>
        <v>Morning</v>
      </c>
      <c r="E1400">
        <f>HOUR(EV_Data[[#This Row],[Charging Start Time]])</f>
        <v>6</v>
      </c>
      <c r="F1400" s="1">
        <v>44985.25</v>
      </c>
      <c r="G1400" s="1">
        <v>44985.303472222222</v>
      </c>
      <c r="H1400">
        <v>77</v>
      </c>
      <c r="I1400">
        <v>19.73</v>
      </c>
      <c r="J1400" t="str">
        <f t="shared" si="64"/>
        <v>Low</v>
      </c>
      <c r="K1400" t="s">
        <v>22</v>
      </c>
      <c r="L1400">
        <v>71</v>
      </c>
      <c r="M1400">
        <v>95</v>
      </c>
      <c r="N1400" t="str">
        <f t="shared" si="65"/>
        <v>Low Cost</v>
      </c>
      <c r="O1400">
        <v>4.29</v>
      </c>
      <c r="P1400" t="s">
        <v>51</v>
      </c>
      <c r="Q1400" t="s">
        <v>48</v>
      </c>
      <c r="R1400" t="s">
        <v>35</v>
      </c>
      <c r="S1400" t="s">
        <v>1034</v>
      </c>
      <c r="T1400" t="s">
        <v>46</v>
      </c>
      <c r="U1400">
        <v>8</v>
      </c>
      <c r="V1400">
        <v>3.9</v>
      </c>
      <c r="W1400" t="s">
        <v>47</v>
      </c>
      <c r="X1400" t="s">
        <v>29</v>
      </c>
    </row>
    <row r="1401" spans="1:24" x14ac:dyDescent="0.3">
      <c r="A1401" t="s">
        <v>2677</v>
      </c>
      <c r="B1401" t="s">
        <v>30</v>
      </c>
      <c r="C1401" t="s">
        <v>102</v>
      </c>
      <c r="D1401" t="str">
        <f t="shared" si="63"/>
        <v>Morning</v>
      </c>
      <c r="E1401">
        <f>HOUR(EV_Data[[#This Row],[Charging Start Time]])</f>
        <v>7</v>
      </c>
      <c r="F1401" s="1">
        <v>44985.291666666664</v>
      </c>
      <c r="G1401" s="1">
        <v>44985.355555555558</v>
      </c>
      <c r="H1401">
        <v>92</v>
      </c>
      <c r="I1401">
        <v>20.23</v>
      </c>
      <c r="J1401" t="str">
        <f t="shared" si="64"/>
        <v>Medium</v>
      </c>
      <c r="K1401" t="s">
        <v>50</v>
      </c>
      <c r="L1401">
        <v>37</v>
      </c>
      <c r="M1401">
        <v>67</v>
      </c>
      <c r="N1401" t="str">
        <f t="shared" si="65"/>
        <v>Medium Cost</v>
      </c>
      <c r="O1401">
        <v>9.3800000000000008</v>
      </c>
      <c r="P1401" t="s">
        <v>43</v>
      </c>
      <c r="Q1401" t="s">
        <v>24</v>
      </c>
      <c r="R1401" t="s">
        <v>56</v>
      </c>
      <c r="S1401" t="s">
        <v>207</v>
      </c>
      <c r="T1401" t="s">
        <v>37</v>
      </c>
      <c r="U1401">
        <v>41</v>
      </c>
      <c r="V1401">
        <v>2.9</v>
      </c>
      <c r="W1401" t="s">
        <v>28</v>
      </c>
      <c r="X1401" t="s">
        <v>68</v>
      </c>
    </row>
    <row r="1402" spans="1:24" x14ac:dyDescent="0.3">
      <c r="A1402" t="s">
        <v>2678</v>
      </c>
      <c r="B1402" t="s">
        <v>20</v>
      </c>
      <c r="C1402" t="s">
        <v>21</v>
      </c>
      <c r="D1402" t="str">
        <f t="shared" si="63"/>
        <v>Morning</v>
      </c>
      <c r="E1402">
        <f>HOUR(EV_Data[[#This Row],[Charging Start Time]])</f>
        <v>8</v>
      </c>
      <c r="F1402" s="1">
        <v>44985.333333333336</v>
      </c>
      <c r="G1402" s="1">
        <v>44985.334027777782</v>
      </c>
      <c r="H1402">
        <v>1</v>
      </c>
      <c r="I1402">
        <v>12.5</v>
      </c>
      <c r="J1402" t="str">
        <f t="shared" si="64"/>
        <v>Low</v>
      </c>
      <c r="K1402" t="s">
        <v>22</v>
      </c>
      <c r="L1402">
        <v>65</v>
      </c>
      <c r="M1402">
        <v>100</v>
      </c>
      <c r="N1402" t="str">
        <f t="shared" si="65"/>
        <v>Low Cost</v>
      </c>
      <c r="O1402">
        <v>2.62</v>
      </c>
      <c r="P1402" t="s">
        <v>64</v>
      </c>
      <c r="Q1402" t="s">
        <v>58</v>
      </c>
      <c r="R1402" t="s">
        <v>44</v>
      </c>
      <c r="S1402" t="s">
        <v>954</v>
      </c>
      <c r="T1402" t="s">
        <v>60</v>
      </c>
      <c r="U1402">
        <v>43</v>
      </c>
      <c r="V1402">
        <v>1.7</v>
      </c>
      <c r="W1402" t="s">
        <v>38</v>
      </c>
      <c r="X1402" t="s">
        <v>39</v>
      </c>
    </row>
    <row r="1403" spans="1:24" x14ac:dyDescent="0.3">
      <c r="A1403" t="s">
        <v>2679</v>
      </c>
      <c r="B1403" t="s">
        <v>30</v>
      </c>
      <c r="C1403" t="s">
        <v>102</v>
      </c>
      <c r="D1403" t="str">
        <f t="shared" si="63"/>
        <v>Morning</v>
      </c>
      <c r="E1403">
        <f>HOUR(EV_Data[[#This Row],[Charging Start Time]])</f>
        <v>9</v>
      </c>
      <c r="F1403" s="1">
        <v>44985.375</v>
      </c>
      <c r="G1403" s="1">
        <v>44985.45416666667</v>
      </c>
      <c r="H1403">
        <v>114</v>
      </c>
      <c r="I1403">
        <v>35.57</v>
      </c>
      <c r="J1403" t="str">
        <f t="shared" si="64"/>
        <v>Medium</v>
      </c>
      <c r="K1403" t="s">
        <v>50</v>
      </c>
      <c r="L1403">
        <v>60</v>
      </c>
      <c r="M1403">
        <v>74</v>
      </c>
      <c r="N1403" t="str">
        <f t="shared" si="65"/>
        <v>High Cost</v>
      </c>
      <c r="O1403">
        <v>17.34</v>
      </c>
      <c r="P1403" t="s">
        <v>33</v>
      </c>
      <c r="Q1403" t="s">
        <v>48</v>
      </c>
      <c r="R1403" t="s">
        <v>35</v>
      </c>
      <c r="S1403" t="s">
        <v>1035</v>
      </c>
      <c r="T1403" t="s">
        <v>37</v>
      </c>
      <c r="U1403">
        <v>57</v>
      </c>
      <c r="V1403">
        <v>3.3</v>
      </c>
      <c r="W1403" t="s">
        <v>47</v>
      </c>
      <c r="X1403" t="s">
        <v>29</v>
      </c>
    </row>
    <row r="1404" spans="1:24" x14ac:dyDescent="0.3">
      <c r="A1404" t="s">
        <v>2680</v>
      </c>
      <c r="B1404" t="s">
        <v>53</v>
      </c>
      <c r="C1404" t="s">
        <v>54</v>
      </c>
      <c r="D1404" t="str">
        <f t="shared" si="63"/>
        <v>Morning</v>
      </c>
      <c r="E1404">
        <f>HOUR(EV_Data[[#This Row],[Charging Start Time]])</f>
        <v>10</v>
      </c>
      <c r="F1404" s="1">
        <v>44985.416666666664</v>
      </c>
      <c r="G1404" s="1">
        <v>44985.452777777777</v>
      </c>
      <c r="H1404">
        <v>52</v>
      </c>
      <c r="I1404">
        <v>14.69</v>
      </c>
      <c r="J1404" t="str">
        <f t="shared" si="64"/>
        <v>Low</v>
      </c>
      <c r="K1404" t="s">
        <v>22</v>
      </c>
      <c r="L1404">
        <v>6</v>
      </c>
      <c r="M1404">
        <v>36</v>
      </c>
      <c r="N1404" t="str">
        <f t="shared" si="65"/>
        <v>Low Cost</v>
      </c>
      <c r="O1404">
        <v>3.69</v>
      </c>
      <c r="P1404" t="s">
        <v>33</v>
      </c>
      <c r="Q1404" t="s">
        <v>58</v>
      </c>
      <c r="R1404" t="s">
        <v>44</v>
      </c>
      <c r="S1404" t="s">
        <v>1036</v>
      </c>
      <c r="T1404" t="s">
        <v>60</v>
      </c>
      <c r="U1404">
        <v>43</v>
      </c>
      <c r="V1404">
        <v>3.8</v>
      </c>
      <c r="W1404" t="s">
        <v>47</v>
      </c>
      <c r="X1404" t="s">
        <v>29</v>
      </c>
    </row>
    <row r="1405" spans="1:24" x14ac:dyDescent="0.3">
      <c r="A1405" t="s">
        <v>2681</v>
      </c>
      <c r="B1405" t="s">
        <v>71</v>
      </c>
      <c r="C1405" t="s">
        <v>72</v>
      </c>
      <c r="D1405" t="str">
        <f t="shared" si="63"/>
        <v>Morning</v>
      </c>
      <c r="E1405">
        <f>HOUR(EV_Data[[#This Row],[Charging Start Time]])</f>
        <v>11</v>
      </c>
      <c r="F1405" s="1">
        <v>44985.458333333336</v>
      </c>
      <c r="G1405" s="1">
        <v>44985.503472222219</v>
      </c>
      <c r="H1405">
        <v>65</v>
      </c>
      <c r="I1405">
        <v>47.36</v>
      </c>
      <c r="J1405" t="str">
        <f t="shared" si="64"/>
        <v>Medium</v>
      </c>
      <c r="K1405" t="s">
        <v>22</v>
      </c>
      <c r="L1405">
        <v>77</v>
      </c>
      <c r="M1405">
        <v>100</v>
      </c>
      <c r="N1405" t="str">
        <f t="shared" si="65"/>
        <v>High Cost</v>
      </c>
      <c r="O1405">
        <v>18.62</v>
      </c>
      <c r="P1405" t="s">
        <v>64</v>
      </c>
      <c r="Q1405" t="s">
        <v>58</v>
      </c>
      <c r="R1405" t="s">
        <v>56</v>
      </c>
      <c r="S1405" t="s">
        <v>788</v>
      </c>
      <c r="T1405" t="s">
        <v>46</v>
      </c>
      <c r="U1405">
        <v>6</v>
      </c>
      <c r="V1405">
        <v>1.4</v>
      </c>
      <c r="W1405" t="s">
        <v>47</v>
      </c>
      <c r="X1405" t="s">
        <v>29</v>
      </c>
    </row>
    <row r="1406" spans="1:24" x14ac:dyDescent="0.3">
      <c r="A1406" t="s">
        <v>2682</v>
      </c>
      <c r="B1406" t="s">
        <v>126</v>
      </c>
      <c r="C1406" t="s">
        <v>31</v>
      </c>
      <c r="D1406" t="str">
        <f t="shared" si="63"/>
        <v>Afternoon</v>
      </c>
      <c r="E1406">
        <f>HOUR(EV_Data[[#This Row],[Charging Start Time]])</f>
        <v>12</v>
      </c>
      <c r="F1406" s="1">
        <v>44985.5</v>
      </c>
      <c r="G1406" s="1">
        <v>44985.524305555547</v>
      </c>
      <c r="H1406">
        <v>35</v>
      </c>
      <c r="I1406">
        <v>31.1</v>
      </c>
      <c r="J1406" t="str">
        <f t="shared" si="64"/>
        <v>Medium</v>
      </c>
      <c r="K1406" t="s">
        <v>69</v>
      </c>
      <c r="L1406">
        <v>61</v>
      </c>
      <c r="M1406">
        <v>84</v>
      </c>
      <c r="N1406" t="str">
        <f t="shared" si="65"/>
        <v>Medium Cost</v>
      </c>
      <c r="O1406">
        <v>12.95</v>
      </c>
      <c r="P1406" t="s">
        <v>23</v>
      </c>
      <c r="Q1406" t="s">
        <v>24</v>
      </c>
      <c r="R1406" t="s">
        <v>44</v>
      </c>
      <c r="S1406" t="s">
        <v>1037</v>
      </c>
      <c r="T1406" t="s">
        <v>46</v>
      </c>
      <c r="U1406">
        <v>48</v>
      </c>
      <c r="V1406">
        <v>3.2</v>
      </c>
      <c r="W1406" t="s">
        <v>28</v>
      </c>
      <c r="X1406" t="s">
        <v>68</v>
      </c>
    </row>
    <row r="1407" spans="1:24" x14ac:dyDescent="0.3">
      <c r="A1407" t="s">
        <v>2683</v>
      </c>
      <c r="B1407" t="s">
        <v>71</v>
      </c>
      <c r="C1407" t="s">
        <v>72</v>
      </c>
      <c r="D1407" t="str">
        <f t="shared" si="63"/>
        <v>Afternoon</v>
      </c>
      <c r="E1407">
        <f>HOUR(EV_Data[[#This Row],[Charging Start Time]])</f>
        <v>13</v>
      </c>
      <c r="F1407" s="1">
        <v>44985.541666666664</v>
      </c>
      <c r="G1407" s="1">
        <v>44985.578472222223</v>
      </c>
      <c r="H1407">
        <v>53</v>
      </c>
      <c r="I1407">
        <v>49.76</v>
      </c>
      <c r="J1407" t="str">
        <f t="shared" si="64"/>
        <v>Medium</v>
      </c>
      <c r="K1407" t="s">
        <v>69</v>
      </c>
      <c r="L1407">
        <v>70</v>
      </c>
      <c r="M1407">
        <v>100</v>
      </c>
      <c r="N1407" t="str">
        <f t="shared" si="65"/>
        <v>High Cost</v>
      </c>
      <c r="O1407">
        <v>23.72</v>
      </c>
      <c r="P1407" t="s">
        <v>33</v>
      </c>
      <c r="Q1407" t="s">
        <v>48</v>
      </c>
      <c r="R1407" t="s">
        <v>44</v>
      </c>
      <c r="S1407" t="s">
        <v>1038</v>
      </c>
      <c r="T1407" t="s">
        <v>46</v>
      </c>
      <c r="U1407">
        <v>85</v>
      </c>
      <c r="V1407">
        <v>3.4</v>
      </c>
      <c r="W1407" t="s">
        <v>28</v>
      </c>
      <c r="X1407" t="s">
        <v>68</v>
      </c>
    </row>
    <row r="1408" spans="1:24" x14ac:dyDescent="0.3">
      <c r="A1408" t="s">
        <v>2684</v>
      </c>
      <c r="B1408" t="s">
        <v>53</v>
      </c>
      <c r="C1408" t="s">
        <v>54</v>
      </c>
      <c r="D1408" t="str">
        <f t="shared" si="63"/>
        <v>Afternoon</v>
      </c>
      <c r="E1408">
        <f>HOUR(EV_Data[[#This Row],[Charging Start Time]])</f>
        <v>14</v>
      </c>
      <c r="F1408" s="1">
        <v>44985.583333333336</v>
      </c>
      <c r="G1408" s="1">
        <v>44985.624305555553</v>
      </c>
      <c r="H1408">
        <v>59</v>
      </c>
      <c r="I1408">
        <v>43.64</v>
      </c>
      <c r="J1408" t="str">
        <f t="shared" si="64"/>
        <v>Medium</v>
      </c>
      <c r="K1408" t="s">
        <v>22</v>
      </c>
      <c r="L1408">
        <v>39</v>
      </c>
      <c r="M1408">
        <v>52</v>
      </c>
      <c r="N1408" t="str">
        <f t="shared" si="65"/>
        <v>Medium Cost</v>
      </c>
      <c r="O1408">
        <v>13.9</v>
      </c>
      <c r="P1408" t="s">
        <v>51</v>
      </c>
      <c r="Q1408" t="s">
        <v>48</v>
      </c>
      <c r="R1408" t="s">
        <v>56</v>
      </c>
      <c r="S1408" t="s">
        <v>1039</v>
      </c>
      <c r="T1408" t="s">
        <v>37</v>
      </c>
      <c r="U1408">
        <v>47</v>
      </c>
      <c r="V1408">
        <v>3.2</v>
      </c>
      <c r="W1408" t="s">
        <v>28</v>
      </c>
      <c r="X1408" t="s">
        <v>68</v>
      </c>
    </row>
    <row r="1409" spans="1:24" x14ac:dyDescent="0.3">
      <c r="A1409" t="s">
        <v>2685</v>
      </c>
      <c r="B1409" t="s">
        <v>40</v>
      </c>
      <c r="C1409" t="s">
        <v>41</v>
      </c>
      <c r="D1409" t="str">
        <f t="shared" si="63"/>
        <v>Afternoon</v>
      </c>
      <c r="E1409">
        <f>HOUR(EV_Data[[#This Row],[Charging Start Time]])</f>
        <v>15</v>
      </c>
      <c r="F1409" s="1">
        <v>44985.625</v>
      </c>
      <c r="G1409" s="1">
        <v>44985.673611111109</v>
      </c>
      <c r="H1409">
        <v>70</v>
      </c>
      <c r="I1409">
        <v>43.82</v>
      </c>
      <c r="J1409" t="str">
        <f t="shared" si="64"/>
        <v>Medium</v>
      </c>
      <c r="K1409" t="s">
        <v>50</v>
      </c>
      <c r="L1409">
        <v>5</v>
      </c>
      <c r="M1409">
        <v>23</v>
      </c>
      <c r="N1409" t="str">
        <f t="shared" si="65"/>
        <v>Medium Cost</v>
      </c>
      <c r="O1409">
        <v>10.73</v>
      </c>
      <c r="P1409" t="s">
        <v>51</v>
      </c>
      <c r="Q1409" t="s">
        <v>58</v>
      </c>
      <c r="R1409" t="s">
        <v>56</v>
      </c>
      <c r="S1409" t="s">
        <v>532</v>
      </c>
      <c r="T1409" t="s">
        <v>27</v>
      </c>
      <c r="U1409">
        <v>42</v>
      </c>
      <c r="V1409">
        <v>4.7</v>
      </c>
      <c r="W1409" t="s">
        <v>38</v>
      </c>
      <c r="X1409" t="s">
        <v>62</v>
      </c>
    </row>
    <row r="1410" spans="1:24" x14ac:dyDescent="0.3">
      <c r="A1410" t="s">
        <v>2686</v>
      </c>
      <c r="B1410" t="s">
        <v>126</v>
      </c>
      <c r="C1410" t="s">
        <v>31</v>
      </c>
      <c r="D1410" t="str">
        <f t="shared" ref="D1410:D1473" si="66">IF(E1410&lt;12,"Morning",IF(E1410&lt;17,"Afternoon","Evening"))</f>
        <v>Afternoon</v>
      </c>
      <c r="E1410">
        <f>HOUR(EV_Data[[#This Row],[Charging Start Time]])</f>
        <v>16</v>
      </c>
      <c r="F1410" s="1">
        <v>44985.666666666664</v>
      </c>
      <c r="G1410" s="1">
        <v>44985.70208333333</v>
      </c>
      <c r="H1410">
        <v>51</v>
      </c>
      <c r="I1410">
        <v>41.83</v>
      </c>
      <c r="J1410" t="str">
        <f t="shared" ref="J1410:J1473" si="67">IF(I1410&lt;20,"Low",IF(I1410&lt;50,"Medium","High"))</f>
        <v>Medium</v>
      </c>
      <c r="K1410" t="s">
        <v>69</v>
      </c>
      <c r="L1410">
        <v>71</v>
      </c>
      <c r="M1410">
        <v>93</v>
      </c>
      <c r="N1410" t="str">
        <f t="shared" ref="N1410:N1473" si="68">IF(O1410&lt;8,"Low Cost",IF(O1410&lt;17,"Medium Cost","High Cost"))</f>
        <v>Medium Cost</v>
      </c>
      <c r="O1410">
        <v>14.02</v>
      </c>
      <c r="P1410" t="s">
        <v>33</v>
      </c>
      <c r="Q1410" t="s">
        <v>58</v>
      </c>
      <c r="R1410" t="s">
        <v>44</v>
      </c>
      <c r="S1410" t="s">
        <v>684</v>
      </c>
      <c r="T1410" t="s">
        <v>46</v>
      </c>
      <c r="U1410">
        <v>30</v>
      </c>
      <c r="V1410">
        <v>1.5</v>
      </c>
      <c r="W1410" t="s">
        <v>28</v>
      </c>
      <c r="X1410" t="s">
        <v>68</v>
      </c>
    </row>
    <row r="1411" spans="1:24" x14ac:dyDescent="0.3">
      <c r="A1411" t="s">
        <v>2687</v>
      </c>
      <c r="B1411" t="s">
        <v>40</v>
      </c>
      <c r="C1411" t="s">
        <v>41</v>
      </c>
      <c r="D1411" t="str">
        <f t="shared" si="66"/>
        <v>Evening</v>
      </c>
      <c r="E1411">
        <f>HOUR(EV_Data[[#This Row],[Charging Start Time]])</f>
        <v>17</v>
      </c>
      <c r="F1411" s="1">
        <v>44985.708333333336</v>
      </c>
      <c r="G1411" s="1">
        <v>44985.773611111108</v>
      </c>
      <c r="H1411">
        <v>94</v>
      </c>
      <c r="I1411">
        <v>22.47</v>
      </c>
      <c r="J1411" t="str">
        <f t="shared" si="67"/>
        <v>Medium</v>
      </c>
      <c r="K1411" t="s">
        <v>22</v>
      </c>
      <c r="L1411">
        <v>59</v>
      </c>
      <c r="M1411">
        <v>88</v>
      </c>
      <c r="N1411" t="str">
        <f t="shared" si="68"/>
        <v>Low Cost</v>
      </c>
      <c r="O1411">
        <v>6.24</v>
      </c>
      <c r="P1411" t="s">
        <v>33</v>
      </c>
      <c r="Q1411" t="s">
        <v>24</v>
      </c>
      <c r="R1411" t="s">
        <v>35</v>
      </c>
      <c r="S1411" t="s">
        <v>1040</v>
      </c>
      <c r="T1411" t="s">
        <v>27</v>
      </c>
      <c r="U1411">
        <v>1</v>
      </c>
      <c r="V1411">
        <v>2.4</v>
      </c>
      <c r="W1411" t="s">
        <v>47</v>
      </c>
      <c r="X1411" t="s">
        <v>29</v>
      </c>
    </row>
    <row r="1412" spans="1:24" x14ac:dyDescent="0.3">
      <c r="A1412" t="s">
        <v>2688</v>
      </c>
      <c r="B1412" t="s">
        <v>77</v>
      </c>
      <c r="C1412" t="s">
        <v>78</v>
      </c>
      <c r="D1412" t="str">
        <f t="shared" si="66"/>
        <v>Evening</v>
      </c>
      <c r="E1412">
        <f>HOUR(EV_Data[[#This Row],[Charging Start Time]])</f>
        <v>18</v>
      </c>
      <c r="F1412" s="1">
        <v>44985.75</v>
      </c>
      <c r="G1412" s="1">
        <v>44985.793749999997</v>
      </c>
      <c r="H1412">
        <v>63</v>
      </c>
      <c r="I1412">
        <v>36.39</v>
      </c>
      <c r="J1412" t="str">
        <f t="shared" si="67"/>
        <v>Medium</v>
      </c>
      <c r="K1412" t="s">
        <v>55</v>
      </c>
      <c r="L1412">
        <v>79</v>
      </c>
      <c r="M1412">
        <v>100</v>
      </c>
      <c r="N1412" t="str">
        <f t="shared" si="68"/>
        <v>Medium Cost</v>
      </c>
      <c r="O1412">
        <v>13.77</v>
      </c>
      <c r="P1412" t="s">
        <v>43</v>
      </c>
      <c r="Q1412" t="s">
        <v>48</v>
      </c>
      <c r="R1412" t="s">
        <v>56</v>
      </c>
      <c r="S1412" t="s">
        <v>1041</v>
      </c>
      <c r="T1412" t="s">
        <v>27</v>
      </c>
      <c r="U1412">
        <v>89</v>
      </c>
      <c r="V1412">
        <v>4</v>
      </c>
      <c r="W1412" t="s">
        <v>28</v>
      </c>
      <c r="X1412" t="s">
        <v>68</v>
      </c>
    </row>
    <row r="1413" spans="1:24" x14ac:dyDescent="0.3">
      <c r="A1413" t="s">
        <v>2689</v>
      </c>
      <c r="B1413" t="s">
        <v>77</v>
      </c>
      <c r="C1413" t="s">
        <v>78</v>
      </c>
      <c r="D1413" t="str">
        <f t="shared" si="66"/>
        <v>Evening</v>
      </c>
      <c r="E1413">
        <f>HOUR(EV_Data[[#This Row],[Charging Start Time]])</f>
        <v>19</v>
      </c>
      <c r="F1413" s="1">
        <v>44985.791666666664</v>
      </c>
      <c r="G1413" s="1">
        <v>44985.814583333333</v>
      </c>
      <c r="H1413">
        <v>33</v>
      </c>
      <c r="I1413">
        <v>36.299999999999997</v>
      </c>
      <c r="J1413" t="str">
        <f t="shared" si="67"/>
        <v>Medium</v>
      </c>
      <c r="K1413" t="s">
        <v>50</v>
      </c>
      <c r="L1413">
        <v>10</v>
      </c>
      <c r="M1413">
        <v>39</v>
      </c>
      <c r="N1413" t="str">
        <f t="shared" si="68"/>
        <v>Medium Cost</v>
      </c>
      <c r="O1413">
        <v>9.76</v>
      </c>
      <c r="P1413" t="s">
        <v>51</v>
      </c>
      <c r="Q1413" t="s">
        <v>58</v>
      </c>
      <c r="R1413" t="s">
        <v>25</v>
      </c>
      <c r="S1413" t="s">
        <v>758</v>
      </c>
      <c r="T1413" t="s">
        <v>27</v>
      </c>
      <c r="U1413">
        <v>98</v>
      </c>
      <c r="V1413">
        <v>1.6</v>
      </c>
      <c r="W1413" t="s">
        <v>28</v>
      </c>
      <c r="X1413" t="s">
        <v>68</v>
      </c>
    </row>
    <row r="1414" spans="1:24" x14ac:dyDescent="0.3">
      <c r="A1414" t="s">
        <v>2690</v>
      </c>
      <c r="B1414" t="s">
        <v>126</v>
      </c>
      <c r="C1414" t="s">
        <v>31</v>
      </c>
      <c r="D1414" t="str">
        <f t="shared" si="66"/>
        <v>Evening</v>
      </c>
      <c r="E1414">
        <f>HOUR(EV_Data[[#This Row],[Charging Start Time]])</f>
        <v>20</v>
      </c>
      <c r="F1414" s="1">
        <v>44985.833333333336</v>
      </c>
      <c r="G1414" s="1">
        <v>44985.884027777778</v>
      </c>
      <c r="H1414">
        <v>73</v>
      </c>
      <c r="I1414">
        <v>28.52</v>
      </c>
      <c r="J1414" t="str">
        <f t="shared" si="67"/>
        <v>Medium</v>
      </c>
      <c r="K1414" t="s">
        <v>32</v>
      </c>
      <c r="L1414">
        <v>30</v>
      </c>
      <c r="M1414">
        <v>64</v>
      </c>
      <c r="N1414" t="str">
        <f t="shared" si="68"/>
        <v>Medium Cost</v>
      </c>
      <c r="O1414">
        <v>8.3699999999999992</v>
      </c>
      <c r="P1414" t="s">
        <v>43</v>
      </c>
      <c r="Q1414" t="s">
        <v>48</v>
      </c>
      <c r="R1414" t="s">
        <v>56</v>
      </c>
      <c r="S1414" t="s">
        <v>1042</v>
      </c>
      <c r="T1414" t="s">
        <v>60</v>
      </c>
      <c r="U1414">
        <v>59</v>
      </c>
      <c r="V1414">
        <v>1.2</v>
      </c>
      <c r="W1414" t="s">
        <v>47</v>
      </c>
      <c r="X1414" t="s">
        <v>29</v>
      </c>
    </row>
    <row r="1415" spans="1:24" x14ac:dyDescent="0.3">
      <c r="A1415" t="s">
        <v>2691</v>
      </c>
      <c r="B1415" t="s">
        <v>20</v>
      </c>
      <c r="C1415" t="s">
        <v>21</v>
      </c>
      <c r="D1415" t="str">
        <f t="shared" si="66"/>
        <v>Evening</v>
      </c>
      <c r="E1415">
        <f>HOUR(EV_Data[[#This Row],[Charging Start Time]])</f>
        <v>21</v>
      </c>
      <c r="F1415" s="1">
        <v>44985.875</v>
      </c>
      <c r="G1415" s="1">
        <v>44985.909722222219</v>
      </c>
      <c r="H1415">
        <v>50</v>
      </c>
      <c r="I1415">
        <v>20.32</v>
      </c>
      <c r="J1415" t="str">
        <f t="shared" si="67"/>
        <v>Medium</v>
      </c>
      <c r="K1415" t="s">
        <v>69</v>
      </c>
      <c r="L1415">
        <v>46</v>
      </c>
      <c r="M1415">
        <v>58</v>
      </c>
      <c r="N1415" t="str">
        <f t="shared" si="68"/>
        <v>Low Cost</v>
      </c>
      <c r="O1415">
        <v>6.27</v>
      </c>
      <c r="P1415" t="s">
        <v>51</v>
      </c>
      <c r="Q1415" t="s">
        <v>24</v>
      </c>
      <c r="R1415" t="s">
        <v>35</v>
      </c>
      <c r="S1415" t="s">
        <v>1043</v>
      </c>
      <c r="T1415" t="s">
        <v>37</v>
      </c>
      <c r="U1415">
        <v>70</v>
      </c>
      <c r="V1415">
        <v>1.7</v>
      </c>
      <c r="W1415" t="s">
        <v>38</v>
      </c>
      <c r="X1415" t="s">
        <v>83</v>
      </c>
    </row>
    <row r="1416" spans="1:24" x14ac:dyDescent="0.3">
      <c r="A1416" t="s">
        <v>2692</v>
      </c>
      <c r="B1416" t="s">
        <v>30</v>
      </c>
      <c r="C1416" t="s">
        <v>102</v>
      </c>
      <c r="D1416" t="str">
        <f t="shared" si="66"/>
        <v>Evening</v>
      </c>
      <c r="E1416">
        <f>HOUR(EV_Data[[#This Row],[Charging Start Time]])</f>
        <v>22</v>
      </c>
      <c r="F1416" s="1">
        <v>44985.916666666664</v>
      </c>
      <c r="G1416" s="1">
        <v>44985.973611111112</v>
      </c>
      <c r="H1416">
        <v>82</v>
      </c>
      <c r="I1416">
        <v>6.78</v>
      </c>
      <c r="J1416" t="str">
        <f t="shared" si="67"/>
        <v>Low</v>
      </c>
      <c r="K1416" t="s">
        <v>55</v>
      </c>
      <c r="L1416">
        <v>11</v>
      </c>
      <c r="M1416">
        <v>23</v>
      </c>
      <c r="N1416" t="str">
        <f t="shared" si="68"/>
        <v>Low Cost</v>
      </c>
      <c r="O1416">
        <v>1.85</v>
      </c>
      <c r="P1416" t="s">
        <v>64</v>
      </c>
      <c r="Q1416" t="s">
        <v>58</v>
      </c>
      <c r="R1416" t="s">
        <v>44</v>
      </c>
      <c r="S1416" t="s">
        <v>1044</v>
      </c>
      <c r="T1416" t="s">
        <v>27</v>
      </c>
      <c r="U1416">
        <v>98</v>
      </c>
      <c r="V1416">
        <v>2.2999999999999998</v>
      </c>
      <c r="W1416" t="s">
        <v>47</v>
      </c>
      <c r="X1416" t="s">
        <v>29</v>
      </c>
    </row>
    <row r="1417" spans="1:24" x14ac:dyDescent="0.3">
      <c r="A1417" t="s">
        <v>2693</v>
      </c>
      <c r="B1417" t="s">
        <v>92</v>
      </c>
      <c r="C1417" t="s">
        <v>93</v>
      </c>
      <c r="D1417" t="str">
        <f t="shared" si="66"/>
        <v>Evening</v>
      </c>
      <c r="E1417">
        <f>HOUR(EV_Data[[#This Row],[Charging Start Time]])</f>
        <v>23</v>
      </c>
      <c r="F1417" s="1">
        <v>44985.958333333336</v>
      </c>
      <c r="G1417" s="1">
        <v>44986.008333333331</v>
      </c>
      <c r="H1417">
        <v>72</v>
      </c>
      <c r="I1417">
        <v>24.58</v>
      </c>
      <c r="J1417" t="str">
        <f t="shared" si="67"/>
        <v>Medium</v>
      </c>
      <c r="K1417" t="s">
        <v>50</v>
      </c>
      <c r="L1417">
        <v>80</v>
      </c>
      <c r="M1417">
        <v>97</v>
      </c>
      <c r="N1417" t="str">
        <f t="shared" si="68"/>
        <v>Low Cost</v>
      </c>
      <c r="O1417">
        <v>4.97</v>
      </c>
      <c r="P1417" t="s">
        <v>43</v>
      </c>
      <c r="Q1417" t="s">
        <v>24</v>
      </c>
      <c r="R1417" t="s">
        <v>44</v>
      </c>
      <c r="S1417" t="s">
        <v>278</v>
      </c>
      <c r="T1417" t="s">
        <v>37</v>
      </c>
      <c r="U1417">
        <v>30</v>
      </c>
      <c r="V1417">
        <v>4.0999999999999996</v>
      </c>
      <c r="W1417" t="s">
        <v>47</v>
      </c>
      <c r="X1417" t="s">
        <v>29</v>
      </c>
    </row>
    <row r="1418" spans="1:24" x14ac:dyDescent="0.3">
      <c r="A1418" t="s">
        <v>2694</v>
      </c>
      <c r="B1418" t="s">
        <v>92</v>
      </c>
      <c r="C1418" t="s">
        <v>93</v>
      </c>
      <c r="D1418" t="str">
        <f t="shared" si="66"/>
        <v>Morning</v>
      </c>
      <c r="E1418">
        <f>HOUR(EV_Data[[#This Row],[Charging Start Time]])</f>
        <v>0</v>
      </c>
      <c r="F1418" s="1">
        <v>44986</v>
      </c>
      <c r="G1418" s="1">
        <v>44986.040277777778</v>
      </c>
      <c r="H1418">
        <v>58</v>
      </c>
      <c r="I1418">
        <v>45.4</v>
      </c>
      <c r="J1418" t="str">
        <f t="shared" si="67"/>
        <v>Medium</v>
      </c>
      <c r="K1418" t="s">
        <v>69</v>
      </c>
      <c r="L1418">
        <v>19</v>
      </c>
      <c r="M1418">
        <v>52</v>
      </c>
      <c r="N1418" t="str">
        <f t="shared" si="68"/>
        <v>Medium Cost</v>
      </c>
      <c r="O1418">
        <v>12.34</v>
      </c>
      <c r="P1418" t="s">
        <v>51</v>
      </c>
      <c r="Q1418" t="s">
        <v>58</v>
      </c>
      <c r="R1418" t="s">
        <v>44</v>
      </c>
      <c r="S1418" t="s">
        <v>1045</v>
      </c>
      <c r="T1418" t="s">
        <v>60</v>
      </c>
      <c r="U1418">
        <v>15</v>
      </c>
      <c r="V1418">
        <v>1.1000000000000001</v>
      </c>
      <c r="W1418" t="s">
        <v>38</v>
      </c>
      <c r="X1418" t="s">
        <v>83</v>
      </c>
    </row>
    <row r="1419" spans="1:24" x14ac:dyDescent="0.3">
      <c r="A1419" t="s">
        <v>2695</v>
      </c>
      <c r="B1419" t="s">
        <v>20</v>
      </c>
      <c r="C1419" t="s">
        <v>21</v>
      </c>
      <c r="D1419" t="str">
        <f t="shared" si="66"/>
        <v>Morning</v>
      </c>
      <c r="E1419">
        <f>HOUR(EV_Data[[#This Row],[Charging Start Time]])</f>
        <v>1</v>
      </c>
      <c r="F1419" s="1">
        <v>44986.041666666664</v>
      </c>
      <c r="G1419" s="1">
        <v>44986.073611111111</v>
      </c>
      <c r="H1419">
        <v>46</v>
      </c>
      <c r="I1419">
        <v>13.09</v>
      </c>
      <c r="J1419" t="str">
        <f t="shared" si="67"/>
        <v>Low</v>
      </c>
      <c r="K1419" t="s">
        <v>32</v>
      </c>
      <c r="L1419">
        <v>42</v>
      </c>
      <c r="M1419">
        <v>79</v>
      </c>
      <c r="N1419" t="str">
        <f t="shared" si="68"/>
        <v>Low Cost</v>
      </c>
      <c r="O1419">
        <v>4.1399999999999997</v>
      </c>
      <c r="P1419" t="s">
        <v>23</v>
      </c>
      <c r="Q1419" t="s">
        <v>48</v>
      </c>
      <c r="R1419" t="s">
        <v>44</v>
      </c>
      <c r="S1419" t="s">
        <v>1046</v>
      </c>
      <c r="T1419" t="s">
        <v>37</v>
      </c>
      <c r="U1419">
        <v>11</v>
      </c>
      <c r="V1419">
        <v>1.2</v>
      </c>
      <c r="W1419" t="s">
        <v>47</v>
      </c>
      <c r="X1419" t="s">
        <v>29</v>
      </c>
    </row>
    <row r="1420" spans="1:24" x14ac:dyDescent="0.3">
      <c r="A1420" t="s">
        <v>2696</v>
      </c>
      <c r="B1420" t="s">
        <v>40</v>
      </c>
      <c r="C1420" t="s">
        <v>41</v>
      </c>
      <c r="D1420" t="str">
        <f t="shared" si="66"/>
        <v>Morning</v>
      </c>
      <c r="E1420">
        <f>HOUR(EV_Data[[#This Row],[Charging Start Time]])</f>
        <v>2</v>
      </c>
      <c r="F1420" s="1">
        <v>44986.083333333336</v>
      </c>
      <c r="G1420" s="1">
        <v>44986.113194444442</v>
      </c>
      <c r="H1420">
        <v>43</v>
      </c>
      <c r="I1420">
        <v>43.65</v>
      </c>
      <c r="J1420" t="str">
        <f t="shared" si="67"/>
        <v>Medium</v>
      </c>
      <c r="K1420" t="s">
        <v>55</v>
      </c>
      <c r="L1420">
        <v>25</v>
      </c>
      <c r="M1420">
        <v>49</v>
      </c>
      <c r="N1420" t="str">
        <f t="shared" si="68"/>
        <v>High Cost</v>
      </c>
      <c r="O1420">
        <v>19.62</v>
      </c>
      <c r="P1420" t="s">
        <v>33</v>
      </c>
      <c r="Q1420" t="s">
        <v>58</v>
      </c>
      <c r="R1420" t="s">
        <v>56</v>
      </c>
      <c r="S1420" t="s">
        <v>755</v>
      </c>
      <c r="T1420" t="s">
        <v>46</v>
      </c>
      <c r="U1420">
        <v>74</v>
      </c>
      <c r="V1420">
        <v>3.5</v>
      </c>
      <c r="W1420" t="s">
        <v>28</v>
      </c>
      <c r="X1420" t="s">
        <v>68</v>
      </c>
    </row>
    <row r="1421" spans="1:24" x14ac:dyDescent="0.3">
      <c r="A1421" t="s">
        <v>2697</v>
      </c>
      <c r="B1421" t="s">
        <v>20</v>
      </c>
      <c r="C1421" t="s">
        <v>21</v>
      </c>
      <c r="D1421" t="str">
        <f t="shared" si="66"/>
        <v>Morning</v>
      </c>
      <c r="E1421">
        <f>HOUR(EV_Data[[#This Row],[Charging Start Time]])</f>
        <v>3</v>
      </c>
      <c r="F1421" s="1">
        <v>44986.125</v>
      </c>
      <c r="G1421" s="1">
        <v>44986.160416666673</v>
      </c>
      <c r="H1421">
        <v>51</v>
      </c>
      <c r="I1421">
        <v>29.99</v>
      </c>
      <c r="J1421" t="str">
        <f t="shared" si="67"/>
        <v>Medium</v>
      </c>
      <c r="K1421" t="s">
        <v>32</v>
      </c>
      <c r="L1421">
        <v>37</v>
      </c>
      <c r="M1421">
        <v>74</v>
      </c>
      <c r="N1421" t="str">
        <f t="shared" si="68"/>
        <v>Low Cost</v>
      </c>
      <c r="O1421">
        <v>7.77</v>
      </c>
      <c r="P1421" t="s">
        <v>51</v>
      </c>
      <c r="Q1421" t="s">
        <v>48</v>
      </c>
      <c r="R1421" t="s">
        <v>56</v>
      </c>
      <c r="S1421" t="s">
        <v>686</v>
      </c>
      <c r="T1421" t="s">
        <v>60</v>
      </c>
      <c r="U1421">
        <v>67</v>
      </c>
      <c r="V1421">
        <v>4.8</v>
      </c>
      <c r="W1421" t="s">
        <v>28</v>
      </c>
      <c r="X1421" t="s">
        <v>68</v>
      </c>
    </row>
    <row r="1422" spans="1:24" x14ac:dyDescent="0.3">
      <c r="A1422" t="s">
        <v>2698</v>
      </c>
      <c r="B1422" t="s">
        <v>30</v>
      </c>
      <c r="C1422" t="s">
        <v>102</v>
      </c>
      <c r="D1422" t="str">
        <f t="shared" si="66"/>
        <v>Morning</v>
      </c>
      <c r="E1422">
        <f>HOUR(EV_Data[[#This Row],[Charging Start Time]])</f>
        <v>4</v>
      </c>
      <c r="F1422" s="1">
        <v>44986.166666666664</v>
      </c>
      <c r="G1422" s="1">
        <v>44986.20208333333</v>
      </c>
      <c r="H1422">
        <v>51</v>
      </c>
      <c r="I1422">
        <v>14.11</v>
      </c>
      <c r="J1422" t="str">
        <f t="shared" si="67"/>
        <v>Low</v>
      </c>
      <c r="K1422" t="s">
        <v>22</v>
      </c>
      <c r="L1422">
        <v>31</v>
      </c>
      <c r="M1422">
        <v>53</v>
      </c>
      <c r="N1422" t="str">
        <f t="shared" si="68"/>
        <v>Low Cost</v>
      </c>
      <c r="O1422">
        <v>5.21</v>
      </c>
      <c r="P1422" t="s">
        <v>64</v>
      </c>
      <c r="Q1422" t="s">
        <v>48</v>
      </c>
      <c r="R1422" t="s">
        <v>56</v>
      </c>
      <c r="S1422" t="s">
        <v>1047</v>
      </c>
      <c r="T1422" t="s">
        <v>60</v>
      </c>
      <c r="U1422">
        <v>13</v>
      </c>
      <c r="V1422">
        <v>1.8</v>
      </c>
      <c r="W1422" t="s">
        <v>28</v>
      </c>
      <c r="X1422" t="s">
        <v>68</v>
      </c>
    </row>
    <row r="1423" spans="1:24" x14ac:dyDescent="0.3">
      <c r="A1423" t="s">
        <v>2699</v>
      </c>
      <c r="B1423" t="s">
        <v>92</v>
      </c>
      <c r="C1423" t="s">
        <v>93</v>
      </c>
      <c r="D1423" t="str">
        <f t="shared" si="66"/>
        <v>Morning</v>
      </c>
      <c r="E1423">
        <f>HOUR(EV_Data[[#This Row],[Charging Start Time]])</f>
        <v>5</v>
      </c>
      <c r="F1423" s="1">
        <v>44986.208333333336</v>
      </c>
      <c r="G1423" s="1">
        <v>44986.217361111107</v>
      </c>
      <c r="H1423">
        <v>13</v>
      </c>
      <c r="I1423">
        <v>24.54</v>
      </c>
      <c r="J1423" t="str">
        <f t="shared" si="67"/>
        <v>Medium</v>
      </c>
      <c r="K1423" t="s">
        <v>69</v>
      </c>
      <c r="L1423">
        <v>58</v>
      </c>
      <c r="M1423">
        <v>69</v>
      </c>
      <c r="N1423" t="str">
        <f t="shared" si="68"/>
        <v>Low Cost</v>
      </c>
      <c r="O1423">
        <v>6.78</v>
      </c>
      <c r="P1423" t="s">
        <v>51</v>
      </c>
      <c r="Q1423" t="s">
        <v>48</v>
      </c>
      <c r="R1423" t="s">
        <v>56</v>
      </c>
      <c r="S1423" t="s">
        <v>138</v>
      </c>
      <c r="T1423" t="s">
        <v>60</v>
      </c>
      <c r="U1423">
        <v>48</v>
      </c>
      <c r="V1423">
        <v>3.5</v>
      </c>
      <c r="W1423" t="s">
        <v>28</v>
      </c>
      <c r="X1423" t="s">
        <v>68</v>
      </c>
    </row>
    <row r="1424" spans="1:24" x14ac:dyDescent="0.3">
      <c r="A1424" t="s">
        <v>2700</v>
      </c>
      <c r="B1424" t="s">
        <v>92</v>
      </c>
      <c r="C1424" t="s">
        <v>93</v>
      </c>
      <c r="D1424" t="str">
        <f t="shared" si="66"/>
        <v>Morning</v>
      </c>
      <c r="E1424">
        <f>HOUR(EV_Data[[#This Row],[Charging Start Time]])</f>
        <v>6</v>
      </c>
      <c r="F1424" s="1">
        <v>44986.25</v>
      </c>
      <c r="G1424" s="1">
        <v>44986.268750000003</v>
      </c>
      <c r="H1424">
        <v>27</v>
      </c>
      <c r="I1424">
        <v>32.479999999999997</v>
      </c>
      <c r="J1424" t="str">
        <f t="shared" si="67"/>
        <v>Medium</v>
      </c>
      <c r="K1424" t="s">
        <v>42</v>
      </c>
      <c r="L1424">
        <v>60</v>
      </c>
      <c r="M1424">
        <v>98</v>
      </c>
      <c r="N1424" t="str">
        <f t="shared" si="68"/>
        <v>Low Cost</v>
      </c>
      <c r="O1424">
        <v>7.43</v>
      </c>
      <c r="P1424" t="s">
        <v>33</v>
      </c>
      <c r="Q1424" t="s">
        <v>58</v>
      </c>
      <c r="R1424" t="s">
        <v>56</v>
      </c>
      <c r="S1424" t="s">
        <v>1048</v>
      </c>
      <c r="T1424" t="s">
        <v>37</v>
      </c>
      <c r="U1424">
        <v>88</v>
      </c>
      <c r="V1424">
        <v>1.6</v>
      </c>
      <c r="W1424" t="s">
        <v>28</v>
      </c>
      <c r="X1424" t="s">
        <v>68</v>
      </c>
    </row>
    <row r="1425" spans="1:24" x14ac:dyDescent="0.3">
      <c r="A1425" t="s">
        <v>2701</v>
      </c>
      <c r="B1425" t="s">
        <v>92</v>
      </c>
      <c r="C1425" t="s">
        <v>93</v>
      </c>
      <c r="D1425" t="str">
        <f t="shared" si="66"/>
        <v>Morning</v>
      </c>
      <c r="E1425">
        <f>HOUR(EV_Data[[#This Row],[Charging Start Time]])</f>
        <v>7</v>
      </c>
      <c r="F1425" s="1">
        <v>44986.291666666664</v>
      </c>
      <c r="G1425" s="1">
        <v>44986.368750000001</v>
      </c>
      <c r="H1425">
        <v>111</v>
      </c>
      <c r="I1425">
        <v>36.85</v>
      </c>
      <c r="J1425" t="str">
        <f t="shared" si="67"/>
        <v>Medium</v>
      </c>
      <c r="K1425" t="s">
        <v>55</v>
      </c>
      <c r="L1425">
        <v>56</v>
      </c>
      <c r="M1425">
        <v>68</v>
      </c>
      <c r="N1425" t="str">
        <f t="shared" si="68"/>
        <v>Medium Cost</v>
      </c>
      <c r="O1425">
        <v>15.09</v>
      </c>
      <c r="P1425" t="s">
        <v>33</v>
      </c>
      <c r="Q1425" t="s">
        <v>48</v>
      </c>
      <c r="R1425" t="s">
        <v>25</v>
      </c>
      <c r="S1425" t="s">
        <v>1049</v>
      </c>
      <c r="T1425" t="s">
        <v>46</v>
      </c>
      <c r="U1425">
        <v>65</v>
      </c>
      <c r="V1425">
        <v>2.8</v>
      </c>
      <c r="W1425" t="s">
        <v>28</v>
      </c>
      <c r="X1425" t="s">
        <v>68</v>
      </c>
    </row>
    <row r="1426" spans="1:24" x14ac:dyDescent="0.3">
      <c r="A1426" t="s">
        <v>2702</v>
      </c>
      <c r="B1426" t="s">
        <v>126</v>
      </c>
      <c r="C1426" t="s">
        <v>31</v>
      </c>
      <c r="D1426" t="str">
        <f t="shared" si="66"/>
        <v>Morning</v>
      </c>
      <c r="E1426">
        <f>HOUR(EV_Data[[#This Row],[Charging Start Time]])</f>
        <v>8</v>
      </c>
      <c r="F1426" s="1">
        <v>44986.333333333336</v>
      </c>
      <c r="G1426" s="1">
        <v>44986.35</v>
      </c>
      <c r="H1426">
        <v>24</v>
      </c>
      <c r="I1426">
        <v>46.31</v>
      </c>
      <c r="J1426" t="str">
        <f t="shared" si="67"/>
        <v>Medium</v>
      </c>
      <c r="K1426" t="s">
        <v>55</v>
      </c>
      <c r="L1426">
        <v>71</v>
      </c>
      <c r="M1426">
        <v>88</v>
      </c>
      <c r="N1426" t="str">
        <f t="shared" si="68"/>
        <v>Medium Cost</v>
      </c>
      <c r="O1426">
        <v>9.91</v>
      </c>
      <c r="P1426" t="s">
        <v>43</v>
      </c>
      <c r="Q1426" t="s">
        <v>58</v>
      </c>
      <c r="R1426" t="s">
        <v>25</v>
      </c>
      <c r="S1426" t="s">
        <v>429</v>
      </c>
      <c r="T1426" t="s">
        <v>37</v>
      </c>
      <c r="U1426">
        <v>80</v>
      </c>
      <c r="V1426">
        <v>3.2</v>
      </c>
      <c r="W1426" t="s">
        <v>38</v>
      </c>
      <c r="X1426" t="s">
        <v>85</v>
      </c>
    </row>
    <row r="1427" spans="1:24" x14ac:dyDescent="0.3">
      <c r="A1427" t="s">
        <v>2703</v>
      </c>
      <c r="B1427" t="s">
        <v>71</v>
      </c>
      <c r="C1427" t="s">
        <v>72</v>
      </c>
      <c r="D1427" t="str">
        <f t="shared" si="66"/>
        <v>Morning</v>
      </c>
      <c r="E1427">
        <f>HOUR(EV_Data[[#This Row],[Charging Start Time]])</f>
        <v>9</v>
      </c>
      <c r="F1427" s="1">
        <v>44986.375</v>
      </c>
      <c r="G1427" s="1">
        <v>44986.401388888888</v>
      </c>
      <c r="H1427">
        <v>38</v>
      </c>
      <c r="I1427">
        <v>22.7</v>
      </c>
      <c r="J1427" t="str">
        <f t="shared" si="67"/>
        <v>Medium</v>
      </c>
      <c r="K1427" t="s">
        <v>42</v>
      </c>
      <c r="L1427">
        <v>53</v>
      </c>
      <c r="M1427">
        <v>78</v>
      </c>
      <c r="N1427" t="str">
        <f t="shared" si="68"/>
        <v>Medium Cost</v>
      </c>
      <c r="O1427">
        <v>11.04</v>
      </c>
      <c r="P1427" t="s">
        <v>33</v>
      </c>
      <c r="Q1427" t="s">
        <v>48</v>
      </c>
      <c r="R1427" t="s">
        <v>56</v>
      </c>
      <c r="S1427" t="s">
        <v>1009</v>
      </c>
      <c r="T1427" t="s">
        <v>37</v>
      </c>
      <c r="U1427">
        <v>94</v>
      </c>
      <c r="V1427">
        <v>3.1</v>
      </c>
      <c r="W1427" t="s">
        <v>47</v>
      </c>
      <c r="X1427" t="s">
        <v>29</v>
      </c>
    </row>
    <row r="1428" spans="1:24" x14ac:dyDescent="0.3">
      <c r="A1428" t="s">
        <v>2704</v>
      </c>
      <c r="B1428" t="s">
        <v>40</v>
      </c>
      <c r="C1428" t="s">
        <v>41</v>
      </c>
      <c r="D1428" t="str">
        <f t="shared" si="66"/>
        <v>Morning</v>
      </c>
      <c r="E1428">
        <f>HOUR(EV_Data[[#This Row],[Charging Start Time]])</f>
        <v>10</v>
      </c>
      <c r="F1428" s="1">
        <v>44986.416666666664</v>
      </c>
      <c r="G1428" s="1">
        <v>44986.425694444442</v>
      </c>
      <c r="H1428">
        <v>13</v>
      </c>
      <c r="I1428">
        <v>42.24</v>
      </c>
      <c r="J1428" t="str">
        <f t="shared" si="67"/>
        <v>Medium</v>
      </c>
      <c r="K1428" t="s">
        <v>32</v>
      </c>
      <c r="L1428">
        <v>54</v>
      </c>
      <c r="M1428">
        <v>93</v>
      </c>
      <c r="N1428" t="str">
        <f t="shared" si="68"/>
        <v>Medium Cost</v>
      </c>
      <c r="O1428">
        <v>14.47</v>
      </c>
      <c r="P1428" t="s">
        <v>23</v>
      </c>
      <c r="Q1428" t="s">
        <v>48</v>
      </c>
      <c r="R1428" t="s">
        <v>25</v>
      </c>
      <c r="S1428" t="s">
        <v>1050</v>
      </c>
      <c r="T1428" t="s">
        <v>37</v>
      </c>
      <c r="U1428">
        <v>91</v>
      </c>
      <c r="V1428">
        <v>4.0999999999999996</v>
      </c>
      <c r="W1428" t="s">
        <v>28</v>
      </c>
      <c r="X1428" t="s">
        <v>68</v>
      </c>
    </row>
    <row r="1429" spans="1:24" x14ac:dyDescent="0.3">
      <c r="A1429" t="s">
        <v>2705</v>
      </c>
      <c r="B1429" t="s">
        <v>92</v>
      </c>
      <c r="C1429" t="s">
        <v>93</v>
      </c>
      <c r="D1429" t="str">
        <f t="shared" si="66"/>
        <v>Morning</v>
      </c>
      <c r="E1429">
        <f>HOUR(EV_Data[[#This Row],[Charging Start Time]])</f>
        <v>11</v>
      </c>
      <c r="F1429" s="1">
        <v>44986.458333333336</v>
      </c>
      <c r="G1429" s="1">
        <v>44986.495833333327</v>
      </c>
      <c r="H1429">
        <v>54</v>
      </c>
      <c r="I1429">
        <v>34.909999999999997</v>
      </c>
      <c r="J1429" t="str">
        <f t="shared" si="67"/>
        <v>Medium</v>
      </c>
      <c r="K1429" t="s">
        <v>55</v>
      </c>
      <c r="L1429">
        <v>73</v>
      </c>
      <c r="M1429">
        <v>100</v>
      </c>
      <c r="N1429" t="str">
        <f t="shared" si="68"/>
        <v>Medium Cost</v>
      </c>
      <c r="O1429">
        <v>10.59</v>
      </c>
      <c r="P1429" t="s">
        <v>33</v>
      </c>
      <c r="Q1429" t="s">
        <v>34</v>
      </c>
      <c r="R1429" t="s">
        <v>44</v>
      </c>
      <c r="S1429" t="s">
        <v>296</v>
      </c>
      <c r="T1429" t="s">
        <v>46</v>
      </c>
      <c r="U1429">
        <v>57</v>
      </c>
      <c r="V1429">
        <v>3.8</v>
      </c>
      <c r="W1429" t="s">
        <v>47</v>
      </c>
      <c r="X1429" t="s">
        <v>29</v>
      </c>
    </row>
    <row r="1430" spans="1:24" x14ac:dyDescent="0.3">
      <c r="A1430" t="s">
        <v>2706</v>
      </c>
      <c r="B1430" t="s">
        <v>20</v>
      </c>
      <c r="C1430" t="s">
        <v>21</v>
      </c>
      <c r="D1430" t="str">
        <f t="shared" si="66"/>
        <v>Afternoon</v>
      </c>
      <c r="E1430">
        <f>HOUR(EV_Data[[#This Row],[Charging Start Time]])</f>
        <v>12</v>
      </c>
      <c r="F1430" s="1">
        <v>44986.5</v>
      </c>
      <c r="G1430" s="1">
        <v>44986.537499999999</v>
      </c>
      <c r="H1430">
        <v>54</v>
      </c>
      <c r="I1430">
        <v>36.880000000000003</v>
      </c>
      <c r="J1430" t="str">
        <f t="shared" si="67"/>
        <v>Medium</v>
      </c>
      <c r="K1430" t="s">
        <v>42</v>
      </c>
      <c r="L1430">
        <v>40</v>
      </c>
      <c r="M1430">
        <v>70</v>
      </c>
      <c r="N1430" t="str">
        <f t="shared" si="68"/>
        <v>Medium Cost</v>
      </c>
      <c r="O1430">
        <v>15.05</v>
      </c>
      <c r="P1430" t="s">
        <v>43</v>
      </c>
      <c r="Q1430" t="s">
        <v>24</v>
      </c>
      <c r="R1430" t="s">
        <v>25</v>
      </c>
      <c r="S1430" t="s">
        <v>945</v>
      </c>
      <c r="T1430" t="s">
        <v>27</v>
      </c>
      <c r="U1430">
        <v>98</v>
      </c>
      <c r="V1430">
        <v>2.5</v>
      </c>
      <c r="W1430" t="s">
        <v>38</v>
      </c>
      <c r="X1430" t="s">
        <v>62</v>
      </c>
    </row>
    <row r="1431" spans="1:24" x14ac:dyDescent="0.3">
      <c r="A1431" t="s">
        <v>2707</v>
      </c>
      <c r="B1431" t="s">
        <v>77</v>
      </c>
      <c r="C1431" t="s">
        <v>78</v>
      </c>
      <c r="D1431" t="str">
        <f t="shared" si="66"/>
        <v>Afternoon</v>
      </c>
      <c r="E1431">
        <f>HOUR(EV_Data[[#This Row],[Charging Start Time]])</f>
        <v>13</v>
      </c>
      <c r="F1431" s="1">
        <v>44986.541666666664</v>
      </c>
      <c r="G1431" s="1">
        <v>44986.602083333331</v>
      </c>
      <c r="H1431">
        <v>87</v>
      </c>
      <c r="I1431">
        <v>22.78</v>
      </c>
      <c r="J1431" t="str">
        <f t="shared" si="67"/>
        <v>Medium</v>
      </c>
      <c r="K1431" t="s">
        <v>22</v>
      </c>
      <c r="L1431">
        <v>21</v>
      </c>
      <c r="M1431">
        <v>31</v>
      </c>
      <c r="N1431" t="str">
        <f t="shared" si="68"/>
        <v>Low Cost</v>
      </c>
      <c r="O1431">
        <v>5.52</v>
      </c>
      <c r="P1431" t="s">
        <v>23</v>
      </c>
      <c r="Q1431" t="s">
        <v>34</v>
      </c>
      <c r="R1431" t="s">
        <v>44</v>
      </c>
      <c r="S1431" t="s">
        <v>1051</v>
      </c>
      <c r="T1431" t="s">
        <v>46</v>
      </c>
      <c r="U1431">
        <v>95</v>
      </c>
      <c r="V1431">
        <v>3.7</v>
      </c>
      <c r="W1431" t="s">
        <v>28</v>
      </c>
      <c r="X1431" t="s">
        <v>68</v>
      </c>
    </row>
    <row r="1432" spans="1:24" x14ac:dyDescent="0.3">
      <c r="A1432" t="s">
        <v>2708</v>
      </c>
      <c r="B1432" t="s">
        <v>30</v>
      </c>
      <c r="C1432" t="s">
        <v>102</v>
      </c>
      <c r="D1432" t="str">
        <f t="shared" si="66"/>
        <v>Afternoon</v>
      </c>
      <c r="E1432">
        <f>HOUR(EV_Data[[#This Row],[Charging Start Time]])</f>
        <v>14</v>
      </c>
      <c r="F1432" s="1">
        <v>44986.583333333336</v>
      </c>
      <c r="G1432" s="1">
        <v>44986.607638888891</v>
      </c>
      <c r="H1432">
        <v>35</v>
      </c>
      <c r="I1432">
        <v>46.21</v>
      </c>
      <c r="J1432" t="str">
        <f t="shared" si="67"/>
        <v>Medium</v>
      </c>
      <c r="K1432" t="s">
        <v>55</v>
      </c>
      <c r="L1432">
        <v>22</v>
      </c>
      <c r="M1432">
        <v>44</v>
      </c>
      <c r="N1432" t="str">
        <f t="shared" si="68"/>
        <v>Medium Cost</v>
      </c>
      <c r="O1432">
        <v>12.48</v>
      </c>
      <c r="P1432" t="s">
        <v>64</v>
      </c>
      <c r="Q1432" t="s">
        <v>58</v>
      </c>
      <c r="R1432" t="s">
        <v>35</v>
      </c>
      <c r="S1432" t="s">
        <v>586</v>
      </c>
      <c r="T1432" t="s">
        <v>46</v>
      </c>
      <c r="U1432">
        <v>23</v>
      </c>
      <c r="V1432">
        <v>4.8</v>
      </c>
      <c r="W1432" t="s">
        <v>47</v>
      </c>
      <c r="X1432" t="s">
        <v>29</v>
      </c>
    </row>
    <row r="1433" spans="1:24" x14ac:dyDescent="0.3">
      <c r="A1433" t="s">
        <v>2709</v>
      </c>
      <c r="B1433" t="s">
        <v>71</v>
      </c>
      <c r="C1433" t="s">
        <v>72</v>
      </c>
      <c r="D1433" t="str">
        <f t="shared" si="66"/>
        <v>Afternoon</v>
      </c>
      <c r="E1433">
        <f>HOUR(EV_Data[[#This Row],[Charging Start Time]])</f>
        <v>15</v>
      </c>
      <c r="F1433" s="1">
        <v>44986.625</v>
      </c>
      <c r="G1433" s="1">
        <v>44986.65347222222</v>
      </c>
      <c r="H1433">
        <v>41</v>
      </c>
      <c r="I1433">
        <v>34.15</v>
      </c>
      <c r="J1433" t="str">
        <f t="shared" si="67"/>
        <v>Medium</v>
      </c>
      <c r="K1433" t="s">
        <v>55</v>
      </c>
      <c r="L1433">
        <v>35</v>
      </c>
      <c r="M1433">
        <v>49</v>
      </c>
      <c r="N1433" t="str">
        <f t="shared" si="68"/>
        <v>Medium Cost</v>
      </c>
      <c r="O1433">
        <v>12.15</v>
      </c>
      <c r="P1433" t="s">
        <v>64</v>
      </c>
      <c r="Q1433" t="s">
        <v>58</v>
      </c>
      <c r="R1433" t="s">
        <v>44</v>
      </c>
      <c r="S1433" t="s">
        <v>238</v>
      </c>
      <c r="T1433" t="s">
        <v>37</v>
      </c>
      <c r="U1433">
        <v>40</v>
      </c>
      <c r="V1433">
        <v>2.5</v>
      </c>
      <c r="W1433" t="s">
        <v>28</v>
      </c>
      <c r="X1433" t="s">
        <v>68</v>
      </c>
    </row>
    <row r="1434" spans="1:24" x14ac:dyDescent="0.3">
      <c r="A1434" t="s">
        <v>2710</v>
      </c>
      <c r="B1434" t="s">
        <v>71</v>
      </c>
      <c r="C1434" t="s">
        <v>72</v>
      </c>
      <c r="D1434" t="str">
        <f t="shared" si="66"/>
        <v>Afternoon</v>
      </c>
      <c r="E1434">
        <f>HOUR(EV_Data[[#This Row],[Charging Start Time]])</f>
        <v>16</v>
      </c>
      <c r="F1434" s="1">
        <v>44986.666666666664</v>
      </c>
      <c r="G1434" s="1">
        <v>44986.681250000001</v>
      </c>
      <c r="H1434">
        <v>21</v>
      </c>
      <c r="I1434">
        <v>15.89</v>
      </c>
      <c r="J1434" t="str">
        <f t="shared" si="67"/>
        <v>Low</v>
      </c>
      <c r="K1434" t="s">
        <v>22</v>
      </c>
      <c r="L1434">
        <v>29</v>
      </c>
      <c r="M1434">
        <v>46</v>
      </c>
      <c r="N1434" t="str">
        <f t="shared" si="68"/>
        <v>Low Cost</v>
      </c>
      <c r="O1434">
        <v>5.84</v>
      </c>
      <c r="P1434" t="s">
        <v>51</v>
      </c>
      <c r="Q1434" t="s">
        <v>34</v>
      </c>
      <c r="R1434" t="s">
        <v>56</v>
      </c>
      <c r="S1434" t="s">
        <v>1052</v>
      </c>
      <c r="T1434" t="s">
        <v>37</v>
      </c>
      <c r="U1434">
        <v>84</v>
      </c>
      <c r="V1434">
        <v>2.9</v>
      </c>
      <c r="W1434" t="s">
        <v>28</v>
      </c>
      <c r="X1434" t="s">
        <v>68</v>
      </c>
    </row>
    <row r="1435" spans="1:24" x14ac:dyDescent="0.3">
      <c r="A1435" t="s">
        <v>2711</v>
      </c>
      <c r="B1435" t="s">
        <v>71</v>
      </c>
      <c r="C1435" t="s">
        <v>72</v>
      </c>
      <c r="D1435" t="str">
        <f t="shared" si="66"/>
        <v>Evening</v>
      </c>
      <c r="E1435">
        <f>HOUR(EV_Data[[#This Row],[Charging Start Time]])</f>
        <v>17</v>
      </c>
      <c r="F1435" s="1">
        <v>44986.708333333336</v>
      </c>
      <c r="G1435" s="1">
        <v>44986.768750000003</v>
      </c>
      <c r="H1435">
        <v>87</v>
      </c>
      <c r="I1435">
        <v>27.43</v>
      </c>
      <c r="J1435" t="str">
        <f t="shared" si="67"/>
        <v>Medium</v>
      </c>
      <c r="K1435" t="s">
        <v>22</v>
      </c>
      <c r="L1435">
        <v>31</v>
      </c>
      <c r="M1435">
        <v>47</v>
      </c>
      <c r="N1435" t="str">
        <f t="shared" si="68"/>
        <v>Medium Cost</v>
      </c>
      <c r="O1435">
        <v>13.55</v>
      </c>
      <c r="P1435" t="s">
        <v>23</v>
      </c>
      <c r="Q1435" t="s">
        <v>48</v>
      </c>
      <c r="R1435" t="s">
        <v>44</v>
      </c>
      <c r="S1435" t="s">
        <v>735</v>
      </c>
      <c r="T1435" t="s">
        <v>27</v>
      </c>
      <c r="U1435">
        <v>62</v>
      </c>
      <c r="V1435">
        <v>4.7</v>
      </c>
      <c r="W1435" t="s">
        <v>38</v>
      </c>
      <c r="X1435" t="s">
        <v>39</v>
      </c>
    </row>
    <row r="1436" spans="1:24" x14ac:dyDescent="0.3">
      <c r="A1436" t="s">
        <v>2712</v>
      </c>
      <c r="B1436" t="s">
        <v>92</v>
      </c>
      <c r="C1436" t="s">
        <v>93</v>
      </c>
      <c r="D1436" t="str">
        <f t="shared" si="66"/>
        <v>Evening</v>
      </c>
      <c r="E1436">
        <f>HOUR(EV_Data[[#This Row],[Charging Start Time]])</f>
        <v>18</v>
      </c>
      <c r="F1436" s="1">
        <v>44986.75</v>
      </c>
      <c r="G1436" s="1">
        <v>44986.780555555553</v>
      </c>
      <c r="H1436">
        <v>44</v>
      </c>
      <c r="I1436">
        <v>15.15</v>
      </c>
      <c r="J1436" t="str">
        <f t="shared" si="67"/>
        <v>Low</v>
      </c>
      <c r="K1436" t="s">
        <v>55</v>
      </c>
      <c r="L1436">
        <v>27</v>
      </c>
      <c r="M1436">
        <v>64</v>
      </c>
      <c r="N1436" t="str">
        <f t="shared" si="68"/>
        <v>Low Cost</v>
      </c>
      <c r="O1436">
        <v>3.57</v>
      </c>
      <c r="P1436" t="s">
        <v>23</v>
      </c>
      <c r="Q1436" t="s">
        <v>58</v>
      </c>
      <c r="R1436" t="s">
        <v>35</v>
      </c>
      <c r="S1436" t="s">
        <v>1021</v>
      </c>
      <c r="T1436" t="s">
        <v>37</v>
      </c>
      <c r="U1436">
        <v>91</v>
      </c>
      <c r="V1436">
        <v>2.4</v>
      </c>
      <c r="W1436" t="s">
        <v>47</v>
      </c>
      <c r="X1436" t="s">
        <v>29</v>
      </c>
    </row>
    <row r="1437" spans="1:24" x14ac:dyDescent="0.3">
      <c r="A1437" t="s">
        <v>2713</v>
      </c>
      <c r="B1437" t="s">
        <v>126</v>
      </c>
      <c r="C1437" t="s">
        <v>31</v>
      </c>
      <c r="D1437" t="str">
        <f t="shared" si="66"/>
        <v>Evening</v>
      </c>
      <c r="E1437">
        <f>HOUR(EV_Data[[#This Row],[Charging Start Time]])</f>
        <v>19</v>
      </c>
      <c r="F1437" s="1">
        <v>44986.791666666664</v>
      </c>
      <c r="G1437" s="1">
        <v>44986.832638888889</v>
      </c>
      <c r="H1437">
        <v>59</v>
      </c>
      <c r="I1437">
        <v>21.2</v>
      </c>
      <c r="J1437" t="str">
        <f t="shared" si="67"/>
        <v>Medium</v>
      </c>
      <c r="K1437" t="s">
        <v>69</v>
      </c>
      <c r="L1437">
        <v>42</v>
      </c>
      <c r="M1437">
        <v>56</v>
      </c>
      <c r="N1437" t="str">
        <f t="shared" si="68"/>
        <v>Medium Cost</v>
      </c>
      <c r="O1437">
        <v>9.9</v>
      </c>
      <c r="P1437" t="s">
        <v>51</v>
      </c>
      <c r="Q1437" t="s">
        <v>58</v>
      </c>
      <c r="R1437" t="s">
        <v>56</v>
      </c>
      <c r="S1437" t="s">
        <v>1053</v>
      </c>
      <c r="T1437" t="s">
        <v>46</v>
      </c>
      <c r="U1437">
        <v>21</v>
      </c>
      <c r="V1437">
        <v>4.9000000000000004</v>
      </c>
      <c r="W1437" t="s">
        <v>28</v>
      </c>
      <c r="X1437" t="s">
        <v>68</v>
      </c>
    </row>
    <row r="1438" spans="1:24" x14ac:dyDescent="0.3">
      <c r="A1438" t="s">
        <v>2714</v>
      </c>
      <c r="B1438" t="s">
        <v>53</v>
      </c>
      <c r="C1438" t="s">
        <v>54</v>
      </c>
      <c r="D1438" t="str">
        <f t="shared" si="66"/>
        <v>Evening</v>
      </c>
      <c r="E1438">
        <f>HOUR(EV_Data[[#This Row],[Charging Start Time]])</f>
        <v>20</v>
      </c>
      <c r="F1438" s="1">
        <v>44986.833333333336</v>
      </c>
      <c r="G1438" s="1">
        <v>44986.859722222223</v>
      </c>
      <c r="H1438">
        <v>38</v>
      </c>
      <c r="I1438">
        <v>11.27</v>
      </c>
      <c r="J1438" t="str">
        <f t="shared" si="67"/>
        <v>Low</v>
      </c>
      <c r="K1438" t="s">
        <v>50</v>
      </c>
      <c r="L1438">
        <v>7</v>
      </c>
      <c r="M1438">
        <v>22</v>
      </c>
      <c r="N1438" t="str">
        <f t="shared" si="68"/>
        <v>Low Cost</v>
      </c>
      <c r="O1438">
        <v>3.14</v>
      </c>
      <c r="P1438" t="s">
        <v>51</v>
      </c>
      <c r="Q1438" t="s">
        <v>24</v>
      </c>
      <c r="R1438" t="s">
        <v>56</v>
      </c>
      <c r="S1438" t="s">
        <v>1054</v>
      </c>
      <c r="T1438" t="s">
        <v>37</v>
      </c>
      <c r="U1438">
        <v>60</v>
      </c>
      <c r="V1438">
        <v>3.8</v>
      </c>
      <c r="W1438" t="s">
        <v>47</v>
      </c>
      <c r="X1438" t="s">
        <v>29</v>
      </c>
    </row>
    <row r="1439" spans="1:24" x14ac:dyDescent="0.3">
      <c r="A1439" t="s">
        <v>2715</v>
      </c>
      <c r="B1439" t="s">
        <v>71</v>
      </c>
      <c r="C1439" t="s">
        <v>72</v>
      </c>
      <c r="D1439" t="str">
        <f t="shared" si="66"/>
        <v>Evening</v>
      </c>
      <c r="E1439">
        <f>HOUR(EV_Data[[#This Row],[Charging Start Time]])</f>
        <v>21</v>
      </c>
      <c r="F1439" s="1">
        <v>44986.875</v>
      </c>
      <c r="G1439" s="1">
        <v>44986.92083333333</v>
      </c>
      <c r="H1439">
        <v>66</v>
      </c>
      <c r="I1439">
        <v>21.99</v>
      </c>
      <c r="J1439" t="str">
        <f t="shared" si="67"/>
        <v>Medium</v>
      </c>
      <c r="K1439" t="s">
        <v>22</v>
      </c>
      <c r="L1439">
        <v>64</v>
      </c>
      <c r="M1439">
        <v>98</v>
      </c>
      <c r="N1439" t="str">
        <f t="shared" si="68"/>
        <v>Low Cost</v>
      </c>
      <c r="O1439">
        <v>5.78</v>
      </c>
      <c r="P1439" t="s">
        <v>64</v>
      </c>
      <c r="Q1439" t="s">
        <v>58</v>
      </c>
      <c r="R1439" t="s">
        <v>25</v>
      </c>
      <c r="S1439" t="s">
        <v>450</v>
      </c>
      <c r="T1439" t="s">
        <v>60</v>
      </c>
      <c r="U1439">
        <v>9</v>
      </c>
      <c r="V1439">
        <v>1.3</v>
      </c>
      <c r="W1439" t="s">
        <v>28</v>
      </c>
      <c r="X1439" t="s">
        <v>68</v>
      </c>
    </row>
    <row r="1440" spans="1:24" x14ac:dyDescent="0.3">
      <c r="A1440" t="s">
        <v>2716</v>
      </c>
      <c r="B1440" t="s">
        <v>20</v>
      </c>
      <c r="C1440" t="s">
        <v>21</v>
      </c>
      <c r="D1440" t="str">
        <f t="shared" si="66"/>
        <v>Evening</v>
      </c>
      <c r="E1440">
        <f>HOUR(EV_Data[[#This Row],[Charging Start Time]])</f>
        <v>22</v>
      </c>
      <c r="F1440" s="1">
        <v>44986.916666666664</v>
      </c>
      <c r="G1440" s="1">
        <v>44986.938888888893</v>
      </c>
      <c r="H1440">
        <v>32</v>
      </c>
      <c r="I1440">
        <v>41.96</v>
      </c>
      <c r="J1440" t="str">
        <f t="shared" si="67"/>
        <v>Medium</v>
      </c>
      <c r="K1440" t="s">
        <v>42</v>
      </c>
      <c r="L1440">
        <v>30</v>
      </c>
      <c r="M1440">
        <v>53</v>
      </c>
      <c r="N1440" t="str">
        <f t="shared" si="68"/>
        <v>Medium Cost</v>
      </c>
      <c r="O1440">
        <v>13.59</v>
      </c>
      <c r="P1440" t="s">
        <v>43</v>
      </c>
      <c r="Q1440" t="s">
        <v>58</v>
      </c>
      <c r="R1440" t="s">
        <v>25</v>
      </c>
      <c r="S1440" t="s">
        <v>572</v>
      </c>
      <c r="T1440" t="s">
        <v>46</v>
      </c>
      <c r="U1440">
        <v>39</v>
      </c>
      <c r="V1440">
        <v>1.4</v>
      </c>
      <c r="W1440" t="s">
        <v>47</v>
      </c>
      <c r="X1440" t="s">
        <v>29</v>
      </c>
    </row>
    <row r="1441" spans="1:24" x14ac:dyDescent="0.3">
      <c r="A1441" t="s">
        <v>2717</v>
      </c>
      <c r="B1441" t="s">
        <v>30</v>
      </c>
      <c r="C1441" t="s">
        <v>102</v>
      </c>
      <c r="D1441" t="str">
        <f t="shared" si="66"/>
        <v>Evening</v>
      </c>
      <c r="E1441">
        <f>HOUR(EV_Data[[#This Row],[Charging Start Time]])</f>
        <v>23</v>
      </c>
      <c r="F1441" s="1">
        <v>44986.958333333336</v>
      </c>
      <c r="G1441" s="1">
        <v>44986.972916666673</v>
      </c>
      <c r="H1441">
        <v>21</v>
      </c>
      <c r="I1441">
        <v>16.239999999999998</v>
      </c>
      <c r="J1441" t="str">
        <f t="shared" si="67"/>
        <v>Low</v>
      </c>
      <c r="K1441" t="s">
        <v>50</v>
      </c>
      <c r="L1441">
        <v>21</v>
      </c>
      <c r="M1441">
        <v>52</v>
      </c>
      <c r="N1441" t="str">
        <f t="shared" si="68"/>
        <v>Low Cost</v>
      </c>
      <c r="O1441">
        <v>6.4</v>
      </c>
      <c r="P1441" t="s">
        <v>64</v>
      </c>
      <c r="Q1441" t="s">
        <v>48</v>
      </c>
      <c r="R1441" t="s">
        <v>25</v>
      </c>
      <c r="S1441" t="s">
        <v>527</v>
      </c>
      <c r="T1441" t="s">
        <v>60</v>
      </c>
      <c r="U1441">
        <v>10</v>
      </c>
      <c r="V1441">
        <v>3.5</v>
      </c>
      <c r="W1441" t="s">
        <v>38</v>
      </c>
      <c r="X1441" t="s">
        <v>83</v>
      </c>
    </row>
    <row r="1442" spans="1:24" x14ac:dyDescent="0.3">
      <c r="A1442" t="s">
        <v>2718</v>
      </c>
      <c r="B1442" t="s">
        <v>71</v>
      </c>
      <c r="C1442" t="s">
        <v>72</v>
      </c>
      <c r="D1442" t="str">
        <f t="shared" si="66"/>
        <v>Morning</v>
      </c>
      <c r="E1442">
        <f>HOUR(EV_Data[[#This Row],[Charging Start Time]])</f>
        <v>0</v>
      </c>
      <c r="F1442" s="1">
        <v>44987</v>
      </c>
      <c r="G1442" s="1">
        <v>44987.031944444447</v>
      </c>
      <c r="H1442">
        <v>46</v>
      </c>
      <c r="I1442">
        <v>49.28</v>
      </c>
      <c r="J1442" t="str">
        <f t="shared" si="67"/>
        <v>Medium</v>
      </c>
      <c r="K1442" t="s">
        <v>50</v>
      </c>
      <c r="L1442">
        <v>66</v>
      </c>
      <c r="M1442">
        <v>78</v>
      </c>
      <c r="N1442" t="str">
        <f t="shared" si="68"/>
        <v>High Cost</v>
      </c>
      <c r="O1442">
        <v>19.190000000000001</v>
      </c>
      <c r="P1442" t="s">
        <v>43</v>
      </c>
      <c r="Q1442" t="s">
        <v>48</v>
      </c>
      <c r="R1442" t="s">
        <v>25</v>
      </c>
      <c r="S1442" t="s">
        <v>723</v>
      </c>
      <c r="T1442" t="s">
        <v>27</v>
      </c>
      <c r="U1442">
        <v>69</v>
      </c>
      <c r="V1442">
        <v>2.8</v>
      </c>
      <c r="W1442" t="s">
        <v>47</v>
      </c>
      <c r="X1442" t="s">
        <v>29</v>
      </c>
    </row>
    <row r="1443" spans="1:24" x14ac:dyDescent="0.3">
      <c r="A1443" t="s">
        <v>2719</v>
      </c>
      <c r="B1443" t="s">
        <v>30</v>
      </c>
      <c r="C1443" t="s">
        <v>102</v>
      </c>
      <c r="D1443" t="str">
        <f t="shared" si="66"/>
        <v>Morning</v>
      </c>
      <c r="E1443">
        <f>HOUR(EV_Data[[#This Row],[Charging Start Time]])</f>
        <v>1</v>
      </c>
      <c r="F1443" s="1">
        <v>44987.041666666664</v>
      </c>
      <c r="G1443" s="1">
        <v>44987.063194444447</v>
      </c>
      <c r="H1443">
        <v>31</v>
      </c>
      <c r="I1443">
        <v>27.24</v>
      </c>
      <c r="J1443" t="str">
        <f t="shared" si="67"/>
        <v>Medium</v>
      </c>
      <c r="K1443" t="s">
        <v>55</v>
      </c>
      <c r="L1443">
        <v>58</v>
      </c>
      <c r="M1443">
        <v>95</v>
      </c>
      <c r="N1443" t="str">
        <f t="shared" si="68"/>
        <v>Low Cost</v>
      </c>
      <c r="O1443">
        <v>6.91</v>
      </c>
      <c r="P1443" t="s">
        <v>33</v>
      </c>
      <c r="Q1443" t="s">
        <v>34</v>
      </c>
      <c r="R1443" t="s">
        <v>35</v>
      </c>
      <c r="S1443" t="s">
        <v>960</v>
      </c>
      <c r="T1443" t="s">
        <v>60</v>
      </c>
      <c r="U1443">
        <v>56</v>
      </c>
      <c r="V1443">
        <v>2.7</v>
      </c>
      <c r="W1443" t="s">
        <v>47</v>
      </c>
      <c r="X1443" t="s">
        <v>29</v>
      </c>
    </row>
    <row r="1444" spans="1:24" x14ac:dyDescent="0.3">
      <c r="A1444" t="s">
        <v>2720</v>
      </c>
      <c r="B1444" t="s">
        <v>30</v>
      </c>
      <c r="C1444" t="s">
        <v>102</v>
      </c>
      <c r="D1444" t="str">
        <f t="shared" si="66"/>
        <v>Morning</v>
      </c>
      <c r="E1444">
        <f>HOUR(EV_Data[[#This Row],[Charging Start Time]])</f>
        <v>2</v>
      </c>
      <c r="F1444" s="1">
        <v>44987.083333333336</v>
      </c>
      <c r="G1444" s="1">
        <v>44987.15</v>
      </c>
      <c r="H1444">
        <v>96</v>
      </c>
      <c r="I1444">
        <v>31.7</v>
      </c>
      <c r="J1444" t="str">
        <f t="shared" si="67"/>
        <v>Medium</v>
      </c>
      <c r="K1444" t="s">
        <v>22</v>
      </c>
      <c r="L1444">
        <v>67</v>
      </c>
      <c r="M1444">
        <v>100</v>
      </c>
      <c r="N1444" t="str">
        <f t="shared" si="68"/>
        <v>Medium Cost</v>
      </c>
      <c r="O1444">
        <v>12.71</v>
      </c>
      <c r="P1444" t="s">
        <v>43</v>
      </c>
      <c r="Q1444" t="s">
        <v>24</v>
      </c>
      <c r="R1444" t="s">
        <v>25</v>
      </c>
      <c r="S1444" t="s">
        <v>965</v>
      </c>
      <c r="T1444" t="s">
        <v>37</v>
      </c>
      <c r="U1444">
        <v>99</v>
      </c>
      <c r="V1444">
        <v>4.2</v>
      </c>
      <c r="W1444" t="s">
        <v>47</v>
      </c>
      <c r="X1444" t="s">
        <v>29</v>
      </c>
    </row>
    <row r="1445" spans="1:24" x14ac:dyDescent="0.3">
      <c r="A1445" t="s">
        <v>2721</v>
      </c>
      <c r="B1445" t="s">
        <v>126</v>
      </c>
      <c r="C1445" t="s">
        <v>31</v>
      </c>
      <c r="D1445" t="str">
        <f t="shared" si="66"/>
        <v>Morning</v>
      </c>
      <c r="E1445">
        <f>HOUR(EV_Data[[#This Row],[Charging Start Time]])</f>
        <v>3</v>
      </c>
      <c r="F1445" s="1">
        <v>44987.125</v>
      </c>
      <c r="G1445" s="1">
        <v>44987.142361111109</v>
      </c>
      <c r="H1445">
        <v>25</v>
      </c>
      <c r="I1445">
        <v>18.59</v>
      </c>
      <c r="J1445" t="str">
        <f t="shared" si="67"/>
        <v>Low</v>
      </c>
      <c r="K1445" t="s">
        <v>32</v>
      </c>
      <c r="L1445">
        <v>80</v>
      </c>
      <c r="M1445">
        <v>100</v>
      </c>
      <c r="N1445" t="str">
        <f t="shared" si="68"/>
        <v>Low Cost</v>
      </c>
      <c r="O1445">
        <v>3.75</v>
      </c>
      <c r="P1445" t="s">
        <v>33</v>
      </c>
      <c r="Q1445" t="s">
        <v>48</v>
      </c>
      <c r="R1445" t="s">
        <v>35</v>
      </c>
      <c r="S1445" t="s">
        <v>1055</v>
      </c>
      <c r="T1445" t="s">
        <v>46</v>
      </c>
      <c r="U1445">
        <v>21</v>
      </c>
      <c r="V1445">
        <v>2.2000000000000002</v>
      </c>
      <c r="W1445" t="s">
        <v>38</v>
      </c>
      <c r="X1445" t="s">
        <v>85</v>
      </c>
    </row>
    <row r="1446" spans="1:24" x14ac:dyDescent="0.3">
      <c r="A1446" t="s">
        <v>2722</v>
      </c>
      <c r="B1446" t="s">
        <v>126</v>
      </c>
      <c r="C1446" t="s">
        <v>31</v>
      </c>
      <c r="D1446" t="str">
        <f t="shared" si="66"/>
        <v>Morning</v>
      </c>
      <c r="E1446">
        <f>HOUR(EV_Data[[#This Row],[Charging Start Time]])</f>
        <v>4</v>
      </c>
      <c r="F1446" s="1">
        <v>44987.166666666664</v>
      </c>
      <c r="G1446" s="1">
        <v>44987.217361111107</v>
      </c>
      <c r="H1446">
        <v>73</v>
      </c>
      <c r="I1446">
        <v>31.43</v>
      </c>
      <c r="J1446" t="str">
        <f t="shared" si="67"/>
        <v>Medium</v>
      </c>
      <c r="K1446" t="s">
        <v>22</v>
      </c>
      <c r="L1446">
        <v>37</v>
      </c>
      <c r="M1446">
        <v>52</v>
      </c>
      <c r="N1446" t="str">
        <f t="shared" si="68"/>
        <v>Medium Cost</v>
      </c>
      <c r="O1446">
        <v>10.92</v>
      </c>
      <c r="P1446" t="s">
        <v>51</v>
      </c>
      <c r="Q1446" t="s">
        <v>34</v>
      </c>
      <c r="R1446" t="s">
        <v>56</v>
      </c>
      <c r="S1446" t="s">
        <v>500</v>
      </c>
      <c r="T1446" t="s">
        <v>27</v>
      </c>
      <c r="U1446">
        <v>64</v>
      </c>
      <c r="V1446">
        <v>3.4</v>
      </c>
      <c r="W1446" t="s">
        <v>38</v>
      </c>
      <c r="X1446" t="s">
        <v>83</v>
      </c>
    </row>
    <row r="1447" spans="1:24" x14ac:dyDescent="0.3">
      <c r="A1447" t="s">
        <v>2723</v>
      </c>
      <c r="B1447" t="s">
        <v>71</v>
      </c>
      <c r="C1447" t="s">
        <v>72</v>
      </c>
      <c r="D1447" t="str">
        <f t="shared" si="66"/>
        <v>Morning</v>
      </c>
      <c r="E1447">
        <f>HOUR(EV_Data[[#This Row],[Charging Start Time]])</f>
        <v>5</v>
      </c>
      <c r="F1447" s="1">
        <v>44987.208333333336</v>
      </c>
      <c r="G1447" s="1">
        <v>44987.288888888892</v>
      </c>
      <c r="H1447">
        <v>116</v>
      </c>
      <c r="I1447">
        <v>35.08</v>
      </c>
      <c r="J1447" t="str">
        <f t="shared" si="67"/>
        <v>Medium</v>
      </c>
      <c r="K1447" t="s">
        <v>22</v>
      </c>
      <c r="L1447">
        <v>74</v>
      </c>
      <c r="M1447">
        <v>93</v>
      </c>
      <c r="N1447" t="str">
        <f t="shared" si="68"/>
        <v>Medium Cost</v>
      </c>
      <c r="O1447">
        <v>14.56</v>
      </c>
      <c r="P1447" t="s">
        <v>23</v>
      </c>
      <c r="Q1447" t="s">
        <v>58</v>
      </c>
      <c r="R1447" t="s">
        <v>35</v>
      </c>
      <c r="S1447" t="s">
        <v>190</v>
      </c>
      <c r="T1447" t="s">
        <v>46</v>
      </c>
      <c r="U1447">
        <v>81</v>
      </c>
      <c r="V1447">
        <v>1.1000000000000001</v>
      </c>
      <c r="W1447" t="s">
        <v>47</v>
      </c>
      <c r="X1447" t="s">
        <v>29</v>
      </c>
    </row>
    <row r="1448" spans="1:24" x14ac:dyDescent="0.3">
      <c r="A1448" t="s">
        <v>2724</v>
      </c>
      <c r="B1448" t="s">
        <v>20</v>
      </c>
      <c r="C1448" t="s">
        <v>21</v>
      </c>
      <c r="D1448" t="str">
        <f t="shared" si="66"/>
        <v>Morning</v>
      </c>
      <c r="E1448">
        <f>HOUR(EV_Data[[#This Row],[Charging Start Time]])</f>
        <v>6</v>
      </c>
      <c r="F1448" s="1">
        <v>44987.25</v>
      </c>
      <c r="G1448" s="1">
        <v>44987.286111111112</v>
      </c>
      <c r="H1448">
        <v>52</v>
      </c>
      <c r="I1448">
        <v>23.59</v>
      </c>
      <c r="J1448" t="str">
        <f t="shared" si="67"/>
        <v>Medium</v>
      </c>
      <c r="K1448" t="s">
        <v>32</v>
      </c>
      <c r="L1448">
        <v>58</v>
      </c>
      <c r="M1448">
        <v>84</v>
      </c>
      <c r="N1448" t="str">
        <f t="shared" si="68"/>
        <v>Medium Cost</v>
      </c>
      <c r="O1448">
        <v>9.42</v>
      </c>
      <c r="P1448" t="s">
        <v>51</v>
      </c>
      <c r="Q1448" t="s">
        <v>24</v>
      </c>
      <c r="R1448" t="s">
        <v>25</v>
      </c>
      <c r="S1448" t="s">
        <v>1056</v>
      </c>
      <c r="T1448" t="s">
        <v>37</v>
      </c>
      <c r="U1448">
        <v>15</v>
      </c>
      <c r="V1448">
        <v>2.2000000000000002</v>
      </c>
      <c r="W1448" t="s">
        <v>38</v>
      </c>
      <c r="X1448" t="s">
        <v>62</v>
      </c>
    </row>
    <row r="1449" spans="1:24" x14ac:dyDescent="0.3">
      <c r="A1449" t="s">
        <v>2725</v>
      </c>
      <c r="B1449" t="s">
        <v>71</v>
      </c>
      <c r="C1449" t="s">
        <v>72</v>
      </c>
      <c r="D1449" t="str">
        <f t="shared" si="66"/>
        <v>Morning</v>
      </c>
      <c r="E1449">
        <f>HOUR(EV_Data[[#This Row],[Charging Start Time]])</f>
        <v>7</v>
      </c>
      <c r="F1449" s="1">
        <v>44987.291666666664</v>
      </c>
      <c r="G1449" s="1">
        <v>44987.331250000003</v>
      </c>
      <c r="H1449">
        <v>57</v>
      </c>
      <c r="I1449">
        <v>48.24</v>
      </c>
      <c r="J1449" t="str">
        <f t="shared" si="67"/>
        <v>Medium</v>
      </c>
      <c r="K1449" t="s">
        <v>22</v>
      </c>
      <c r="L1449">
        <v>65</v>
      </c>
      <c r="M1449">
        <v>90</v>
      </c>
      <c r="N1449" t="str">
        <f t="shared" si="68"/>
        <v>High Cost</v>
      </c>
      <c r="O1449">
        <v>19.690000000000001</v>
      </c>
      <c r="P1449" t="s">
        <v>23</v>
      </c>
      <c r="Q1449" t="s">
        <v>34</v>
      </c>
      <c r="R1449" t="s">
        <v>25</v>
      </c>
      <c r="S1449" t="s">
        <v>1057</v>
      </c>
      <c r="T1449" t="s">
        <v>60</v>
      </c>
      <c r="U1449">
        <v>75</v>
      </c>
      <c r="V1449">
        <v>2.7</v>
      </c>
      <c r="W1449" t="s">
        <v>47</v>
      </c>
      <c r="X1449" t="s">
        <v>29</v>
      </c>
    </row>
    <row r="1450" spans="1:24" x14ac:dyDescent="0.3">
      <c r="A1450" t="s">
        <v>2726</v>
      </c>
      <c r="B1450" t="s">
        <v>53</v>
      </c>
      <c r="C1450" t="s">
        <v>54</v>
      </c>
      <c r="D1450" t="str">
        <f t="shared" si="66"/>
        <v>Morning</v>
      </c>
      <c r="E1450">
        <f>HOUR(EV_Data[[#This Row],[Charging Start Time]])</f>
        <v>8</v>
      </c>
      <c r="F1450" s="1">
        <v>44987.333333333336</v>
      </c>
      <c r="G1450" s="1">
        <v>44987.373611111107</v>
      </c>
      <c r="H1450">
        <v>58</v>
      </c>
      <c r="I1450">
        <v>29.86</v>
      </c>
      <c r="J1450" t="str">
        <f t="shared" si="67"/>
        <v>Medium</v>
      </c>
      <c r="K1450" t="s">
        <v>50</v>
      </c>
      <c r="L1450">
        <v>17</v>
      </c>
      <c r="M1450">
        <v>29</v>
      </c>
      <c r="N1450" t="str">
        <f t="shared" si="68"/>
        <v>Medium Cost</v>
      </c>
      <c r="O1450">
        <v>12.22</v>
      </c>
      <c r="P1450" t="s">
        <v>33</v>
      </c>
      <c r="Q1450" t="s">
        <v>48</v>
      </c>
      <c r="R1450" t="s">
        <v>44</v>
      </c>
      <c r="S1450" t="s">
        <v>1058</v>
      </c>
      <c r="T1450" t="s">
        <v>46</v>
      </c>
      <c r="U1450">
        <v>79</v>
      </c>
      <c r="V1450">
        <v>1.8</v>
      </c>
      <c r="W1450" t="s">
        <v>28</v>
      </c>
      <c r="X1450" t="s">
        <v>68</v>
      </c>
    </row>
    <row r="1451" spans="1:24" x14ac:dyDescent="0.3">
      <c r="A1451" t="s">
        <v>2727</v>
      </c>
      <c r="B1451" t="s">
        <v>30</v>
      </c>
      <c r="C1451" t="s">
        <v>102</v>
      </c>
      <c r="D1451" t="str">
        <f t="shared" si="66"/>
        <v>Morning</v>
      </c>
      <c r="E1451">
        <f>HOUR(EV_Data[[#This Row],[Charging Start Time]])</f>
        <v>9</v>
      </c>
      <c r="F1451" s="1">
        <v>44987.375</v>
      </c>
      <c r="G1451" s="1">
        <v>44987.447916666657</v>
      </c>
      <c r="H1451">
        <v>105</v>
      </c>
      <c r="I1451">
        <v>43.89</v>
      </c>
      <c r="J1451" t="str">
        <f t="shared" si="67"/>
        <v>Medium</v>
      </c>
      <c r="K1451" t="s">
        <v>50</v>
      </c>
      <c r="L1451">
        <v>6</v>
      </c>
      <c r="M1451">
        <v>27</v>
      </c>
      <c r="N1451" t="str">
        <f t="shared" si="68"/>
        <v>Medium Cost</v>
      </c>
      <c r="O1451">
        <v>12.94</v>
      </c>
      <c r="P1451" t="s">
        <v>33</v>
      </c>
      <c r="Q1451" t="s">
        <v>34</v>
      </c>
      <c r="R1451" t="s">
        <v>35</v>
      </c>
      <c r="S1451" t="s">
        <v>327</v>
      </c>
      <c r="T1451" t="s">
        <v>60</v>
      </c>
      <c r="U1451">
        <v>12</v>
      </c>
      <c r="V1451">
        <v>3.6</v>
      </c>
      <c r="W1451" t="s">
        <v>47</v>
      </c>
      <c r="X1451" t="s">
        <v>29</v>
      </c>
    </row>
    <row r="1452" spans="1:24" x14ac:dyDescent="0.3">
      <c r="A1452" t="s">
        <v>2728</v>
      </c>
      <c r="B1452" t="s">
        <v>40</v>
      </c>
      <c r="C1452" t="s">
        <v>41</v>
      </c>
      <c r="D1452" t="str">
        <f t="shared" si="66"/>
        <v>Morning</v>
      </c>
      <c r="E1452">
        <f>HOUR(EV_Data[[#This Row],[Charging Start Time]])</f>
        <v>10</v>
      </c>
      <c r="F1452" s="1">
        <v>44987.416666666664</v>
      </c>
      <c r="G1452" s="1">
        <v>44987.46875</v>
      </c>
      <c r="H1452">
        <v>75</v>
      </c>
      <c r="I1452">
        <v>10.28</v>
      </c>
      <c r="J1452" t="str">
        <f t="shared" si="67"/>
        <v>Low</v>
      </c>
      <c r="K1452" t="s">
        <v>55</v>
      </c>
      <c r="L1452">
        <v>73</v>
      </c>
      <c r="M1452">
        <v>84</v>
      </c>
      <c r="N1452" t="str">
        <f t="shared" si="68"/>
        <v>Low Cost</v>
      </c>
      <c r="O1452">
        <v>2.13</v>
      </c>
      <c r="P1452" t="s">
        <v>64</v>
      </c>
      <c r="Q1452" t="s">
        <v>34</v>
      </c>
      <c r="R1452" t="s">
        <v>44</v>
      </c>
      <c r="S1452" t="s">
        <v>1059</v>
      </c>
      <c r="T1452" t="s">
        <v>37</v>
      </c>
      <c r="U1452">
        <v>52</v>
      </c>
      <c r="V1452">
        <v>2.1</v>
      </c>
      <c r="W1452" t="s">
        <v>47</v>
      </c>
      <c r="X1452" t="s">
        <v>29</v>
      </c>
    </row>
    <row r="1453" spans="1:24" x14ac:dyDescent="0.3">
      <c r="A1453" t="s">
        <v>2729</v>
      </c>
      <c r="B1453" t="s">
        <v>53</v>
      </c>
      <c r="C1453" t="s">
        <v>54</v>
      </c>
      <c r="D1453" t="str">
        <f t="shared" si="66"/>
        <v>Morning</v>
      </c>
      <c r="E1453">
        <f>HOUR(EV_Data[[#This Row],[Charging Start Time]])</f>
        <v>11</v>
      </c>
      <c r="F1453" s="1">
        <v>44987.458333333336</v>
      </c>
      <c r="G1453" s="1">
        <v>44987.491666666669</v>
      </c>
      <c r="H1453">
        <v>48</v>
      </c>
      <c r="I1453">
        <v>15.9</v>
      </c>
      <c r="J1453" t="str">
        <f t="shared" si="67"/>
        <v>Low</v>
      </c>
      <c r="K1453" t="s">
        <v>42</v>
      </c>
      <c r="L1453">
        <v>70</v>
      </c>
      <c r="M1453">
        <v>92</v>
      </c>
      <c r="N1453" t="str">
        <f t="shared" si="68"/>
        <v>Low Cost</v>
      </c>
      <c r="O1453">
        <v>3.65</v>
      </c>
      <c r="P1453" t="s">
        <v>43</v>
      </c>
      <c r="Q1453" t="s">
        <v>58</v>
      </c>
      <c r="R1453" t="s">
        <v>25</v>
      </c>
      <c r="S1453" t="s">
        <v>1060</v>
      </c>
      <c r="T1453" t="s">
        <v>60</v>
      </c>
      <c r="U1453">
        <v>28</v>
      </c>
      <c r="V1453">
        <v>2.7</v>
      </c>
      <c r="W1453" t="s">
        <v>28</v>
      </c>
      <c r="X1453" t="s">
        <v>68</v>
      </c>
    </row>
    <row r="1454" spans="1:24" x14ac:dyDescent="0.3">
      <c r="A1454" t="s">
        <v>2730</v>
      </c>
      <c r="B1454" t="s">
        <v>77</v>
      </c>
      <c r="C1454" t="s">
        <v>78</v>
      </c>
      <c r="D1454" t="str">
        <f t="shared" si="66"/>
        <v>Afternoon</v>
      </c>
      <c r="E1454">
        <f>HOUR(EV_Data[[#This Row],[Charging Start Time]])</f>
        <v>12</v>
      </c>
      <c r="F1454" s="1">
        <v>44987.5</v>
      </c>
      <c r="G1454" s="1">
        <v>44987.53125</v>
      </c>
      <c r="H1454">
        <v>45</v>
      </c>
      <c r="I1454">
        <v>42.31</v>
      </c>
      <c r="J1454" t="str">
        <f t="shared" si="67"/>
        <v>Medium</v>
      </c>
      <c r="K1454" t="s">
        <v>32</v>
      </c>
      <c r="L1454">
        <v>45</v>
      </c>
      <c r="M1454">
        <v>58</v>
      </c>
      <c r="N1454" t="str">
        <f t="shared" si="68"/>
        <v>Medium Cost</v>
      </c>
      <c r="O1454">
        <v>16.239999999999998</v>
      </c>
      <c r="P1454" t="s">
        <v>33</v>
      </c>
      <c r="Q1454" t="s">
        <v>58</v>
      </c>
      <c r="R1454" t="s">
        <v>44</v>
      </c>
      <c r="S1454" t="s">
        <v>1061</v>
      </c>
      <c r="T1454" t="s">
        <v>60</v>
      </c>
      <c r="U1454">
        <v>80</v>
      </c>
      <c r="V1454">
        <v>2.5</v>
      </c>
      <c r="W1454" t="s">
        <v>28</v>
      </c>
      <c r="X1454" t="s">
        <v>68</v>
      </c>
    </row>
    <row r="1455" spans="1:24" x14ac:dyDescent="0.3">
      <c r="A1455" t="s">
        <v>2731</v>
      </c>
      <c r="B1455" t="s">
        <v>77</v>
      </c>
      <c r="C1455" t="s">
        <v>78</v>
      </c>
      <c r="D1455" t="str">
        <f t="shared" si="66"/>
        <v>Afternoon</v>
      </c>
      <c r="E1455">
        <f>HOUR(EV_Data[[#This Row],[Charging Start Time]])</f>
        <v>13</v>
      </c>
      <c r="F1455" s="1">
        <v>44987.541666666664</v>
      </c>
      <c r="G1455" s="1">
        <v>44987.573611111111</v>
      </c>
      <c r="H1455">
        <v>46</v>
      </c>
      <c r="I1455">
        <v>45.41</v>
      </c>
      <c r="J1455" t="str">
        <f t="shared" si="67"/>
        <v>Medium</v>
      </c>
      <c r="K1455" t="s">
        <v>32</v>
      </c>
      <c r="L1455">
        <v>56</v>
      </c>
      <c r="M1455">
        <v>84</v>
      </c>
      <c r="N1455" t="str">
        <f t="shared" si="68"/>
        <v>Medium Cost</v>
      </c>
      <c r="O1455">
        <v>14.71</v>
      </c>
      <c r="P1455" t="s">
        <v>33</v>
      </c>
      <c r="Q1455" t="s">
        <v>58</v>
      </c>
      <c r="R1455" t="s">
        <v>25</v>
      </c>
      <c r="S1455" t="s">
        <v>749</v>
      </c>
      <c r="T1455" t="s">
        <v>60</v>
      </c>
      <c r="U1455">
        <v>82</v>
      </c>
      <c r="V1455">
        <v>4.3</v>
      </c>
      <c r="W1455" t="s">
        <v>47</v>
      </c>
      <c r="X1455" t="s">
        <v>29</v>
      </c>
    </row>
    <row r="1456" spans="1:24" x14ac:dyDescent="0.3">
      <c r="A1456" t="s">
        <v>2732</v>
      </c>
      <c r="B1456" t="s">
        <v>71</v>
      </c>
      <c r="C1456" t="s">
        <v>72</v>
      </c>
      <c r="D1456" t="str">
        <f t="shared" si="66"/>
        <v>Afternoon</v>
      </c>
      <c r="E1456">
        <f>HOUR(EV_Data[[#This Row],[Charging Start Time]])</f>
        <v>14</v>
      </c>
      <c r="F1456" s="1">
        <v>44987.583333333336</v>
      </c>
      <c r="G1456" s="1">
        <v>44987.626388888893</v>
      </c>
      <c r="H1456">
        <v>62</v>
      </c>
      <c r="I1456">
        <v>27.57</v>
      </c>
      <c r="J1456" t="str">
        <f t="shared" si="67"/>
        <v>Medium</v>
      </c>
      <c r="K1456" t="s">
        <v>69</v>
      </c>
      <c r="L1456">
        <v>16</v>
      </c>
      <c r="M1456">
        <v>52</v>
      </c>
      <c r="N1456" t="str">
        <f t="shared" si="68"/>
        <v>Medium Cost</v>
      </c>
      <c r="O1456">
        <v>8.48</v>
      </c>
      <c r="P1456" t="s">
        <v>33</v>
      </c>
      <c r="Q1456" t="s">
        <v>58</v>
      </c>
      <c r="R1456" t="s">
        <v>35</v>
      </c>
      <c r="S1456" t="s">
        <v>105</v>
      </c>
      <c r="T1456" t="s">
        <v>27</v>
      </c>
      <c r="U1456">
        <v>60</v>
      </c>
      <c r="V1456">
        <v>4.8</v>
      </c>
      <c r="W1456" t="s">
        <v>28</v>
      </c>
      <c r="X1456" t="s">
        <v>68</v>
      </c>
    </row>
    <row r="1457" spans="1:24" x14ac:dyDescent="0.3">
      <c r="A1457" t="s">
        <v>2733</v>
      </c>
      <c r="B1457" t="s">
        <v>126</v>
      </c>
      <c r="C1457" t="s">
        <v>31</v>
      </c>
      <c r="D1457" t="str">
        <f t="shared" si="66"/>
        <v>Afternoon</v>
      </c>
      <c r="E1457">
        <f>HOUR(EV_Data[[#This Row],[Charging Start Time]])</f>
        <v>15</v>
      </c>
      <c r="F1457" s="1">
        <v>44987.625</v>
      </c>
      <c r="G1457" s="1">
        <v>44987.64166666667</v>
      </c>
      <c r="H1457">
        <v>24</v>
      </c>
      <c r="I1457">
        <v>6.45</v>
      </c>
      <c r="J1457" t="str">
        <f t="shared" si="67"/>
        <v>Low</v>
      </c>
      <c r="K1457" t="s">
        <v>55</v>
      </c>
      <c r="L1457">
        <v>20</v>
      </c>
      <c r="M1457">
        <v>47</v>
      </c>
      <c r="N1457" t="str">
        <f t="shared" si="68"/>
        <v>Low Cost</v>
      </c>
      <c r="O1457">
        <v>1.63</v>
      </c>
      <c r="P1457" t="s">
        <v>51</v>
      </c>
      <c r="Q1457" t="s">
        <v>48</v>
      </c>
      <c r="R1457" t="s">
        <v>35</v>
      </c>
      <c r="S1457" t="s">
        <v>1062</v>
      </c>
      <c r="T1457" t="s">
        <v>37</v>
      </c>
      <c r="U1457">
        <v>88</v>
      </c>
      <c r="V1457">
        <v>4.4000000000000004</v>
      </c>
      <c r="W1457" t="s">
        <v>47</v>
      </c>
      <c r="X1457" t="s">
        <v>29</v>
      </c>
    </row>
    <row r="1458" spans="1:24" x14ac:dyDescent="0.3">
      <c r="A1458" t="s">
        <v>2734</v>
      </c>
      <c r="B1458" t="s">
        <v>40</v>
      </c>
      <c r="C1458" t="s">
        <v>41</v>
      </c>
      <c r="D1458" t="str">
        <f t="shared" si="66"/>
        <v>Afternoon</v>
      </c>
      <c r="E1458">
        <f>HOUR(EV_Data[[#This Row],[Charging Start Time]])</f>
        <v>16</v>
      </c>
      <c r="F1458" s="1">
        <v>44987.666666666664</v>
      </c>
      <c r="G1458" s="1">
        <v>44987.677083333343</v>
      </c>
      <c r="H1458">
        <v>15</v>
      </c>
      <c r="I1458">
        <v>20.93</v>
      </c>
      <c r="J1458" t="str">
        <f t="shared" si="67"/>
        <v>Medium</v>
      </c>
      <c r="K1458" t="s">
        <v>69</v>
      </c>
      <c r="L1458">
        <v>22</v>
      </c>
      <c r="M1458">
        <v>33</v>
      </c>
      <c r="N1458" t="str">
        <f t="shared" si="68"/>
        <v>Low Cost</v>
      </c>
      <c r="O1458">
        <v>4.24</v>
      </c>
      <c r="P1458" t="s">
        <v>33</v>
      </c>
      <c r="Q1458" t="s">
        <v>24</v>
      </c>
      <c r="R1458" t="s">
        <v>56</v>
      </c>
      <c r="S1458" t="s">
        <v>521</v>
      </c>
      <c r="T1458" t="s">
        <v>60</v>
      </c>
      <c r="U1458">
        <v>67</v>
      </c>
      <c r="V1458">
        <v>2.9</v>
      </c>
      <c r="W1458" t="s">
        <v>38</v>
      </c>
      <c r="X1458" t="s">
        <v>85</v>
      </c>
    </row>
    <row r="1459" spans="1:24" x14ac:dyDescent="0.3">
      <c r="A1459" t="s">
        <v>2735</v>
      </c>
      <c r="B1459" t="s">
        <v>53</v>
      </c>
      <c r="C1459" t="s">
        <v>54</v>
      </c>
      <c r="D1459" t="str">
        <f t="shared" si="66"/>
        <v>Evening</v>
      </c>
      <c r="E1459">
        <f>HOUR(EV_Data[[#This Row],[Charging Start Time]])</f>
        <v>17</v>
      </c>
      <c r="F1459" s="1">
        <v>44987.708333333336</v>
      </c>
      <c r="G1459" s="1">
        <v>44987.757638888892</v>
      </c>
      <c r="H1459">
        <v>71</v>
      </c>
      <c r="I1459">
        <v>49.93</v>
      </c>
      <c r="J1459" t="str">
        <f t="shared" si="67"/>
        <v>Medium</v>
      </c>
      <c r="K1459" t="s">
        <v>50</v>
      </c>
      <c r="L1459">
        <v>35</v>
      </c>
      <c r="M1459">
        <v>59</v>
      </c>
      <c r="N1459" t="str">
        <f t="shared" si="68"/>
        <v>Medium Cost</v>
      </c>
      <c r="O1459">
        <v>13.09</v>
      </c>
      <c r="P1459" t="s">
        <v>64</v>
      </c>
      <c r="Q1459" t="s">
        <v>24</v>
      </c>
      <c r="R1459" t="s">
        <v>25</v>
      </c>
      <c r="S1459" t="s">
        <v>1063</v>
      </c>
      <c r="T1459" t="s">
        <v>37</v>
      </c>
      <c r="U1459">
        <v>21</v>
      </c>
      <c r="V1459">
        <v>1.6</v>
      </c>
      <c r="W1459" t="s">
        <v>28</v>
      </c>
      <c r="X1459" t="s">
        <v>68</v>
      </c>
    </row>
    <row r="1460" spans="1:24" x14ac:dyDescent="0.3">
      <c r="A1460" t="s">
        <v>2736</v>
      </c>
      <c r="B1460" t="s">
        <v>20</v>
      </c>
      <c r="C1460" t="s">
        <v>21</v>
      </c>
      <c r="D1460" t="str">
        <f t="shared" si="66"/>
        <v>Evening</v>
      </c>
      <c r="E1460">
        <f>HOUR(EV_Data[[#This Row],[Charging Start Time]])</f>
        <v>18</v>
      </c>
      <c r="F1460" s="1">
        <v>44987.75</v>
      </c>
      <c r="G1460" s="1">
        <v>44987.750694444447</v>
      </c>
      <c r="H1460">
        <v>1</v>
      </c>
      <c r="I1460">
        <v>47.64</v>
      </c>
      <c r="J1460" t="str">
        <f t="shared" si="67"/>
        <v>Medium</v>
      </c>
      <c r="K1460" t="s">
        <v>50</v>
      </c>
      <c r="L1460">
        <v>60</v>
      </c>
      <c r="M1460">
        <v>72</v>
      </c>
      <c r="N1460" t="str">
        <f t="shared" si="68"/>
        <v>High Cost</v>
      </c>
      <c r="O1460">
        <v>23.7</v>
      </c>
      <c r="P1460" t="s">
        <v>51</v>
      </c>
      <c r="Q1460" t="s">
        <v>58</v>
      </c>
      <c r="R1460" t="s">
        <v>25</v>
      </c>
      <c r="S1460" t="s">
        <v>180</v>
      </c>
      <c r="T1460" t="s">
        <v>46</v>
      </c>
      <c r="U1460">
        <v>33</v>
      </c>
      <c r="V1460">
        <v>2</v>
      </c>
      <c r="W1460" t="s">
        <v>28</v>
      </c>
      <c r="X1460" t="s">
        <v>68</v>
      </c>
    </row>
    <row r="1461" spans="1:24" x14ac:dyDescent="0.3">
      <c r="A1461" t="s">
        <v>2737</v>
      </c>
      <c r="B1461" t="s">
        <v>77</v>
      </c>
      <c r="C1461" t="s">
        <v>78</v>
      </c>
      <c r="D1461" t="str">
        <f t="shared" si="66"/>
        <v>Evening</v>
      </c>
      <c r="E1461">
        <f>HOUR(EV_Data[[#This Row],[Charging Start Time]])</f>
        <v>19</v>
      </c>
      <c r="F1461" s="1">
        <v>44987.791666666664</v>
      </c>
      <c r="G1461" s="1">
        <v>44987.824305555558</v>
      </c>
      <c r="H1461">
        <v>47</v>
      </c>
      <c r="I1461">
        <v>22.29</v>
      </c>
      <c r="J1461" t="str">
        <f t="shared" si="67"/>
        <v>Medium</v>
      </c>
      <c r="K1461" t="s">
        <v>32</v>
      </c>
      <c r="L1461">
        <v>48</v>
      </c>
      <c r="M1461">
        <v>68</v>
      </c>
      <c r="N1461" t="str">
        <f t="shared" si="68"/>
        <v>Medium Cost</v>
      </c>
      <c r="O1461">
        <v>8.19</v>
      </c>
      <c r="P1461" t="s">
        <v>51</v>
      </c>
      <c r="Q1461" t="s">
        <v>24</v>
      </c>
      <c r="R1461" t="s">
        <v>35</v>
      </c>
      <c r="S1461" t="s">
        <v>944</v>
      </c>
      <c r="T1461" t="s">
        <v>60</v>
      </c>
      <c r="U1461">
        <v>2</v>
      </c>
      <c r="V1461">
        <v>3.1</v>
      </c>
      <c r="W1461" t="s">
        <v>47</v>
      </c>
      <c r="X1461" t="s">
        <v>29</v>
      </c>
    </row>
    <row r="1462" spans="1:24" x14ac:dyDescent="0.3">
      <c r="A1462" t="s">
        <v>2738</v>
      </c>
      <c r="B1462" t="s">
        <v>71</v>
      </c>
      <c r="C1462" t="s">
        <v>72</v>
      </c>
      <c r="D1462" t="str">
        <f t="shared" si="66"/>
        <v>Evening</v>
      </c>
      <c r="E1462">
        <f>HOUR(EV_Data[[#This Row],[Charging Start Time]])</f>
        <v>20</v>
      </c>
      <c r="F1462" s="1">
        <v>44987.833333333336</v>
      </c>
      <c r="G1462" s="1">
        <v>44987.863888888889</v>
      </c>
      <c r="H1462">
        <v>44</v>
      </c>
      <c r="I1462">
        <v>33.19</v>
      </c>
      <c r="J1462" t="str">
        <f t="shared" si="67"/>
        <v>Medium</v>
      </c>
      <c r="K1462" t="s">
        <v>22</v>
      </c>
      <c r="L1462">
        <v>77</v>
      </c>
      <c r="M1462">
        <v>100</v>
      </c>
      <c r="N1462" t="str">
        <f t="shared" si="68"/>
        <v>Medium Cost</v>
      </c>
      <c r="O1462">
        <v>15.8</v>
      </c>
      <c r="P1462" t="s">
        <v>64</v>
      </c>
      <c r="Q1462" t="s">
        <v>58</v>
      </c>
      <c r="R1462" t="s">
        <v>25</v>
      </c>
      <c r="S1462" t="s">
        <v>224</v>
      </c>
      <c r="T1462" t="s">
        <v>60</v>
      </c>
      <c r="U1462">
        <v>32</v>
      </c>
      <c r="V1462">
        <v>3</v>
      </c>
      <c r="W1462" t="s">
        <v>28</v>
      </c>
      <c r="X1462" t="s">
        <v>68</v>
      </c>
    </row>
    <row r="1463" spans="1:24" x14ac:dyDescent="0.3">
      <c r="A1463" t="s">
        <v>2739</v>
      </c>
      <c r="B1463" t="s">
        <v>40</v>
      </c>
      <c r="C1463" t="s">
        <v>41</v>
      </c>
      <c r="D1463" t="str">
        <f t="shared" si="66"/>
        <v>Evening</v>
      </c>
      <c r="E1463">
        <f>HOUR(EV_Data[[#This Row],[Charging Start Time]])</f>
        <v>21</v>
      </c>
      <c r="F1463" s="1">
        <v>44987.875</v>
      </c>
      <c r="G1463" s="1">
        <v>44987.966666666667</v>
      </c>
      <c r="H1463">
        <v>132</v>
      </c>
      <c r="I1463">
        <v>31.05</v>
      </c>
      <c r="J1463" t="str">
        <f t="shared" si="67"/>
        <v>Medium</v>
      </c>
      <c r="K1463" t="s">
        <v>50</v>
      </c>
      <c r="L1463">
        <v>33</v>
      </c>
      <c r="M1463">
        <v>54</v>
      </c>
      <c r="N1463" t="str">
        <f t="shared" si="68"/>
        <v>Medium Cost</v>
      </c>
      <c r="O1463">
        <v>9.56</v>
      </c>
      <c r="P1463" t="s">
        <v>43</v>
      </c>
      <c r="Q1463" t="s">
        <v>48</v>
      </c>
      <c r="R1463" t="s">
        <v>25</v>
      </c>
      <c r="S1463" t="s">
        <v>1064</v>
      </c>
      <c r="T1463" t="s">
        <v>46</v>
      </c>
      <c r="U1463">
        <v>51</v>
      </c>
      <c r="V1463">
        <v>3.1</v>
      </c>
      <c r="W1463" t="s">
        <v>47</v>
      </c>
      <c r="X1463" t="s">
        <v>29</v>
      </c>
    </row>
    <row r="1464" spans="1:24" x14ac:dyDescent="0.3">
      <c r="A1464" t="s">
        <v>2740</v>
      </c>
      <c r="B1464" t="s">
        <v>71</v>
      </c>
      <c r="C1464" t="s">
        <v>72</v>
      </c>
      <c r="D1464" t="str">
        <f t="shared" si="66"/>
        <v>Evening</v>
      </c>
      <c r="E1464">
        <f>HOUR(EV_Data[[#This Row],[Charging Start Time]])</f>
        <v>22</v>
      </c>
      <c r="F1464" s="1">
        <v>44987.916666666664</v>
      </c>
      <c r="G1464" s="1">
        <v>44987.957638888889</v>
      </c>
      <c r="H1464">
        <v>59</v>
      </c>
      <c r="I1464">
        <v>32.380000000000003</v>
      </c>
      <c r="J1464" t="str">
        <f t="shared" si="67"/>
        <v>Medium</v>
      </c>
      <c r="K1464" t="s">
        <v>42</v>
      </c>
      <c r="L1464">
        <v>59</v>
      </c>
      <c r="M1464">
        <v>71</v>
      </c>
      <c r="N1464" t="str">
        <f t="shared" si="68"/>
        <v>Medium Cost</v>
      </c>
      <c r="O1464">
        <v>11.82</v>
      </c>
      <c r="P1464" t="s">
        <v>43</v>
      </c>
      <c r="Q1464" t="s">
        <v>48</v>
      </c>
      <c r="R1464" t="s">
        <v>56</v>
      </c>
      <c r="S1464" t="s">
        <v>969</v>
      </c>
      <c r="T1464" t="s">
        <v>37</v>
      </c>
      <c r="U1464">
        <v>30</v>
      </c>
      <c r="V1464">
        <v>4.5</v>
      </c>
      <c r="W1464" t="s">
        <v>47</v>
      </c>
      <c r="X1464" t="s">
        <v>29</v>
      </c>
    </row>
    <row r="1465" spans="1:24" x14ac:dyDescent="0.3">
      <c r="A1465" t="s">
        <v>2741</v>
      </c>
      <c r="B1465" t="s">
        <v>77</v>
      </c>
      <c r="C1465" t="s">
        <v>78</v>
      </c>
      <c r="D1465" t="str">
        <f t="shared" si="66"/>
        <v>Evening</v>
      </c>
      <c r="E1465">
        <f>HOUR(EV_Data[[#This Row],[Charging Start Time]])</f>
        <v>23</v>
      </c>
      <c r="F1465" s="1">
        <v>44987.958333333336</v>
      </c>
      <c r="G1465" s="1">
        <v>44988.011805555558</v>
      </c>
      <c r="H1465">
        <v>77</v>
      </c>
      <c r="I1465">
        <v>11.3</v>
      </c>
      <c r="J1465" t="str">
        <f t="shared" si="67"/>
        <v>Low</v>
      </c>
      <c r="K1465" t="s">
        <v>22</v>
      </c>
      <c r="L1465">
        <v>50</v>
      </c>
      <c r="M1465">
        <v>66</v>
      </c>
      <c r="N1465" t="str">
        <f t="shared" si="68"/>
        <v>Low Cost</v>
      </c>
      <c r="O1465">
        <v>5.38</v>
      </c>
      <c r="P1465" t="s">
        <v>23</v>
      </c>
      <c r="Q1465" t="s">
        <v>58</v>
      </c>
      <c r="R1465" t="s">
        <v>35</v>
      </c>
      <c r="S1465" t="s">
        <v>401</v>
      </c>
      <c r="T1465" t="s">
        <v>27</v>
      </c>
      <c r="U1465">
        <v>9</v>
      </c>
      <c r="V1465">
        <v>2.5</v>
      </c>
      <c r="W1465" t="s">
        <v>28</v>
      </c>
      <c r="X1465" t="s">
        <v>68</v>
      </c>
    </row>
    <row r="1466" spans="1:24" x14ac:dyDescent="0.3">
      <c r="A1466" t="s">
        <v>2742</v>
      </c>
      <c r="B1466" t="s">
        <v>92</v>
      </c>
      <c r="C1466" t="s">
        <v>93</v>
      </c>
      <c r="D1466" t="str">
        <f t="shared" si="66"/>
        <v>Morning</v>
      </c>
      <c r="E1466">
        <f>HOUR(EV_Data[[#This Row],[Charging Start Time]])</f>
        <v>0</v>
      </c>
      <c r="F1466" s="1">
        <v>44988</v>
      </c>
      <c r="G1466" s="1">
        <v>44988.040972222218</v>
      </c>
      <c r="H1466">
        <v>59</v>
      </c>
      <c r="I1466">
        <v>25.5</v>
      </c>
      <c r="J1466" t="str">
        <f t="shared" si="67"/>
        <v>Medium</v>
      </c>
      <c r="K1466" t="s">
        <v>55</v>
      </c>
      <c r="L1466">
        <v>56</v>
      </c>
      <c r="M1466">
        <v>77</v>
      </c>
      <c r="N1466" t="str">
        <f t="shared" si="68"/>
        <v>Medium Cost</v>
      </c>
      <c r="O1466">
        <v>12.3</v>
      </c>
      <c r="P1466" t="s">
        <v>23</v>
      </c>
      <c r="Q1466" t="s">
        <v>34</v>
      </c>
      <c r="R1466" t="s">
        <v>44</v>
      </c>
      <c r="S1466" t="s">
        <v>316</v>
      </c>
      <c r="T1466" t="s">
        <v>46</v>
      </c>
      <c r="U1466">
        <v>53</v>
      </c>
      <c r="V1466">
        <v>2.1</v>
      </c>
      <c r="W1466" t="s">
        <v>38</v>
      </c>
      <c r="X1466" t="s">
        <v>83</v>
      </c>
    </row>
    <row r="1467" spans="1:24" x14ac:dyDescent="0.3">
      <c r="A1467" t="s">
        <v>2743</v>
      </c>
      <c r="B1467" t="s">
        <v>53</v>
      </c>
      <c r="C1467" t="s">
        <v>54</v>
      </c>
      <c r="D1467" t="str">
        <f t="shared" si="66"/>
        <v>Morning</v>
      </c>
      <c r="E1467">
        <f>HOUR(EV_Data[[#This Row],[Charging Start Time]])</f>
        <v>1</v>
      </c>
      <c r="F1467" s="1">
        <v>44988.041666666664</v>
      </c>
      <c r="G1467" s="1">
        <v>44988.106944444437</v>
      </c>
      <c r="H1467">
        <v>94</v>
      </c>
      <c r="I1467">
        <v>23.98</v>
      </c>
      <c r="J1467" t="str">
        <f t="shared" si="67"/>
        <v>Medium</v>
      </c>
      <c r="K1467" t="s">
        <v>55</v>
      </c>
      <c r="L1467">
        <v>43</v>
      </c>
      <c r="M1467">
        <v>75</v>
      </c>
      <c r="N1467" t="str">
        <f t="shared" si="68"/>
        <v>Low Cost</v>
      </c>
      <c r="O1467">
        <v>7.69</v>
      </c>
      <c r="P1467" t="s">
        <v>33</v>
      </c>
      <c r="Q1467" t="s">
        <v>58</v>
      </c>
      <c r="R1467" t="s">
        <v>56</v>
      </c>
      <c r="S1467" t="s">
        <v>1065</v>
      </c>
      <c r="T1467" t="s">
        <v>27</v>
      </c>
      <c r="U1467">
        <v>2</v>
      </c>
      <c r="V1467">
        <v>1.5</v>
      </c>
      <c r="W1467" t="s">
        <v>47</v>
      </c>
      <c r="X1467" t="s">
        <v>29</v>
      </c>
    </row>
    <row r="1468" spans="1:24" x14ac:dyDescent="0.3">
      <c r="A1468" t="s">
        <v>2744</v>
      </c>
      <c r="B1468" t="s">
        <v>126</v>
      </c>
      <c r="C1468" t="s">
        <v>31</v>
      </c>
      <c r="D1468" t="str">
        <f t="shared" si="66"/>
        <v>Morning</v>
      </c>
      <c r="E1468">
        <f>HOUR(EV_Data[[#This Row],[Charging Start Time]])</f>
        <v>2</v>
      </c>
      <c r="F1468" s="1">
        <v>44988.083333333336</v>
      </c>
      <c r="G1468" s="1">
        <v>44988.094444444447</v>
      </c>
      <c r="H1468">
        <v>16</v>
      </c>
      <c r="I1468">
        <v>31.26</v>
      </c>
      <c r="J1468" t="str">
        <f t="shared" si="67"/>
        <v>Medium</v>
      </c>
      <c r="K1468" t="s">
        <v>50</v>
      </c>
      <c r="L1468">
        <v>16</v>
      </c>
      <c r="M1468">
        <v>45</v>
      </c>
      <c r="N1468" t="str">
        <f t="shared" si="68"/>
        <v>Low Cost</v>
      </c>
      <c r="O1468">
        <v>6.8</v>
      </c>
      <c r="P1468" t="s">
        <v>64</v>
      </c>
      <c r="Q1468" t="s">
        <v>48</v>
      </c>
      <c r="R1468" t="s">
        <v>35</v>
      </c>
      <c r="S1468" t="s">
        <v>1066</v>
      </c>
      <c r="T1468" t="s">
        <v>46</v>
      </c>
      <c r="U1468">
        <v>33</v>
      </c>
      <c r="V1468">
        <v>1.4</v>
      </c>
      <c r="W1468" t="s">
        <v>38</v>
      </c>
      <c r="X1468" t="s">
        <v>83</v>
      </c>
    </row>
    <row r="1469" spans="1:24" x14ac:dyDescent="0.3">
      <c r="A1469" t="s">
        <v>2745</v>
      </c>
      <c r="B1469" t="s">
        <v>40</v>
      </c>
      <c r="C1469" t="s">
        <v>41</v>
      </c>
      <c r="D1469" t="str">
        <f t="shared" si="66"/>
        <v>Morning</v>
      </c>
      <c r="E1469">
        <f>HOUR(EV_Data[[#This Row],[Charging Start Time]])</f>
        <v>3</v>
      </c>
      <c r="F1469" s="1">
        <v>44988.125</v>
      </c>
      <c r="G1469" s="1">
        <v>44988.15625</v>
      </c>
      <c r="H1469">
        <v>45</v>
      </c>
      <c r="I1469">
        <v>42.78</v>
      </c>
      <c r="J1469" t="str">
        <f t="shared" si="67"/>
        <v>Medium</v>
      </c>
      <c r="K1469" t="s">
        <v>69</v>
      </c>
      <c r="L1469">
        <v>47</v>
      </c>
      <c r="M1469">
        <v>73</v>
      </c>
      <c r="N1469" t="str">
        <f t="shared" si="68"/>
        <v>Medium Cost</v>
      </c>
      <c r="O1469">
        <v>11.88</v>
      </c>
      <c r="P1469" t="s">
        <v>33</v>
      </c>
      <c r="Q1469" t="s">
        <v>24</v>
      </c>
      <c r="R1469" t="s">
        <v>25</v>
      </c>
      <c r="S1469" t="s">
        <v>1067</v>
      </c>
      <c r="T1469" t="s">
        <v>46</v>
      </c>
      <c r="U1469">
        <v>43</v>
      </c>
      <c r="V1469">
        <v>3.1</v>
      </c>
      <c r="W1469" t="s">
        <v>47</v>
      </c>
      <c r="X1469" t="s">
        <v>29</v>
      </c>
    </row>
    <row r="1470" spans="1:24" x14ac:dyDescent="0.3">
      <c r="A1470" t="s">
        <v>2746</v>
      </c>
      <c r="B1470" t="s">
        <v>71</v>
      </c>
      <c r="C1470" t="s">
        <v>72</v>
      </c>
      <c r="D1470" t="str">
        <f t="shared" si="66"/>
        <v>Morning</v>
      </c>
      <c r="E1470">
        <f>HOUR(EV_Data[[#This Row],[Charging Start Time]])</f>
        <v>4</v>
      </c>
      <c r="F1470" s="1">
        <v>44988.166666666664</v>
      </c>
      <c r="G1470" s="1">
        <v>44988.213888888888</v>
      </c>
      <c r="H1470">
        <v>68</v>
      </c>
      <c r="I1470">
        <v>5.38</v>
      </c>
      <c r="J1470" t="str">
        <f t="shared" si="67"/>
        <v>Low</v>
      </c>
      <c r="K1470" t="s">
        <v>55</v>
      </c>
      <c r="L1470">
        <v>6</v>
      </c>
      <c r="M1470">
        <v>29</v>
      </c>
      <c r="N1470" t="str">
        <f t="shared" si="68"/>
        <v>Low Cost</v>
      </c>
      <c r="O1470">
        <v>1.4</v>
      </c>
      <c r="P1470" t="s">
        <v>23</v>
      </c>
      <c r="Q1470" t="s">
        <v>48</v>
      </c>
      <c r="R1470" t="s">
        <v>44</v>
      </c>
      <c r="S1470" t="s">
        <v>1068</v>
      </c>
      <c r="T1470" t="s">
        <v>46</v>
      </c>
      <c r="U1470">
        <v>0</v>
      </c>
      <c r="V1470">
        <v>2.4</v>
      </c>
      <c r="W1470" t="s">
        <v>28</v>
      </c>
      <c r="X1470" t="s">
        <v>68</v>
      </c>
    </row>
    <row r="1471" spans="1:24" x14ac:dyDescent="0.3">
      <c r="A1471" t="s">
        <v>2747</v>
      </c>
      <c r="B1471" t="s">
        <v>53</v>
      </c>
      <c r="C1471" t="s">
        <v>54</v>
      </c>
      <c r="D1471" t="str">
        <f t="shared" si="66"/>
        <v>Morning</v>
      </c>
      <c r="E1471">
        <f>HOUR(EV_Data[[#This Row],[Charging Start Time]])</f>
        <v>5</v>
      </c>
      <c r="F1471" s="1">
        <v>44988.208333333336</v>
      </c>
      <c r="G1471" s="1">
        <v>44988.288888888892</v>
      </c>
      <c r="H1471">
        <v>116</v>
      </c>
      <c r="I1471">
        <v>27.4</v>
      </c>
      <c r="J1471" t="str">
        <f t="shared" si="67"/>
        <v>Medium</v>
      </c>
      <c r="K1471" t="s">
        <v>55</v>
      </c>
      <c r="L1471">
        <v>68</v>
      </c>
      <c r="M1471">
        <v>97</v>
      </c>
      <c r="N1471" t="str">
        <f t="shared" si="68"/>
        <v>Low Cost</v>
      </c>
      <c r="O1471">
        <v>6.26</v>
      </c>
      <c r="P1471" t="s">
        <v>33</v>
      </c>
      <c r="Q1471" t="s">
        <v>24</v>
      </c>
      <c r="R1471" t="s">
        <v>25</v>
      </c>
      <c r="S1471" t="s">
        <v>1069</v>
      </c>
      <c r="T1471" t="s">
        <v>37</v>
      </c>
      <c r="U1471">
        <v>23</v>
      </c>
      <c r="V1471">
        <v>1.4</v>
      </c>
      <c r="W1471" t="s">
        <v>47</v>
      </c>
      <c r="X1471" t="s">
        <v>29</v>
      </c>
    </row>
    <row r="1472" spans="1:24" x14ac:dyDescent="0.3">
      <c r="A1472" t="s">
        <v>2748</v>
      </c>
      <c r="B1472" t="s">
        <v>30</v>
      </c>
      <c r="C1472" t="s">
        <v>102</v>
      </c>
      <c r="D1472" t="str">
        <f t="shared" si="66"/>
        <v>Morning</v>
      </c>
      <c r="E1472">
        <f>HOUR(EV_Data[[#This Row],[Charging Start Time]])</f>
        <v>6</v>
      </c>
      <c r="F1472" s="1">
        <v>44988.25</v>
      </c>
      <c r="G1472" s="1">
        <v>44988.326388888891</v>
      </c>
      <c r="H1472">
        <v>110</v>
      </c>
      <c r="I1472">
        <v>9.89</v>
      </c>
      <c r="J1472" t="str">
        <f t="shared" si="67"/>
        <v>Low</v>
      </c>
      <c r="K1472" t="s">
        <v>69</v>
      </c>
      <c r="L1472">
        <v>74</v>
      </c>
      <c r="M1472">
        <v>100</v>
      </c>
      <c r="N1472" t="str">
        <f t="shared" si="68"/>
        <v>Low Cost</v>
      </c>
      <c r="O1472">
        <v>3.54</v>
      </c>
      <c r="P1472" t="s">
        <v>64</v>
      </c>
      <c r="Q1472" t="s">
        <v>34</v>
      </c>
      <c r="R1472" t="s">
        <v>35</v>
      </c>
      <c r="S1472" t="s">
        <v>953</v>
      </c>
      <c r="T1472" t="s">
        <v>37</v>
      </c>
      <c r="U1472">
        <v>57</v>
      </c>
      <c r="V1472">
        <v>3.8</v>
      </c>
      <c r="W1472" t="s">
        <v>28</v>
      </c>
      <c r="X1472" t="s">
        <v>68</v>
      </c>
    </row>
    <row r="1473" spans="1:24" x14ac:dyDescent="0.3">
      <c r="A1473" t="s">
        <v>2749</v>
      </c>
      <c r="B1473" t="s">
        <v>71</v>
      </c>
      <c r="C1473" t="s">
        <v>72</v>
      </c>
      <c r="D1473" t="str">
        <f t="shared" si="66"/>
        <v>Morning</v>
      </c>
      <c r="E1473">
        <f>HOUR(EV_Data[[#This Row],[Charging Start Time]])</f>
        <v>7</v>
      </c>
      <c r="F1473" s="1">
        <v>44988.291666666664</v>
      </c>
      <c r="G1473" s="1">
        <v>44988.310416666667</v>
      </c>
      <c r="H1473">
        <v>27</v>
      </c>
      <c r="I1473">
        <v>30.86</v>
      </c>
      <c r="J1473" t="str">
        <f t="shared" si="67"/>
        <v>Medium</v>
      </c>
      <c r="K1473" t="s">
        <v>32</v>
      </c>
      <c r="L1473">
        <v>45</v>
      </c>
      <c r="M1473">
        <v>68</v>
      </c>
      <c r="N1473" t="str">
        <f t="shared" si="68"/>
        <v>Medium Cost</v>
      </c>
      <c r="O1473">
        <v>8.19</v>
      </c>
      <c r="P1473" t="s">
        <v>51</v>
      </c>
      <c r="Q1473" t="s">
        <v>58</v>
      </c>
      <c r="R1473" t="s">
        <v>25</v>
      </c>
      <c r="S1473" t="s">
        <v>777</v>
      </c>
      <c r="T1473" t="s">
        <v>46</v>
      </c>
      <c r="U1473">
        <v>62</v>
      </c>
      <c r="V1473">
        <v>3.3</v>
      </c>
      <c r="W1473" t="s">
        <v>38</v>
      </c>
      <c r="X1473" t="s">
        <v>83</v>
      </c>
    </row>
    <row r="1474" spans="1:24" x14ac:dyDescent="0.3">
      <c r="A1474" t="s">
        <v>2750</v>
      </c>
      <c r="B1474" t="s">
        <v>126</v>
      </c>
      <c r="C1474" t="s">
        <v>31</v>
      </c>
      <c r="D1474" t="str">
        <f t="shared" ref="D1474:D1537" si="69">IF(E1474&lt;12,"Morning",IF(E1474&lt;17,"Afternoon","Evening"))</f>
        <v>Morning</v>
      </c>
      <c r="E1474">
        <f>HOUR(EV_Data[[#This Row],[Charging Start Time]])</f>
        <v>8</v>
      </c>
      <c r="F1474" s="1">
        <v>44988.333333333336</v>
      </c>
      <c r="G1474" s="1">
        <v>44988.385416666657</v>
      </c>
      <c r="H1474">
        <v>75</v>
      </c>
      <c r="I1474">
        <v>33.369999999999997</v>
      </c>
      <c r="J1474" t="str">
        <f t="shared" ref="J1474:J1537" si="70">IF(I1474&lt;20,"Low",IF(I1474&lt;50,"Medium","High"))</f>
        <v>Medium</v>
      </c>
      <c r="K1474" t="s">
        <v>50</v>
      </c>
      <c r="L1474">
        <v>31</v>
      </c>
      <c r="M1474">
        <v>53</v>
      </c>
      <c r="N1474" t="str">
        <f t="shared" ref="N1474:N1537" si="71">IF(O1474&lt;8,"Low Cost",IF(O1474&lt;17,"Medium Cost","High Cost"))</f>
        <v>Medium Cost</v>
      </c>
      <c r="O1474">
        <v>9.3000000000000007</v>
      </c>
      <c r="P1474" t="s">
        <v>64</v>
      </c>
      <c r="Q1474" t="s">
        <v>48</v>
      </c>
      <c r="R1474" t="s">
        <v>25</v>
      </c>
      <c r="S1474" t="s">
        <v>1070</v>
      </c>
      <c r="T1474" t="s">
        <v>46</v>
      </c>
      <c r="U1474">
        <v>73</v>
      </c>
      <c r="V1474">
        <v>2.6</v>
      </c>
      <c r="W1474" t="s">
        <v>47</v>
      </c>
      <c r="X1474" t="s">
        <v>29</v>
      </c>
    </row>
    <row r="1475" spans="1:24" x14ac:dyDescent="0.3">
      <c r="A1475" t="s">
        <v>2751</v>
      </c>
      <c r="B1475" t="s">
        <v>30</v>
      </c>
      <c r="C1475" t="s">
        <v>102</v>
      </c>
      <c r="D1475" t="str">
        <f t="shared" si="69"/>
        <v>Morning</v>
      </c>
      <c r="E1475">
        <f>HOUR(EV_Data[[#This Row],[Charging Start Time]])</f>
        <v>9</v>
      </c>
      <c r="F1475" s="1">
        <v>44988.375</v>
      </c>
      <c r="G1475" s="1">
        <v>44988.405555555553</v>
      </c>
      <c r="H1475">
        <v>44</v>
      </c>
      <c r="I1475">
        <v>21.39</v>
      </c>
      <c r="J1475" t="str">
        <f t="shared" si="70"/>
        <v>Medium</v>
      </c>
      <c r="K1475" t="s">
        <v>22</v>
      </c>
      <c r="L1475">
        <v>29</v>
      </c>
      <c r="M1475">
        <v>49</v>
      </c>
      <c r="N1475" t="str">
        <f t="shared" si="71"/>
        <v>Low Cost</v>
      </c>
      <c r="O1475">
        <v>7.61</v>
      </c>
      <c r="P1475" t="s">
        <v>23</v>
      </c>
      <c r="Q1475" t="s">
        <v>48</v>
      </c>
      <c r="R1475" t="s">
        <v>25</v>
      </c>
      <c r="S1475" t="s">
        <v>1071</v>
      </c>
      <c r="T1475" t="s">
        <v>27</v>
      </c>
      <c r="U1475">
        <v>15</v>
      </c>
      <c r="V1475">
        <v>2.4</v>
      </c>
      <c r="W1475" t="s">
        <v>38</v>
      </c>
      <c r="X1475" t="s">
        <v>85</v>
      </c>
    </row>
    <row r="1476" spans="1:24" x14ac:dyDescent="0.3">
      <c r="A1476" t="s">
        <v>2752</v>
      </c>
      <c r="B1476" t="s">
        <v>77</v>
      </c>
      <c r="C1476" t="s">
        <v>78</v>
      </c>
      <c r="D1476" t="str">
        <f t="shared" si="69"/>
        <v>Morning</v>
      </c>
      <c r="E1476">
        <f>HOUR(EV_Data[[#This Row],[Charging Start Time]])</f>
        <v>10</v>
      </c>
      <c r="F1476" s="1">
        <v>44988.416666666664</v>
      </c>
      <c r="G1476" s="1">
        <v>44988.456944444442</v>
      </c>
      <c r="H1476">
        <v>58</v>
      </c>
      <c r="I1476">
        <v>9.5299999999999994</v>
      </c>
      <c r="J1476" t="str">
        <f t="shared" si="70"/>
        <v>Low</v>
      </c>
      <c r="K1476" t="s">
        <v>32</v>
      </c>
      <c r="L1476">
        <v>66</v>
      </c>
      <c r="M1476">
        <v>89</v>
      </c>
      <c r="N1476" t="str">
        <f t="shared" si="71"/>
        <v>Low Cost</v>
      </c>
      <c r="O1476">
        <v>4.0599999999999996</v>
      </c>
      <c r="P1476" t="s">
        <v>64</v>
      </c>
      <c r="Q1476" t="s">
        <v>48</v>
      </c>
      <c r="R1476" t="s">
        <v>56</v>
      </c>
      <c r="S1476" t="s">
        <v>1072</v>
      </c>
      <c r="T1476" t="s">
        <v>27</v>
      </c>
      <c r="U1476">
        <v>84</v>
      </c>
      <c r="V1476">
        <v>1.1000000000000001</v>
      </c>
      <c r="W1476" t="s">
        <v>28</v>
      </c>
      <c r="X1476" t="s">
        <v>68</v>
      </c>
    </row>
    <row r="1477" spans="1:24" x14ac:dyDescent="0.3">
      <c r="A1477" t="s">
        <v>2753</v>
      </c>
      <c r="B1477" t="s">
        <v>40</v>
      </c>
      <c r="C1477" t="s">
        <v>41</v>
      </c>
      <c r="D1477" t="str">
        <f t="shared" si="69"/>
        <v>Morning</v>
      </c>
      <c r="E1477">
        <f>HOUR(EV_Data[[#This Row],[Charging Start Time]])</f>
        <v>11</v>
      </c>
      <c r="F1477" s="1">
        <v>44988.458333333336</v>
      </c>
      <c r="G1477" s="1">
        <v>44988.465277777781</v>
      </c>
      <c r="H1477">
        <v>10</v>
      </c>
      <c r="I1477">
        <v>7.86</v>
      </c>
      <c r="J1477" t="str">
        <f t="shared" si="70"/>
        <v>Low</v>
      </c>
      <c r="K1477" t="s">
        <v>50</v>
      </c>
      <c r="L1477">
        <v>54</v>
      </c>
      <c r="M1477">
        <v>71</v>
      </c>
      <c r="N1477" t="str">
        <f t="shared" si="71"/>
        <v>Low Cost</v>
      </c>
      <c r="O1477">
        <v>3.5</v>
      </c>
      <c r="P1477" t="s">
        <v>33</v>
      </c>
      <c r="Q1477" t="s">
        <v>58</v>
      </c>
      <c r="R1477" t="s">
        <v>25</v>
      </c>
      <c r="S1477" t="s">
        <v>1073</v>
      </c>
      <c r="T1477" t="s">
        <v>27</v>
      </c>
      <c r="U1477">
        <v>27</v>
      </c>
      <c r="V1477">
        <v>3.9</v>
      </c>
      <c r="W1477" t="s">
        <v>47</v>
      </c>
      <c r="X1477" t="s">
        <v>29</v>
      </c>
    </row>
    <row r="1478" spans="1:24" x14ac:dyDescent="0.3">
      <c r="A1478" t="s">
        <v>2754</v>
      </c>
      <c r="B1478" t="s">
        <v>71</v>
      </c>
      <c r="C1478" t="s">
        <v>72</v>
      </c>
      <c r="D1478" t="str">
        <f t="shared" si="69"/>
        <v>Afternoon</v>
      </c>
      <c r="E1478">
        <f>HOUR(EV_Data[[#This Row],[Charging Start Time]])</f>
        <v>12</v>
      </c>
      <c r="F1478" s="1">
        <v>44988.5</v>
      </c>
      <c r="G1478" s="1">
        <v>44988.500694444447</v>
      </c>
      <c r="H1478">
        <v>1</v>
      </c>
      <c r="I1478">
        <v>46.74</v>
      </c>
      <c r="J1478" t="str">
        <f t="shared" si="70"/>
        <v>Medium</v>
      </c>
      <c r="K1478" t="s">
        <v>32</v>
      </c>
      <c r="L1478">
        <v>47</v>
      </c>
      <c r="M1478">
        <v>71</v>
      </c>
      <c r="N1478" t="str">
        <f t="shared" si="71"/>
        <v>High Cost</v>
      </c>
      <c r="O1478">
        <v>17.190000000000001</v>
      </c>
      <c r="P1478" t="s">
        <v>33</v>
      </c>
      <c r="Q1478" t="s">
        <v>58</v>
      </c>
      <c r="R1478" t="s">
        <v>25</v>
      </c>
      <c r="S1478" t="s">
        <v>738</v>
      </c>
      <c r="T1478" t="s">
        <v>60</v>
      </c>
      <c r="U1478">
        <v>34</v>
      </c>
      <c r="V1478">
        <v>2</v>
      </c>
      <c r="W1478" t="s">
        <v>28</v>
      </c>
      <c r="X1478" t="s">
        <v>68</v>
      </c>
    </row>
    <row r="1479" spans="1:24" x14ac:dyDescent="0.3">
      <c r="A1479" t="s">
        <v>2755</v>
      </c>
      <c r="B1479" t="s">
        <v>20</v>
      </c>
      <c r="C1479" t="s">
        <v>21</v>
      </c>
      <c r="D1479" t="str">
        <f t="shared" si="69"/>
        <v>Afternoon</v>
      </c>
      <c r="E1479">
        <f>HOUR(EV_Data[[#This Row],[Charging Start Time]])</f>
        <v>13</v>
      </c>
      <c r="F1479" s="1">
        <v>44988.541666666664</v>
      </c>
      <c r="G1479" s="1">
        <v>44988.606249999997</v>
      </c>
      <c r="H1479">
        <v>93</v>
      </c>
      <c r="I1479">
        <v>17.59</v>
      </c>
      <c r="J1479" t="str">
        <f t="shared" si="70"/>
        <v>Low</v>
      </c>
      <c r="K1479" t="s">
        <v>55</v>
      </c>
      <c r="L1479">
        <v>32</v>
      </c>
      <c r="M1479">
        <v>49</v>
      </c>
      <c r="N1479" t="str">
        <f t="shared" si="71"/>
        <v>Low Cost</v>
      </c>
      <c r="O1479">
        <v>5.72</v>
      </c>
      <c r="P1479" t="s">
        <v>33</v>
      </c>
      <c r="Q1479" t="s">
        <v>48</v>
      </c>
      <c r="R1479" t="s">
        <v>56</v>
      </c>
      <c r="S1479" t="s">
        <v>1074</v>
      </c>
      <c r="T1479" t="s">
        <v>37</v>
      </c>
      <c r="U1479">
        <v>74</v>
      </c>
      <c r="V1479">
        <v>3.5</v>
      </c>
      <c r="W1479" t="s">
        <v>38</v>
      </c>
    </row>
    <row r="1480" spans="1:24" x14ac:dyDescent="0.3">
      <c r="A1480" t="s">
        <v>2756</v>
      </c>
      <c r="B1480" t="s">
        <v>40</v>
      </c>
      <c r="C1480" t="s">
        <v>41</v>
      </c>
      <c r="D1480" t="str">
        <f t="shared" si="69"/>
        <v>Afternoon</v>
      </c>
      <c r="E1480">
        <f>HOUR(EV_Data[[#This Row],[Charging Start Time]])</f>
        <v>14</v>
      </c>
      <c r="F1480" s="1">
        <v>44988.583333333336</v>
      </c>
      <c r="G1480" s="1">
        <v>44988.605555555558</v>
      </c>
      <c r="H1480">
        <v>32</v>
      </c>
      <c r="I1480">
        <v>10.29</v>
      </c>
      <c r="J1480" t="str">
        <f t="shared" si="70"/>
        <v>Low</v>
      </c>
      <c r="K1480" t="s">
        <v>42</v>
      </c>
      <c r="L1480">
        <v>52</v>
      </c>
      <c r="M1480">
        <v>83</v>
      </c>
      <c r="N1480" t="str">
        <f t="shared" si="71"/>
        <v>Low Cost</v>
      </c>
      <c r="O1480">
        <v>2.96</v>
      </c>
      <c r="P1480" t="s">
        <v>51</v>
      </c>
      <c r="Q1480" t="s">
        <v>24</v>
      </c>
      <c r="R1480" t="s">
        <v>56</v>
      </c>
      <c r="S1480" t="s">
        <v>582</v>
      </c>
      <c r="T1480" t="s">
        <v>27</v>
      </c>
      <c r="U1480">
        <v>25</v>
      </c>
      <c r="V1480">
        <v>1.8</v>
      </c>
      <c r="W1480" t="s">
        <v>38</v>
      </c>
      <c r="X1480" t="s">
        <v>39</v>
      </c>
    </row>
    <row r="1481" spans="1:24" x14ac:dyDescent="0.3">
      <c r="A1481" t="s">
        <v>2757</v>
      </c>
      <c r="B1481" t="s">
        <v>53</v>
      </c>
      <c r="C1481" t="s">
        <v>54</v>
      </c>
      <c r="D1481" t="str">
        <f t="shared" si="69"/>
        <v>Afternoon</v>
      </c>
      <c r="E1481">
        <f>HOUR(EV_Data[[#This Row],[Charging Start Time]])</f>
        <v>15</v>
      </c>
      <c r="F1481" s="1">
        <v>44988.625</v>
      </c>
      <c r="G1481" s="1">
        <v>44988.660416666673</v>
      </c>
      <c r="H1481">
        <v>51</v>
      </c>
      <c r="I1481">
        <v>25.4</v>
      </c>
      <c r="J1481" t="str">
        <f t="shared" si="70"/>
        <v>Medium</v>
      </c>
      <c r="K1481" t="s">
        <v>50</v>
      </c>
      <c r="L1481">
        <v>29</v>
      </c>
      <c r="M1481">
        <v>43</v>
      </c>
      <c r="N1481" t="str">
        <f t="shared" si="71"/>
        <v>Medium Cost</v>
      </c>
      <c r="O1481">
        <v>8.07</v>
      </c>
      <c r="P1481" t="s">
        <v>64</v>
      </c>
      <c r="Q1481" t="s">
        <v>34</v>
      </c>
      <c r="R1481" t="s">
        <v>56</v>
      </c>
      <c r="S1481" t="s">
        <v>177</v>
      </c>
      <c r="T1481" t="s">
        <v>37</v>
      </c>
      <c r="U1481">
        <v>64</v>
      </c>
      <c r="V1481">
        <v>3.6</v>
      </c>
      <c r="W1481" t="s">
        <v>38</v>
      </c>
      <c r="X1481" t="s">
        <v>83</v>
      </c>
    </row>
    <row r="1482" spans="1:24" x14ac:dyDescent="0.3">
      <c r="A1482" t="s">
        <v>2758</v>
      </c>
      <c r="B1482" t="s">
        <v>71</v>
      </c>
      <c r="C1482" t="s">
        <v>72</v>
      </c>
      <c r="D1482" t="str">
        <f t="shared" si="69"/>
        <v>Afternoon</v>
      </c>
      <c r="E1482">
        <f>HOUR(EV_Data[[#This Row],[Charging Start Time]])</f>
        <v>16</v>
      </c>
      <c r="F1482" s="1">
        <v>44988.666666666664</v>
      </c>
      <c r="G1482" s="1">
        <v>44988.703472222223</v>
      </c>
      <c r="H1482">
        <v>53</v>
      </c>
      <c r="I1482">
        <v>39.020000000000003</v>
      </c>
      <c r="J1482" t="str">
        <f t="shared" si="70"/>
        <v>Medium</v>
      </c>
      <c r="K1482" t="s">
        <v>69</v>
      </c>
      <c r="L1482">
        <v>66</v>
      </c>
      <c r="M1482">
        <v>100</v>
      </c>
      <c r="N1482" t="str">
        <f t="shared" si="71"/>
        <v>Medium Cost</v>
      </c>
      <c r="O1482">
        <v>12.03</v>
      </c>
      <c r="P1482" t="s">
        <v>33</v>
      </c>
      <c r="Q1482" t="s">
        <v>48</v>
      </c>
      <c r="R1482" t="s">
        <v>35</v>
      </c>
      <c r="S1482" t="s">
        <v>1075</v>
      </c>
      <c r="T1482" t="s">
        <v>60</v>
      </c>
      <c r="U1482">
        <v>95</v>
      </c>
      <c r="V1482">
        <v>3.6</v>
      </c>
      <c r="W1482" t="s">
        <v>47</v>
      </c>
      <c r="X1482" t="s">
        <v>29</v>
      </c>
    </row>
    <row r="1483" spans="1:24" x14ac:dyDescent="0.3">
      <c r="A1483" t="s">
        <v>2759</v>
      </c>
      <c r="B1483" t="s">
        <v>71</v>
      </c>
      <c r="C1483" t="s">
        <v>72</v>
      </c>
      <c r="D1483" t="str">
        <f t="shared" si="69"/>
        <v>Evening</v>
      </c>
      <c r="E1483">
        <f>HOUR(EV_Data[[#This Row],[Charging Start Time]])</f>
        <v>17</v>
      </c>
      <c r="F1483" s="1">
        <v>44988.708333333336</v>
      </c>
      <c r="G1483" s="1">
        <v>44988.762499999997</v>
      </c>
      <c r="H1483">
        <v>78</v>
      </c>
      <c r="I1483">
        <v>35.11</v>
      </c>
      <c r="J1483" t="str">
        <f t="shared" si="70"/>
        <v>Medium</v>
      </c>
      <c r="K1483" t="s">
        <v>42</v>
      </c>
      <c r="L1483">
        <v>79</v>
      </c>
      <c r="M1483">
        <v>100</v>
      </c>
      <c r="N1483" t="str">
        <f t="shared" si="71"/>
        <v>Medium Cost</v>
      </c>
      <c r="O1483">
        <v>12.04</v>
      </c>
      <c r="P1483" t="s">
        <v>64</v>
      </c>
      <c r="Q1483" t="s">
        <v>34</v>
      </c>
      <c r="R1483" t="s">
        <v>44</v>
      </c>
      <c r="S1483" t="s">
        <v>1076</v>
      </c>
      <c r="T1483" t="s">
        <v>27</v>
      </c>
      <c r="U1483">
        <v>82</v>
      </c>
      <c r="V1483">
        <v>4</v>
      </c>
      <c r="W1483" t="s">
        <v>47</v>
      </c>
      <c r="X1483" t="s">
        <v>29</v>
      </c>
    </row>
    <row r="1484" spans="1:24" x14ac:dyDescent="0.3">
      <c r="A1484" t="s">
        <v>2760</v>
      </c>
      <c r="B1484" t="s">
        <v>40</v>
      </c>
      <c r="C1484" t="s">
        <v>41</v>
      </c>
      <c r="D1484" t="str">
        <f t="shared" si="69"/>
        <v>Evening</v>
      </c>
      <c r="E1484">
        <f>HOUR(EV_Data[[#This Row],[Charging Start Time]])</f>
        <v>18</v>
      </c>
      <c r="F1484" s="1">
        <v>44988.75</v>
      </c>
      <c r="G1484" s="1">
        <v>44988.821527777778</v>
      </c>
      <c r="H1484">
        <v>103</v>
      </c>
      <c r="I1484">
        <v>30.15</v>
      </c>
      <c r="J1484" t="str">
        <f t="shared" si="70"/>
        <v>Medium</v>
      </c>
      <c r="K1484" t="s">
        <v>32</v>
      </c>
      <c r="L1484">
        <v>6</v>
      </c>
      <c r="M1484">
        <v>45</v>
      </c>
      <c r="N1484" t="str">
        <f t="shared" si="71"/>
        <v>Medium Cost</v>
      </c>
      <c r="O1484">
        <v>10.23</v>
      </c>
      <c r="P1484" t="s">
        <v>43</v>
      </c>
      <c r="Q1484" t="s">
        <v>58</v>
      </c>
      <c r="R1484" t="s">
        <v>35</v>
      </c>
      <c r="S1484" t="s">
        <v>1077</v>
      </c>
      <c r="T1484" t="s">
        <v>46</v>
      </c>
      <c r="U1484">
        <v>71</v>
      </c>
      <c r="V1484">
        <v>2.7</v>
      </c>
      <c r="W1484" t="s">
        <v>47</v>
      </c>
      <c r="X1484" t="s">
        <v>29</v>
      </c>
    </row>
    <row r="1485" spans="1:24" x14ac:dyDescent="0.3">
      <c r="A1485" t="s">
        <v>2761</v>
      </c>
      <c r="B1485" t="s">
        <v>20</v>
      </c>
      <c r="C1485" t="s">
        <v>21</v>
      </c>
      <c r="D1485" t="str">
        <f t="shared" si="69"/>
        <v>Evening</v>
      </c>
      <c r="E1485">
        <f>HOUR(EV_Data[[#This Row],[Charging Start Time]])</f>
        <v>19</v>
      </c>
      <c r="F1485" s="1">
        <v>44988.791666666664</v>
      </c>
      <c r="G1485" s="1">
        <v>44988.838888888888</v>
      </c>
      <c r="H1485">
        <v>68</v>
      </c>
      <c r="I1485">
        <v>32.479999999999997</v>
      </c>
      <c r="J1485" t="str">
        <f t="shared" si="70"/>
        <v>Medium</v>
      </c>
      <c r="K1485" t="s">
        <v>50</v>
      </c>
      <c r="L1485">
        <v>21</v>
      </c>
      <c r="M1485">
        <v>46</v>
      </c>
      <c r="N1485" t="str">
        <f t="shared" si="71"/>
        <v>Medium Cost</v>
      </c>
      <c r="O1485">
        <v>13.2</v>
      </c>
      <c r="P1485" t="s">
        <v>23</v>
      </c>
      <c r="Q1485" t="s">
        <v>58</v>
      </c>
      <c r="R1485" t="s">
        <v>25</v>
      </c>
      <c r="S1485" t="s">
        <v>418</v>
      </c>
      <c r="T1485" t="s">
        <v>46</v>
      </c>
      <c r="U1485">
        <v>94</v>
      </c>
      <c r="V1485">
        <v>4.7</v>
      </c>
      <c r="W1485" t="s">
        <v>38</v>
      </c>
      <c r="X1485" t="s">
        <v>39</v>
      </c>
    </row>
    <row r="1486" spans="1:24" x14ac:dyDescent="0.3">
      <c r="A1486" t="s">
        <v>2762</v>
      </c>
      <c r="B1486" t="s">
        <v>30</v>
      </c>
      <c r="C1486" t="s">
        <v>102</v>
      </c>
      <c r="D1486" t="str">
        <f t="shared" si="69"/>
        <v>Evening</v>
      </c>
      <c r="E1486">
        <f>HOUR(EV_Data[[#This Row],[Charging Start Time]])</f>
        <v>20</v>
      </c>
      <c r="F1486" s="1">
        <v>44988.833333333336</v>
      </c>
      <c r="G1486" s="1">
        <v>44988.911805555559</v>
      </c>
      <c r="H1486">
        <v>113</v>
      </c>
      <c r="I1486">
        <v>39.18</v>
      </c>
      <c r="J1486" t="str">
        <f t="shared" si="70"/>
        <v>Medium</v>
      </c>
      <c r="K1486" t="s">
        <v>42</v>
      </c>
      <c r="L1486">
        <v>57</v>
      </c>
      <c r="M1486">
        <v>70</v>
      </c>
      <c r="N1486" t="str">
        <f t="shared" si="71"/>
        <v>Medium Cost</v>
      </c>
      <c r="O1486">
        <v>8.9600000000000009</v>
      </c>
      <c r="P1486" t="s">
        <v>51</v>
      </c>
      <c r="Q1486" t="s">
        <v>58</v>
      </c>
      <c r="R1486" t="s">
        <v>25</v>
      </c>
      <c r="S1486" t="s">
        <v>801</v>
      </c>
      <c r="T1486" t="s">
        <v>60</v>
      </c>
      <c r="U1486">
        <v>28</v>
      </c>
      <c r="V1486">
        <v>1</v>
      </c>
      <c r="W1486" t="s">
        <v>47</v>
      </c>
      <c r="X1486" t="s">
        <v>29</v>
      </c>
    </row>
    <row r="1487" spans="1:24" x14ac:dyDescent="0.3">
      <c r="A1487" t="s">
        <v>2763</v>
      </c>
      <c r="B1487" t="s">
        <v>30</v>
      </c>
      <c r="C1487" t="s">
        <v>102</v>
      </c>
      <c r="D1487" t="str">
        <f t="shared" si="69"/>
        <v>Evening</v>
      </c>
      <c r="E1487">
        <f>HOUR(EV_Data[[#This Row],[Charging Start Time]])</f>
        <v>21</v>
      </c>
      <c r="F1487" s="1">
        <v>44988.875</v>
      </c>
      <c r="G1487" s="1">
        <v>44988.907638888893</v>
      </c>
      <c r="H1487">
        <v>47</v>
      </c>
      <c r="I1487">
        <v>37.6</v>
      </c>
      <c r="J1487" t="str">
        <f t="shared" si="70"/>
        <v>Medium</v>
      </c>
      <c r="K1487" t="s">
        <v>50</v>
      </c>
      <c r="L1487">
        <v>71</v>
      </c>
      <c r="M1487">
        <v>100</v>
      </c>
      <c r="N1487" t="str">
        <f t="shared" si="71"/>
        <v>Medium Cost</v>
      </c>
      <c r="O1487">
        <v>11.66</v>
      </c>
      <c r="P1487" t="s">
        <v>64</v>
      </c>
      <c r="Q1487" t="s">
        <v>58</v>
      </c>
      <c r="R1487" t="s">
        <v>35</v>
      </c>
      <c r="S1487" t="s">
        <v>813</v>
      </c>
      <c r="T1487" t="s">
        <v>37</v>
      </c>
      <c r="U1487">
        <v>93</v>
      </c>
      <c r="V1487">
        <v>2.6</v>
      </c>
      <c r="W1487" t="s">
        <v>47</v>
      </c>
      <c r="X1487" t="s">
        <v>29</v>
      </c>
    </row>
    <row r="1488" spans="1:24" x14ac:dyDescent="0.3">
      <c r="A1488" t="s">
        <v>2764</v>
      </c>
      <c r="B1488" t="s">
        <v>77</v>
      </c>
      <c r="C1488" t="s">
        <v>78</v>
      </c>
      <c r="D1488" t="str">
        <f t="shared" si="69"/>
        <v>Evening</v>
      </c>
      <c r="E1488">
        <f>HOUR(EV_Data[[#This Row],[Charging Start Time]])</f>
        <v>22</v>
      </c>
      <c r="F1488" s="1">
        <v>44988.916666666664</v>
      </c>
      <c r="G1488" s="1">
        <v>44988.950694444437</v>
      </c>
      <c r="H1488">
        <v>49</v>
      </c>
      <c r="I1488">
        <v>25.76</v>
      </c>
      <c r="J1488" t="str">
        <f t="shared" si="70"/>
        <v>Medium</v>
      </c>
      <c r="K1488" t="s">
        <v>42</v>
      </c>
      <c r="L1488">
        <v>60</v>
      </c>
      <c r="M1488">
        <v>82</v>
      </c>
      <c r="N1488" t="str">
        <f t="shared" si="71"/>
        <v>Low Cost</v>
      </c>
      <c r="O1488">
        <v>6.96</v>
      </c>
      <c r="P1488" t="s">
        <v>43</v>
      </c>
      <c r="Q1488" t="s">
        <v>58</v>
      </c>
      <c r="R1488" t="s">
        <v>25</v>
      </c>
      <c r="S1488" t="s">
        <v>1078</v>
      </c>
      <c r="T1488" t="s">
        <v>46</v>
      </c>
      <c r="U1488">
        <v>88</v>
      </c>
      <c r="V1488">
        <v>2.2999999999999998</v>
      </c>
      <c r="W1488" t="s">
        <v>28</v>
      </c>
      <c r="X1488" t="s">
        <v>68</v>
      </c>
    </row>
    <row r="1489" spans="1:24" x14ac:dyDescent="0.3">
      <c r="A1489" t="s">
        <v>2765</v>
      </c>
      <c r="B1489" t="s">
        <v>71</v>
      </c>
      <c r="C1489" t="s">
        <v>72</v>
      </c>
      <c r="D1489" t="str">
        <f t="shared" si="69"/>
        <v>Evening</v>
      </c>
      <c r="E1489">
        <f>HOUR(EV_Data[[#This Row],[Charging Start Time]])</f>
        <v>23</v>
      </c>
      <c r="F1489" s="1">
        <v>44988.958333333336</v>
      </c>
      <c r="G1489" s="1">
        <v>44989.036111111112</v>
      </c>
      <c r="H1489">
        <v>112</v>
      </c>
      <c r="I1489">
        <v>26.67</v>
      </c>
      <c r="J1489" t="str">
        <f t="shared" si="70"/>
        <v>Medium</v>
      </c>
      <c r="K1489" t="s">
        <v>22</v>
      </c>
      <c r="L1489">
        <v>31</v>
      </c>
      <c r="M1489">
        <v>42</v>
      </c>
      <c r="N1489" t="str">
        <f t="shared" si="71"/>
        <v>Low Cost</v>
      </c>
      <c r="O1489">
        <v>6.05</v>
      </c>
      <c r="P1489" t="s">
        <v>33</v>
      </c>
      <c r="Q1489" t="s">
        <v>24</v>
      </c>
      <c r="R1489" t="s">
        <v>35</v>
      </c>
      <c r="S1489" t="s">
        <v>438</v>
      </c>
      <c r="T1489" t="s">
        <v>37</v>
      </c>
      <c r="U1489">
        <v>90</v>
      </c>
      <c r="V1489">
        <v>4.3</v>
      </c>
      <c r="W1489" t="s">
        <v>38</v>
      </c>
      <c r="X1489" t="s">
        <v>62</v>
      </c>
    </row>
    <row r="1490" spans="1:24" x14ac:dyDescent="0.3">
      <c r="A1490" t="s">
        <v>2766</v>
      </c>
      <c r="B1490" t="s">
        <v>77</v>
      </c>
      <c r="C1490" t="s">
        <v>78</v>
      </c>
      <c r="D1490" t="str">
        <f t="shared" si="69"/>
        <v>Morning</v>
      </c>
      <c r="E1490">
        <f>HOUR(EV_Data[[#This Row],[Charging Start Time]])</f>
        <v>0</v>
      </c>
      <c r="F1490" s="1">
        <v>44989</v>
      </c>
      <c r="G1490" s="1">
        <v>44989.037499999999</v>
      </c>
      <c r="H1490">
        <v>54</v>
      </c>
      <c r="I1490">
        <v>49.19</v>
      </c>
      <c r="J1490" t="str">
        <f t="shared" si="70"/>
        <v>Medium</v>
      </c>
      <c r="K1490" t="s">
        <v>69</v>
      </c>
      <c r="L1490">
        <v>8</v>
      </c>
      <c r="M1490">
        <v>41</v>
      </c>
      <c r="N1490" t="str">
        <f t="shared" si="71"/>
        <v>High Cost</v>
      </c>
      <c r="O1490">
        <v>17.34</v>
      </c>
      <c r="P1490" t="s">
        <v>23</v>
      </c>
      <c r="Q1490" t="s">
        <v>24</v>
      </c>
      <c r="R1490" t="s">
        <v>56</v>
      </c>
      <c r="S1490" t="s">
        <v>1079</v>
      </c>
      <c r="T1490" t="s">
        <v>27</v>
      </c>
      <c r="U1490">
        <v>52</v>
      </c>
      <c r="V1490">
        <v>4.8</v>
      </c>
      <c r="W1490" t="s">
        <v>28</v>
      </c>
      <c r="X1490" t="s">
        <v>68</v>
      </c>
    </row>
    <row r="1491" spans="1:24" x14ac:dyDescent="0.3">
      <c r="A1491" t="s">
        <v>2767</v>
      </c>
      <c r="B1491" t="s">
        <v>40</v>
      </c>
      <c r="C1491" t="s">
        <v>41</v>
      </c>
      <c r="D1491" t="str">
        <f t="shared" si="69"/>
        <v>Morning</v>
      </c>
      <c r="E1491">
        <f>HOUR(EV_Data[[#This Row],[Charging Start Time]])</f>
        <v>1</v>
      </c>
      <c r="F1491" s="1">
        <v>44989.041666666664</v>
      </c>
      <c r="G1491" s="1">
        <v>44989.070138888892</v>
      </c>
      <c r="H1491">
        <v>41</v>
      </c>
      <c r="I1491">
        <v>14.88</v>
      </c>
      <c r="J1491" t="str">
        <f t="shared" si="70"/>
        <v>Low</v>
      </c>
      <c r="K1491" t="s">
        <v>42</v>
      </c>
      <c r="L1491">
        <v>55</v>
      </c>
      <c r="M1491">
        <v>95</v>
      </c>
      <c r="N1491" t="str">
        <f t="shared" si="71"/>
        <v>Low Cost</v>
      </c>
      <c r="O1491">
        <v>5.01</v>
      </c>
      <c r="P1491" t="s">
        <v>51</v>
      </c>
      <c r="Q1491" t="s">
        <v>24</v>
      </c>
      <c r="R1491" t="s">
        <v>25</v>
      </c>
      <c r="S1491" t="s">
        <v>1080</v>
      </c>
      <c r="T1491" t="s">
        <v>37</v>
      </c>
      <c r="U1491">
        <v>33</v>
      </c>
      <c r="V1491">
        <v>4.2</v>
      </c>
      <c r="W1491" t="s">
        <v>28</v>
      </c>
      <c r="X1491" t="s">
        <v>68</v>
      </c>
    </row>
    <row r="1492" spans="1:24" x14ac:dyDescent="0.3">
      <c r="A1492" t="s">
        <v>2768</v>
      </c>
      <c r="B1492" t="s">
        <v>92</v>
      </c>
      <c r="C1492" t="s">
        <v>93</v>
      </c>
      <c r="D1492" t="str">
        <f t="shared" si="69"/>
        <v>Morning</v>
      </c>
      <c r="E1492">
        <f>HOUR(EV_Data[[#This Row],[Charging Start Time]])</f>
        <v>2</v>
      </c>
      <c r="F1492" s="1">
        <v>44989.083333333336</v>
      </c>
      <c r="G1492" s="1">
        <v>44989.118750000001</v>
      </c>
      <c r="H1492">
        <v>51</v>
      </c>
      <c r="I1492">
        <v>35.99</v>
      </c>
      <c r="J1492" t="str">
        <f t="shared" si="70"/>
        <v>Medium</v>
      </c>
      <c r="K1492" t="s">
        <v>22</v>
      </c>
      <c r="L1492">
        <v>57</v>
      </c>
      <c r="M1492">
        <v>86</v>
      </c>
      <c r="N1492" t="str">
        <f t="shared" si="71"/>
        <v>Medium Cost</v>
      </c>
      <c r="O1492">
        <v>8.7899999999999991</v>
      </c>
      <c r="P1492" t="s">
        <v>64</v>
      </c>
      <c r="Q1492" t="s">
        <v>24</v>
      </c>
      <c r="R1492" t="s">
        <v>25</v>
      </c>
      <c r="S1492" t="s">
        <v>86</v>
      </c>
      <c r="T1492" t="s">
        <v>46</v>
      </c>
      <c r="U1492">
        <v>62</v>
      </c>
      <c r="V1492">
        <v>3.4</v>
      </c>
      <c r="W1492" t="s">
        <v>47</v>
      </c>
      <c r="X1492" t="s">
        <v>29</v>
      </c>
    </row>
    <row r="1493" spans="1:24" x14ac:dyDescent="0.3">
      <c r="A1493" t="s">
        <v>2769</v>
      </c>
      <c r="B1493" t="s">
        <v>92</v>
      </c>
      <c r="C1493" t="s">
        <v>93</v>
      </c>
      <c r="D1493" t="str">
        <f t="shared" si="69"/>
        <v>Morning</v>
      </c>
      <c r="E1493">
        <f>HOUR(EV_Data[[#This Row],[Charging Start Time]])</f>
        <v>3</v>
      </c>
      <c r="F1493" s="1">
        <v>44989.125</v>
      </c>
      <c r="G1493" s="1">
        <v>44989.163194444453</v>
      </c>
      <c r="H1493">
        <v>55</v>
      </c>
      <c r="I1493">
        <v>35.409999999999997</v>
      </c>
      <c r="J1493" t="str">
        <f t="shared" si="70"/>
        <v>Medium</v>
      </c>
      <c r="K1493" t="s">
        <v>69</v>
      </c>
      <c r="L1493">
        <v>79</v>
      </c>
      <c r="M1493">
        <v>100</v>
      </c>
      <c r="N1493" t="str">
        <f t="shared" si="71"/>
        <v>Medium Cost</v>
      </c>
      <c r="O1493">
        <v>12.03</v>
      </c>
      <c r="P1493" t="s">
        <v>64</v>
      </c>
      <c r="Q1493" t="s">
        <v>48</v>
      </c>
      <c r="R1493" t="s">
        <v>35</v>
      </c>
      <c r="S1493" t="s">
        <v>678</v>
      </c>
      <c r="T1493" t="s">
        <v>37</v>
      </c>
      <c r="U1493">
        <v>78</v>
      </c>
      <c r="V1493">
        <v>2.9</v>
      </c>
      <c r="W1493" t="s">
        <v>38</v>
      </c>
    </row>
    <row r="1494" spans="1:24" x14ac:dyDescent="0.3">
      <c r="A1494" t="s">
        <v>2770</v>
      </c>
      <c r="B1494" t="s">
        <v>30</v>
      </c>
      <c r="C1494" t="s">
        <v>102</v>
      </c>
      <c r="D1494" t="str">
        <f t="shared" si="69"/>
        <v>Morning</v>
      </c>
      <c r="E1494">
        <f>HOUR(EV_Data[[#This Row],[Charging Start Time]])</f>
        <v>4</v>
      </c>
      <c r="F1494" s="1">
        <v>44989.166666666664</v>
      </c>
      <c r="G1494" s="1">
        <v>44989.188888888893</v>
      </c>
      <c r="H1494">
        <v>32</v>
      </c>
      <c r="I1494">
        <v>18.239999999999998</v>
      </c>
      <c r="J1494" t="str">
        <f t="shared" si="70"/>
        <v>Low</v>
      </c>
      <c r="K1494" t="s">
        <v>42</v>
      </c>
      <c r="L1494">
        <v>21</v>
      </c>
      <c r="M1494">
        <v>52</v>
      </c>
      <c r="N1494" t="str">
        <f t="shared" si="71"/>
        <v>Low Cost</v>
      </c>
      <c r="O1494">
        <v>6.46</v>
      </c>
      <c r="P1494" t="s">
        <v>33</v>
      </c>
      <c r="Q1494" t="s">
        <v>48</v>
      </c>
      <c r="R1494" t="s">
        <v>56</v>
      </c>
      <c r="S1494" t="s">
        <v>1081</v>
      </c>
      <c r="T1494" t="s">
        <v>60</v>
      </c>
      <c r="U1494">
        <v>71</v>
      </c>
      <c r="V1494">
        <v>3.8</v>
      </c>
      <c r="W1494" t="s">
        <v>28</v>
      </c>
      <c r="X1494" t="s">
        <v>68</v>
      </c>
    </row>
    <row r="1495" spans="1:24" x14ac:dyDescent="0.3">
      <c r="A1495" t="s">
        <v>2771</v>
      </c>
      <c r="B1495" t="s">
        <v>77</v>
      </c>
      <c r="C1495" t="s">
        <v>78</v>
      </c>
      <c r="D1495" t="str">
        <f t="shared" si="69"/>
        <v>Morning</v>
      </c>
      <c r="E1495">
        <f>HOUR(EV_Data[[#This Row],[Charging Start Time]])</f>
        <v>5</v>
      </c>
      <c r="F1495" s="1">
        <v>44989.208333333336</v>
      </c>
      <c r="G1495" s="1">
        <v>44989.257638888892</v>
      </c>
      <c r="H1495">
        <v>71</v>
      </c>
      <c r="I1495">
        <v>21.97</v>
      </c>
      <c r="J1495" t="str">
        <f t="shared" si="70"/>
        <v>Medium</v>
      </c>
      <c r="K1495" t="s">
        <v>50</v>
      </c>
      <c r="L1495">
        <v>48</v>
      </c>
      <c r="M1495">
        <v>63</v>
      </c>
      <c r="N1495" t="str">
        <f t="shared" si="71"/>
        <v>Medium Cost</v>
      </c>
      <c r="O1495">
        <v>8.49</v>
      </c>
      <c r="P1495" t="s">
        <v>64</v>
      </c>
      <c r="Q1495" t="s">
        <v>48</v>
      </c>
      <c r="R1495" t="s">
        <v>56</v>
      </c>
      <c r="S1495" t="s">
        <v>1082</v>
      </c>
      <c r="T1495" t="s">
        <v>37</v>
      </c>
      <c r="U1495">
        <v>82</v>
      </c>
      <c r="V1495">
        <v>1.2</v>
      </c>
      <c r="W1495" t="s">
        <v>28</v>
      </c>
      <c r="X1495" t="s">
        <v>68</v>
      </c>
    </row>
    <row r="1496" spans="1:24" x14ac:dyDescent="0.3">
      <c r="A1496" t="s">
        <v>2772</v>
      </c>
      <c r="B1496" t="s">
        <v>92</v>
      </c>
      <c r="C1496" t="s">
        <v>93</v>
      </c>
      <c r="D1496" t="str">
        <f t="shared" si="69"/>
        <v>Morning</v>
      </c>
      <c r="E1496">
        <f>HOUR(EV_Data[[#This Row],[Charging Start Time]])</f>
        <v>6</v>
      </c>
      <c r="F1496" s="1">
        <v>44989.25</v>
      </c>
      <c r="G1496" s="1">
        <v>44989.291666666657</v>
      </c>
      <c r="H1496">
        <v>60</v>
      </c>
      <c r="I1496">
        <v>48.58</v>
      </c>
      <c r="J1496" t="str">
        <f t="shared" si="70"/>
        <v>Medium</v>
      </c>
      <c r="K1496" t="s">
        <v>32</v>
      </c>
      <c r="L1496">
        <v>29</v>
      </c>
      <c r="M1496">
        <v>56</v>
      </c>
      <c r="N1496" t="str">
        <f t="shared" si="71"/>
        <v>Medium Cost</v>
      </c>
      <c r="O1496">
        <v>9.75</v>
      </c>
      <c r="P1496" t="s">
        <v>51</v>
      </c>
      <c r="Q1496" t="s">
        <v>24</v>
      </c>
      <c r="R1496" t="s">
        <v>56</v>
      </c>
      <c r="S1496" t="s">
        <v>82</v>
      </c>
      <c r="T1496" t="s">
        <v>27</v>
      </c>
      <c r="U1496">
        <v>61</v>
      </c>
      <c r="V1496">
        <v>3.3</v>
      </c>
      <c r="W1496" t="s">
        <v>28</v>
      </c>
      <c r="X1496" t="s">
        <v>68</v>
      </c>
    </row>
    <row r="1497" spans="1:24" x14ac:dyDescent="0.3">
      <c r="A1497" t="s">
        <v>2773</v>
      </c>
      <c r="B1497" t="s">
        <v>126</v>
      </c>
      <c r="C1497" t="s">
        <v>31</v>
      </c>
      <c r="D1497" t="str">
        <f t="shared" si="69"/>
        <v>Morning</v>
      </c>
      <c r="E1497">
        <f>HOUR(EV_Data[[#This Row],[Charging Start Time]])</f>
        <v>7</v>
      </c>
      <c r="F1497" s="1">
        <v>44989.291666666664</v>
      </c>
      <c r="G1497" s="1">
        <v>44989.324999999997</v>
      </c>
      <c r="H1497">
        <v>48</v>
      </c>
      <c r="I1497">
        <v>27</v>
      </c>
      <c r="J1497" t="str">
        <f t="shared" si="70"/>
        <v>Medium</v>
      </c>
      <c r="K1497" t="s">
        <v>55</v>
      </c>
      <c r="L1497">
        <v>66</v>
      </c>
      <c r="M1497">
        <v>91</v>
      </c>
      <c r="N1497" t="str">
        <f t="shared" si="71"/>
        <v>Medium Cost</v>
      </c>
      <c r="O1497">
        <v>11.08</v>
      </c>
      <c r="P1497" t="s">
        <v>33</v>
      </c>
      <c r="Q1497" t="s">
        <v>34</v>
      </c>
      <c r="R1497" t="s">
        <v>56</v>
      </c>
      <c r="S1497" t="s">
        <v>234</v>
      </c>
      <c r="T1497" t="s">
        <v>37</v>
      </c>
      <c r="U1497">
        <v>70</v>
      </c>
      <c r="V1497">
        <v>4.8</v>
      </c>
      <c r="W1497" t="s">
        <v>28</v>
      </c>
      <c r="X1497" t="s">
        <v>68</v>
      </c>
    </row>
    <row r="1498" spans="1:24" x14ac:dyDescent="0.3">
      <c r="A1498" t="s">
        <v>2774</v>
      </c>
      <c r="B1498" t="s">
        <v>71</v>
      </c>
      <c r="C1498" t="s">
        <v>72</v>
      </c>
      <c r="D1498" t="str">
        <f t="shared" si="69"/>
        <v>Morning</v>
      </c>
      <c r="E1498">
        <f>HOUR(EV_Data[[#This Row],[Charging Start Time]])</f>
        <v>8</v>
      </c>
      <c r="F1498" s="1">
        <v>44989.333333333336</v>
      </c>
      <c r="G1498" s="1">
        <v>44989.345138888893</v>
      </c>
      <c r="H1498">
        <v>17</v>
      </c>
      <c r="I1498">
        <v>11.82</v>
      </c>
      <c r="J1498" t="str">
        <f t="shared" si="70"/>
        <v>Low</v>
      </c>
      <c r="K1498" t="s">
        <v>42</v>
      </c>
      <c r="L1498">
        <v>29</v>
      </c>
      <c r="M1498">
        <v>63</v>
      </c>
      <c r="N1498" t="str">
        <f t="shared" si="71"/>
        <v>Low Cost</v>
      </c>
      <c r="O1498">
        <v>2.86</v>
      </c>
      <c r="P1498" t="s">
        <v>33</v>
      </c>
      <c r="Q1498" t="s">
        <v>58</v>
      </c>
      <c r="R1498" t="s">
        <v>56</v>
      </c>
      <c r="S1498" t="s">
        <v>716</v>
      </c>
      <c r="T1498" t="s">
        <v>46</v>
      </c>
      <c r="U1498">
        <v>32</v>
      </c>
      <c r="V1498">
        <v>2.6</v>
      </c>
      <c r="W1498" t="s">
        <v>28</v>
      </c>
      <c r="X1498" t="s">
        <v>68</v>
      </c>
    </row>
    <row r="1499" spans="1:24" x14ac:dyDescent="0.3">
      <c r="A1499" t="s">
        <v>2775</v>
      </c>
      <c r="B1499" t="s">
        <v>77</v>
      </c>
      <c r="C1499" t="s">
        <v>78</v>
      </c>
      <c r="D1499" t="str">
        <f t="shared" si="69"/>
        <v>Morning</v>
      </c>
      <c r="E1499">
        <f>HOUR(EV_Data[[#This Row],[Charging Start Time]])</f>
        <v>9</v>
      </c>
      <c r="F1499" s="1">
        <v>44989.375</v>
      </c>
      <c r="G1499" s="1">
        <v>44989.383333333331</v>
      </c>
      <c r="H1499">
        <v>12</v>
      </c>
      <c r="I1499">
        <v>32.96</v>
      </c>
      <c r="J1499" t="str">
        <f t="shared" si="70"/>
        <v>Medium</v>
      </c>
      <c r="K1499" t="s">
        <v>55</v>
      </c>
      <c r="L1499">
        <v>30</v>
      </c>
      <c r="M1499">
        <v>51</v>
      </c>
      <c r="N1499" t="str">
        <f t="shared" si="71"/>
        <v>Medium Cost</v>
      </c>
      <c r="O1499">
        <v>11.92</v>
      </c>
      <c r="P1499" t="s">
        <v>23</v>
      </c>
      <c r="Q1499" t="s">
        <v>48</v>
      </c>
      <c r="R1499" t="s">
        <v>35</v>
      </c>
      <c r="S1499" t="s">
        <v>161</v>
      </c>
      <c r="T1499" t="s">
        <v>27</v>
      </c>
      <c r="U1499">
        <v>12</v>
      </c>
      <c r="V1499">
        <v>4.0999999999999996</v>
      </c>
      <c r="W1499" t="s">
        <v>47</v>
      </c>
      <c r="X1499" t="s">
        <v>29</v>
      </c>
    </row>
    <row r="1500" spans="1:24" x14ac:dyDescent="0.3">
      <c r="A1500" t="s">
        <v>2776</v>
      </c>
      <c r="B1500" t="s">
        <v>40</v>
      </c>
      <c r="C1500" t="s">
        <v>41</v>
      </c>
      <c r="D1500" t="str">
        <f t="shared" si="69"/>
        <v>Morning</v>
      </c>
      <c r="E1500">
        <f>HOUR(EV_Data[[#This Row],[Charging Start Time]])</f>
        <v>10</v>
      </c>
      <c r="F1500" s="1">
        <v>44989.416666666664</v>
      </c>
      <c r="G1500" s="1">
        <v>44989.425694444442</v>
      </c>
      <c r="H1500">
        <v>13</v>
      </c>
      <c r="I1500">
        <v>22.27</v>
      </c>
      <c r="J1500" t="str">
        <f t="shared" si="70"/>
        <v>Medium</v>
      </c>
      <c r="K1500" t="s">
        <v>55</v>
      </c>
      <c r="L1500">
        <v>37</v>
      </c>
      <c r="M1500">
        <v>67</v>
      </c>
      <c r="N1500" t="str">
        <f t="shared" si="71"/>
        <v>Low Cost</v>
      </c>
      <c r="O1500">
        <v>5.92</v>
      </c>
      <c r="P1500" t="s">
        <v>64</v>
      </c>
      <c r="Q1500" t="s">
        <v>48</v>
      </c>
      <c r="R1500" t="s">
        <v>44</v>
      </c>
      <c r="S1500" t="s">
        <v>947</v>
      </c>
      <c r="T1500" t="s">
        <v>27</v>
      </c>
      <c r="U1500">
        <v>65</v>
      </c>
      <c r="V1500">
        <v>1.1000000000000001</v>
      </c>
      <c r="W1500" t="s">
        <v>28</v>
      </c>
      <c r="X1500" t="s">
        <v>68</v>
      </c>
    </row>
    <row r="1501" spans="1:24" x14ac:dyDescent="0.3">
      <c r="A1501" t="s">
        <v>2777</v>
      </c>
      <c r="B1501" t="s">
        <v>92</v>
      </c>
      <c r="C1501" t="s">
        <v>93</v>
      </c>
      <c r="D1501" t="str">
        <f t="shared" si="69"/>
        <v>Morning</v>
      </c>
      <c r="E1501">
        <f>HOUR(EV_Data[[#This Row],[Charging Start Time]])</f>
        <v>11</v>
      </c>
      <c r="F1501" s="1">
        <v>44989.458333333336</v>
      </c>
      <c r="G1501" s="1">
        <v>44989.476388888892</v>
      </c>
      <c r="H1501">
        <v>26</v>
      </c>
      <c r="I1501">
        <v>31.99</v>
      </c>
      <c r="J1501" t="str">
        <f t="shared" si="70"/>
        <v>Medium</v>
      </c>
      <c r="K1501" t="s">
        <v>55</v>
      </c>
      <c r="L1501">
        <v>49</v>
      </c>
      <c r="M1501">
        <v>72</v>
      </c>
      <c r="N1501" t="str">
        <f t="shared" si="71"/>
        <v>Medium Cost</v>
      </c>
      <c r="O1501">
        <v>9.77</v>
      </c>
      <c r="P1501" t="s">
        <v>33</v>
      </c>
      <c r="Q1501" t="s">
        <v>34</v>
      </c>
      <c r="R1501" t="s">
        <v>35</v>
      </c>
      <c r="S1501" t="s">
        <v>164</v>
      </c>
      <c r="T1501" t="s">
        <v>60</v>
      </c>
      <c r="U1501">
        <v>25</v>
      </c>
      <c r="V1501">
        <v>3.9</v>
      </c>
      <c r="W1501" t="s">
        <v>47</v>
      </c>
      <c r="X1501" t="s">
        <v>29</v>
      </c>
    </row>
    <row r="1502" spans="1:24" x14ac:dyDescent="0.3">
      <c r="A1502" t="s">
        <v>2778</v>
      </c>
      <c r="B1502" t="s">
        <v>20</v>
      </c>
      <c r="C1502" t="s">
        <v>21</v>
      </c>
      <c r="D1502" t="str">
        <f t="shared" si="69"/>
        <v>Afternoon</v>
      </c>
      <c r="E1502">
        <f>HOUR(EV_Data[[#This Row],[Charging Start Time]])</f>
        <v>12</v>
      </c>
      <c r="F1502" s="1">
        <v>44989.5</v>
      </c>
      <c r="G1502" s="1">
        <v>44989.554166666669</v>
      </c>
      <c r="H1502">
        <v>78</v>
      </c>
      <c r="I1502">
        <v>13.33</v>
      </c>
      <c r="J1502" t="str">
        <f t="shared" si="70"/>
        <v>Low</v>
      </c>
      <c r="K1502" t="s">
        <v>69</v>
      </c>
      <c r="L1502">
        <v>47</v>
      </c>
      <c r="M1502">
        <v>62</v>
      </c>
      <c r="N1502" t="str">
        <f t="shared" si="71"/>
        <v>Low Cost</v>
      </c>
      <c r="O1502">
        <v>2.96</v>
      </c>
      <c r="P1502" t="s">
        <v>51</v>
      </c>
      <c r="Q1502" t="s">
        <v>58</v>
      </c>
      <c r="R1502" t="s">
        <v>25</v>
      </c>
      <c r="S1502" t="s">
        <v>1083</v>
      </c>
      <c r="T1502" t="s">
        <v>46</v>
      </c>
      <c r="U1502">
        <v>64</v>
      </c>
      <c r="V1502">
        <v>1.2</v>
      </c>
      <c r="W1502" t="s">
        <v>28</v>
      </c>
      <c r="X1502" t="s">
        <v>68</v>
      </c>
    </row>
    <row r="1503" spans="1:24" x14ac:dyDescent="0.3">
      <c r="A1503" t="s">
        <v>2779</v>
      </c>
      <c r="B1503" t="s">
        <v>71</v>
      </c>
      <c r="C1503" t="s">
        <v>72</v>
      </c>
      <c r="D1503" t="str">
        <f t="shared" si="69"/>
        <v>Afternoon</v>
      </c>
      <c r="E1503">
        <f>HOUR(EV_Data[[#This Row],[Charging Start Time]])</f>
        <v>13</v>
      </c>
      <c r="F1503" s="1">
        <v>44989.541666666664</v>
      </c>
      <c r="G1503" s="1">
        <v>44989.577777777777</v>
      </c>
      <c r="H1503">
        <v>52</v>
      </c>
      <c r="I1503">
        <v>34.799999999999997</v>
      </c>
      <c r="J1503" t="str">
        <f t="shared" si="70"/>
        <v>Medium</v>
      </c>
      <c r="K1503" t="s">
        <v>55</v>
      </c>
      <c r="L1503">
        <v>9</v>
      </c>
      <c r="M1503">
        <v>19</v>
      </c>
      <c r="N1503" t="str">
        <f t="shared" si="71"/>
        <v>Medium Cost</v>
      </c>
      <c r="O1503">
        <v>8.84</v>
      </c>
      <c r="P1503" t="s">
        <v>64</v>
      </c>
      <c r="Q1503" t="s">
        <v>34</v>
      </c>
      <c r="R1503" t="s">
        <v>25</v>
      </c>
      <c r="S1503" t="s">
        <v>1084</v>
      </c>
      <c r="T1503" t="s">
        <v>60</v>
      </c>
      <c r="U1503">
        <v>2</v>
      </c>
      <c r="V1503">
        <v>1.2</v>
      </c>
      <c r="W1503" t="s">
        <v>28</v>
      </c>
      <c r="X1503" t="s">
        <v>68</v>
      </c>
    </row>
    <row r="1504" spans="1:24" x14ac:dyDescent="0.3">
      <c r="A1504" t="s">
        <v>2780</v>
      </c>
      <c r="B1504" t="s">
        <v>30</v>
      </c>
      <c r="C1504" t="s">
        <v>102</v>
      </c>
      <c r="D1504" t="str">
        <f t="shared" si="69"/>
        <v>Afternoon</v>
      </c>
      <c r="E1504">
        <f>HOUR(EV_Data[[#This Row],[Charging Start Time]])</f>
        <v>14</v>
      </c>
      <c r="F1504" s="1">
        <v>44989.583333333336</v>
      </c>
      <c r="G1504" s="1">
        <v>44989.620833333327</v>
      </c>
      <c r="H1504">
        <v>54</v>
      </c>
      <c r="I1504">
        <v>22.47</v>
      </c>
      <c r="J1504" t="str">
        <f t="shared" si="70"/>
        <v>Medium</v>
      </c>
      <c r="K1504" t="s">
        <v>32</v>
      </c>
      <c r="L1504">
        <v>29</v>
      </c>
      <c r="M1504">
        <v>69</v>
      </c>
      <c r="N1504" t="str">
        <f t="shared" si="71"/>
        <v>Low Cost</v>
      </c>
      <c r="O1504">
        <v>5.89</v>
      </c>
      <c r="P1504" t="s">
        <v>33</v>
      </c>
      <c r="Q1504" t="s">
        <v>24</v>
      </c>
      <c r="R1504" t="s">
        <v>44</v>
      </c>
      <c r="S1504" t="s">
        <v>1085</v>
      </c>
      <c r="T1504" t="s">
        <v>37</v>
      </c>
      <c r="U1504">
        <v>94</v>
      </c>
      <c r="V1504">
        <v>2.2000000000000002</v>
      </c>
      <c r="W1504" t="s">
        <v>47</v>
      </c>
      <c r="X1504" t="s">
        <v>29</v>
      </c>
    </row>
    <row r="1505" spans="1:24" x14ac:dyDescent="0.3">
      <c r="A1505" t="s">
        <v>2781</v>
      </c>
      <c r="B1505" t="s">
        <v>77</v>
      </c>
      <c r="C1505" t="s">
        <v>78</v>
      </c>
      <c r="D1505" t="str">
        <f t="shared" si="69"/>
        <v>Afternoon</v>
      </c>
      <c r="E1505">
        <f>HOUR(EV_Data[[#This Row],[Charging Start Time]])</f>
        <v>15</v>
      </c>
      <c r="F1505" s="1">
        <v>44989.625</v>
      </c>
      <c r="G1505" s="1">
        <v>44989.659722222219</v>
      </c>
      <c r="H1505">
        <v>50</v>
      </c>
      <c r="I1505">
        <v>40.049999999999997</v>
      </c>
      <c r="J1505" t="str">
        <f t="shared" si="70"/>
        <v>Medium</v>
      </c>
      <c r="K1505" t="s">
        <v>22</v>
      </c>
      <c r="L1505">
        <v>33</v>
      </c>
      <c r="M1505">
        <v>64</v>
      </c>
      <c r="N1505" t="str">
        <f t="shared" si="71"/>
        <v>Medium Cost</v>
      </c>
      <c r="O1505">
        <v>14.31</v>
      </c>
      <c r="P1505" t="s">
        <v>43</v>
      </c>
      <c r="Q1505" t="s">
        <v>34</v>
      </c>
      <c r="R1505" t="s">
        <v>35</v>
      </c>
      <c r="S1505" t="s">
        <v>143</v>
      </c>
      <c r="T1505" t="s">
        <v>27</v>
      </c>
      <c r="U1505">
        <v>18</v>
      </c>
      <c r="V1505">
        <v>3.6</v>
      </c>
      <c r="W1505" t="s">
        <v>28</v>
      </c>
      <c r="X1505" t="s">
        <v>68</v>
      </c>
    </row>
    <row r="1506" spans="1:24" x14ac:dyDescent="0.3">
      <c r="A1506" t="s">
        <v>2782</v>
      </c>
      <c r="B1506" t="s">
        <v>77</v>
      </c>
      <c r="C1506" t="s">
        <v>78</v>
      </c>
      <c r="D1506" t="str">
        <f t="shared" si="69"/>
        <v>Afternoon</v>
      </c>
      <c r="E1506">
        <f>HOUR(EV_Data[[#This Row],[Charging Start Time]])</f>
        <v>16</v>
      </c>
      <c r="F1506" s="1">
        <v>44989.666666666664</v>
      </c>
      <c r="G1506" s="1">
        <v>44989.715277777781</v>
      </c>
      <c r="H1506">
        <v>70</v>
      </c>
      <c r="I1506">
        <v>5.27</v>
      </c>
      <c r="J1506" t="str">
        <f t="shared" si="70"/>
        <v>Low</v>
      </c>
      <c r="K1506" t="s">
        <v>69</v>
      </c>
      <c r="L1506">
        <v>73</v>
      </c>
      <c r="M1506">
        <v>100</v>
      </c>
      <c r="N1506" t="str">
        <f t="shared" si="71"/>
        <v>Low Cost</v>
      </c>
      <c r="O1506">
        <v>1.36</v>
      </c>
      <c r="P1506" t="s">
        <v>64</v>
      </c>
      <c r="Q1506" t="s">
        <v>48</v>
      </c>
      <c r="R1506" t="s">
        <v>56</v>
      </c>
      <c r="S1506" t="s">
        <v>621</v>
      </c>
      <c r="T1506" t="s">
        <v>37</v>
      </c>
      <c r="U1506">
        <v>36</v>
      </c>
      <c r="V1506">
        <v>3.1</v>
      </c>
      <c r="W1506" t="s">
        <v>47</v>
      </c>
      <c r="X1506" t="s">
        <v>29</v>
      </c>
    </row>
    <row r="1507" spans="1:24" x14ac:dyDescent="0.3">
      <c r="A1507" t="s">
        <v>2783</v>
      </c>
      <c r="B1507" t="s">
        <v>30</v>
      </c>
      <c r="C1507" t="s">
        <v>102</v>
      </c>
      <c r="D1507" t="str">
        <f t="shared" si="69"/>
        <v>Evening</v>
      </c>
      <c r="E1507">
        <f>HOUR(EV_Data[[#This Row],[Charging Start Time]])</f>
        <v>17</v>
      </c>
      <c r="F1507" s="1">
        <v>44989.708333333336</v>
      </c>
      <c r="G1507" s="1">
        <v>44989.713194444441</v>
      </c>
      <c r="H1507">
        <v>7</v>
      </c>
      <c r="I1507">
        <v>30.58</v>
      </c>
      <c r="J1507" t="str">
        <f t="shared" si="70"/>
        <v>Medium</v>
      </c>
      <c r="K1507" t="s">
        <v>69</v>
      </c>
      <c r="L1507">
        <v>22</v>
      </c>
      <c r="M1507">
        <v>57</v>
      </c>
      <c r="N1507" t="str">
        <f t="shared" si="71"/>
        <v>Medium Cost</v>
      </c>
      <c r="O1507">
        <v>10.43</v>
      </c>
      <c r="P1507" t="s">
        <v>51</v>
      </c>
      <c r="Q1507" t="s">
        <v>48</v>
      </c>
      <c r="R1507" t="s">
        <v>35</v>
      </c>
      <c r="S1507" t="s">
        <v>1086</v>
      </c>
      <c r="T1507" t="s">
        <v>27</v>
      </c>
      <c r="U1507">
        <v>26</v>
      </c>
      <c r="V1507">
        <v>3.3</v>
      </c>
      <c r="W1507" t="s">
        <v>47</v>
      </c>
      <c r="X1507" t="s">
        <v>29</v>
      </c>
    </row>
    <row r="1508" spans="1:24" x14ac:dyDescent="0.3">
      <c r="A1508" t="s">
        <v>2784</v>
      </c>
      <c r="B1508" t="s">
        <v>53</v>
      </c>
      <c r="C1508" t="s">
        <v>54</v>
      </c>
      <c r="D1508" t="str">
        <f t="shared" si="69"/>
        <v>Evening</v>
      </c>
      <c r="E1508">
        <f>HOUR(EV_Data[[#This Row],[Charging Start Time]])</f>
        <v>18</v>
      </c>
      <c r="F1508" s="1">
        <v>44989.75</v>
      </c>
      <c r="G1508" s="1">
        <v>44989.779861111107</v>
      </c>
      <c r="H1508">
        <v>43</v>
      </c>
      <c r="I1508">
        <v>6.64</v>
      </c>
      <c r="J1508" t="str">
        <f t="shared" si="70"/>
        <v>Low</v>
      </c>
      <c r="K1508" t="s">
        <v>50</v>
      </c>
      <c r="L1508">
        <v>11</v>
      </c>
      <c r="M1508">
        <v>22</v>
      </c>
      <c r="N1508" t="str">
        <f t="shared" si="71"/>
        <v>Low Cost</v>
      </c>
      <c r="O1508">
        <v>1.94</v>
      </c>
      <c r="P1508" t="s">
        <v>64</v>
      </c>
      <c r="Q1508" t="s">
        <v>48</v>
      </c>
      <c r="R1508" t="s">
        <v>56</v>
      </c>
      <c r="S1508" t="s">
        <v>198</v>
      </c>
      <c r="T1508" t="s">
        <v>37</v>
      </c>
      <c r="U1508">
        <v>88</v>
      </c>
      <c r="V1508">
        <v>4.4000000000000004</v>
      </c>
      <c r="W1508" t="s">
        <v>28</v>
      </c>
      <c r="X1508" t="s">
        <v>68</v>
      </c>
    </row>
    <row r="1509" spans="1:24" x14ac:dyDescent="0.3">
      <c r="A1509" t="s">
        <v>2785</v>
      </c>
      <c r="B1509" t="s">
        <v>126</v>
      </c>
      <c r="C1509" t="s">
        <v>31</v>
      </c>
      <c r="D1509" t="str">
        <f t="shared" si="69"/>
        <v>Evening</v>
      </c>
      <c r="E1509">
        <f>HOUR(EV_Data[[#This Row],[Charging Start Time]])</f>
        <v>19</v>
      </c>
      <c r="F1509" s="1">
        <v>44989.791666666664</v>
      </c>
      <c r="G1509" s="1">
        <v>44989.829861111109</v>
      </c>
      <c r="H1509">
        <v>55</v>
      </c>
      <c r="I1509">
        <v>36.68</v>
      </c>
      <c r="J1509" t="str">
        <f t="shared" si="70"/>
        <v>Medium</v>
      </c>
      <c r="K1509" t="s">
        <v>55</v>
      </c>
      <c r="L1509">
        <v>20</v>
      </c>
      <c r="M1509">
        <v>58</v>
      </c>
      <c r="N1509" t="str">
        <f t="shared" si="71"/>
        <v>Medium Cost</v>
      </c>
      <c r="O1509">
        <v>11.06</v>
      </c>
      <c r="P1509" t="s">
        <v>43</v>
      </c>
      <c r="Q1509" t="s">
        <v>58</v>
      </c>
      <c r="R1509" t="s">
        <v>35</v>
      </c>
      <c r="S1509" t="s">
        <v>1087</v>
      </c>
      <c r="T1509" t="s">
        <v>27</v>
      </c>
      <c r="U1509">
        <v>70</v>
      </c>
      <c r="V1509">
        <v>2.2000000000000002</v>
      </c>
      <c r="W1509" t="s">
        <v>28</v>
      </c>
      <c r="X1509" t="s">
        <v>68</v>
      </c>
    </row>
    <row r="1510" spans="1:24" x14ac:dyDescent="0.3">
      <c r="A1510" t="s">
        <v>2786</v>
      </c>
      <c r="B1510" t="s">
        <v>20</v>
      </c>
      <c r="C1510" t="s">
        <v>21</v>
      </c>
      <c r="D1510" t="str">
        <f t="shared" si="69"/>
        <v>Evening</v>
      </c>
      <c r="E1510">
        <f>HOUR(EV_Data[[#This Row],[Charging Start Time]])</f>
        <v>20</v>
      </c>
      <c r="F1510" s="1">
        <v>44989.833333333336</v>
      </c>
      <c r="G1510" s="1">
        <v>44989.859027777777</v>
      </c>
      <c r="H1510">
        <v>37</v>
      </c>
      <c r="I1510">
        <v>25.62</v>
      </c>
      <c r="J1510" t="str">
        <f t="shared" si="70"/>
        <v>Medium</v>
      </c>
      <c r="K1510" t="s">
        <v>22</v>
      </c>
      <c r="L1510">
        <v>79</v>
      </c>
      <c r="M1510">
        <v>96</v>
      </c>
      <c r="N1510" t="str">
        <f t="shared" si="71"/>
        <v>Medium Cost</v>
      </c>
      <c r="O1510">
        <v>10.33</v>
      </c>
      <c r="P1510" t="s">
        <v>33</v>
      </c>
      <c r="Q1510" t="s">
        <v>24</v>
      </c>
      <c r="R1510" t="s">
        <v>56</v>
      </c>
      <c r="S1510" t="s">
        <v>891</v>
      </c>
      <c r="T1510" t="s">
        <v>46</v>
      </c>
      <c r="U1510">
        <v>93</v>
      </c>
      <c r="V1510">
        <v>3.3</v>
      </c>
      <c r="W1510" t="s">
        <v>28</v>
      </c>
      <c r="X1510" t="s">
        <v>68</v>
      </c>
    </row>
    <row r="1511" spans="1:24" x14ac:dyDescent="0.3">
      <c r="A1511" t="s">
        <v>2787</v>
      </c>
      <c r="B1511" t="s">
        <v>20</v>
      </c>
      <c r="C1511" t="s">
        <v>21</v>
      </c>
      <c r="D1511" t="str">
        <f t="shared" si="69"/>
        <v>Evening</v>
      </c>
      <c r="E1511">
        <f>HOUR(EV_Data[[#This Row],[Charging Start Time]])</f>
        <v>21</v>
      </c>
      <c r="F1511" s="1">
        <v>44989.875</v>
      </c>
      <c r="G1511" s="1">
        <v>44989.89166666667</v>
      </c>
      <c r="H1511">
        <v>24</v>
      </c>
      <c r="I1511">
        <v>42.16</v>
      </c>
      <c r="J1511" t="str">
        <f t="shared" si="70"/>
        <v>Medium</v>
      </c>
      <c r="K1511" t="s">
        <v>55</v>
      </c>
      <c r="L1511">
        <v>46</v>
      </c>
      <c r="M1511">
        <v>77</v>
      </c>
      <c r="N1511" t="str">
        <f t="shared" si="71"/>
        <v>Medium Cost</v>
      </c>
      <c r="O1511">
        <v>10.59</v>
      </c>
      <c r="P1511" t="s">
        <v>33</v>
      </c>
      <c r="Q1511" t="s">
        <v>58</v>
      </c>
      <c r="R1511" t="s">
        <v>25</v>
      </c>
      <c r="S1511" t="s">
        <v>114</v>
      </c>
      <c r="T1511" t="s">
        <v>27</v>
      </c>
      <c r="U1511">
        <v>95</v>
      </c>
      <c r="V1511">
        <v>3.2</v>
      </c>
      <c r="W1511" t="s">
        <v>28</v>
      </c>
      <c r="X1511" t="s">
        <v>68</v>
      </c>
    </row>
    <row r="1512" spans="1:24" x14ac:dyDescent="0.3">
      <c r="A1512" t="s">
        <v>2788</v>
      </c>
      <c r="B1512" t="s">
        <v>92</v>
      </c>
      <c r="C1512" t="s">
        <v>93</v>
      </c>
      <c r="D1512" t="str">
        <f t="shared" si="69"/>
        <v>Evening</v>
      </c>
      <c r="E1512">
        <f>HOUR(EV_Data[[#This Row],[Charging Start Time]])</f>
        <v>22</v>
      </c>
      <c r="F1512" s="1">
        <v>44989.916666666664</v>
      </c>
      <c r="G1512" s="1">
        <v>44989.990972222222</v>
      </c>
      <c r="H1512">
        <v>107</v>
      </c>
      <c r="I1512">
        <v>45.51</v>
      </c>
      <c r="J1512" t="str">
        <f t="shared" si="70"/>
        <v>Medium</v>
      </c>
      <c r="K1512" t="s">
        <v>42</v>
      </c>
      <c r="L1512">
        <v>36</v>
      </c>
      <c r="M1512">
        <v>71</v>
      </c>
      <c r="N1512" t="str">
        <f t="shared" si="71"/>
        <v>High Cost</v>
      </c>
      <c r="O1512">
        <v>21.41</v>
      </c>
      <c r="P1512" t="s">
        <v>43</v>
      </c>
      <c r="Q1512" t="s">
        <v>24</v>
      </c>
      <c r="R1512" t="s">
        <v>25</v>
      </c>
      <c r="S1512" t="s">
        <v>847</v>
      </c>
      <c r="T1512" t="s">
        <v>46</v>
      </c>
      <c r="U1512">
        <v>31</v>
      </c>
      <c r="V1512">
        <v>3.3</v>
      </c>
      <c r="W1512" t="s">
        <v>47</v>
      </c>
      <c r="X1512" t="s">
        <v>29</v>
      </c>
    </row>
    <row r="1513" spans="1:24" x14ac:dyDescent="0.3">
      <c r="A1513" t="s">
        <v>2789</v>
      </c>
      <c r="B1513" t="s">
        <v>92</v>
      </c>
      <c r="C1513" t="s">
        <v>93</v>
      </c>
      <c r="D1513" t="str">
        <f t="shared" si="69"/>
        <v>Evening</v>
      </c>
      <c r="E1513">
        <f>HOUR(EV_Data[[#This Row],[Charging Start Time]])</f>
        <v>23</v>
      </c>
      <c r="F1513" s="1">
        <v>44989.958333333336</v>
      </c>
      <c r="G1513" s="1">
        <v>44989.972916666673</v>
      </c>
      <c r="H1513">
        <v>21</v>
      </c>
      <c r="I1513">
        <v>13.82</v>
      </c>
      <c r="J1513" t="str">
        <f t="shared" si="70"/>
        <v>Low</v>
      </c>
      <c r="K1513" t="s">
        <v>22</v>
      </c>
      <c r="L1513">
        <v>11</v>
      </c>
      <c r="M1513">
        <v>38</v>
      </c>
      <c r="N1513" t="str">
        <f t="shared" si="71"/>
        <v>Low Cost</v>
      </c>
      <c r="O1513">
        <v>3.28</v>
      </c>
      <c r="P1513" t="s">
        <v>43</v>
      </c>
      <c r="Q1513" t="s">
        <v>24</v>
      </c>
      <c r="R1513" t="s">
        <v>44</v>
      </c>
      <c r="S1513" t="s">
        <v>1088</v>
      </c>
      <c r="T1513" t="s">
        <v>37</v>
      </c>
      <c r="U1513">
        <v>66</v>
      </c>
      <c r="V1513">
        <v>2.1</v>
      </c>
      <c r="W1513" t="s">
        <v>38</v>
      </c>
      <c r="X1513" t="s">
        <v>83</v>
      </c>
    </row>
    <row r="1514" spans="1:24" x14ac:dyDescent="0.3">
      <c r="A1514" t="s">
        <v>2790</v>
      </c>
      <c r="B1514" t="s">
        <v>40</v>
      </c>
      <c r="C1514" t="s">
        <v>41</v>
      </c>
      <c r="D1514" t="str">
        <f t="shared" si="69"/>
        <v>Morning</v>
      </c>
      <c r="E1514">
        <f>HOUR(EV_Data[[#This Row],[Charging Start Time]])</f>
        <v>0</v>
      </c>
      <c r="F1514" s="1">
        <v>44990</v>
      </c>
      <c r="G1514" s="1">
        <v>44990.03125</v>
      </c>
      <c r="H1514">
        <v>45</v>
      </c>
      <c r="I1514">
        <v>48.19</v>
      </c>
      <c r="J1514" t="str">
        <f t="shared" si="70"/>
        <v>Medium</v>
      </c>
      <c r="K1514" t="s">
        <v>32</v>
      </c>
      <c r="L1514">
        <v>58</v>
      </c>
      <c r="M1514">
        <v>70</v>
      </c>
      <c r="N1514" t="str">
        <f t="shared" si="71"/>
        <v>Medium Cost</v>
      </c>
      <c r="O1514">
        <v>12.09</v>
      </c>
      <c r="P1514" t="s">
        <v>23</v>
      </c>
      <c r="Q1514" t="s">
        <v>58</v>
      </c>
      <c r="R1514" t="s">
        <v>44</v>
      </c>
      <c r="S1514" t="s">
        <v>1004</v>
      </c>
      <c r="T1514" t="s">
        <v>60</v>
      </c>
      <c r="U1514">
        <v>95</v>
      </c>
      <c r="V1514">
        <v>1.5</v>
      </c>
      <c r="W1514" t="s">
        <v>47</v>
      </c>
      <c r="X1514" t="s">
        <v>29</v>
      </c>
    </row>
    <row r="1515" spans="1:24" x14ac:dyDescent="0.3">
      <c r="A1515" t="s">
        <v>2791</v>
      </c>
      <c r="B1515" t="s">
        <v>20</v>
      </c>
      <c r="C1515" t="s">
        <v>21</v>
      </c>
      <c r="D1515" t="str">
        <f t="shared" si="69"/>
        <v>Morning</v>
      </c>
      <c r="E1515">
        <f>HOUR(EV_Data[[#This Row],[Charging Start Time]])</f>
        <v>1</v>
      </c>
      <c r="F1515" s="1">
        <v>44990.041666666664</v>
      </c>
      <c r="G1515" s="1">
        <v>44990.098611111112</v>
      </c>
      <c r="H1515">
        <v>82</v>
      </c>
      <c r="I1515">
        <v>30.4</v>
      </c>
      <c r="J1515" t="str">
        <f t="shared" si="70"/>
        <v>Medium</v>
      </c>
      <c r="K1515" t="s">
        <v>42</v>
      </c>
      <c r="L1515">
        <v>58</v>
      </c>
      <c r="M1515">
        <v>68</v>
      </c>
      <c r="N1515" t="str">
        <f t="shared" si="71"/>
        <v>Medium Cost</v>
      </c>
      <c r="O1515">
        <v>8.26</v>
      </c>
      <c r="P1515" t="s">
        <v>43</v>
      </c>
      <c r="Q1515" t="s">
        <v>24</v>
      </c>
      <c r="R1515" t="s">
        <v>35</v>
      </c>
      <c r="S1515" t="s">
        <v>677</v>
      </c>
      <c r="T1515" t="s">
        <v>27</v>
      </c>
      <c r="U1515">
        <v>96</v>
      </c>
      <c r="V1515">
        <v>1.4</v>
      </c>
      <c r="W1515" t="s">
        <v>28</v>
      </c>
      <c r="X1515" t="s">
        <v>68</v>
      </c>
    </row>
    <row r="1516" spans="1:24" x14ac:dyDescent="0.3">
      <c r="A1516" t="s">
        <v>2792</v>
      </c>
      <c r="B1516" t="s">
        <v>92</v>
      </c>
      <c r="C1516" t="s">
        <v>93</v>
      </c>
      <c r="D1516" t="str">
        <f t="shared" si="69"/>
        <v>Morning</v>
      </c>
      <c r="E1516">
        <f>HOUR(EV_Data[[#This Row],[Charging Start Time]])</f>
        <v>2</v>
      </c>
      <c r="F1516" s="1">
        <v>44990.083333333336</v>
      </c>
      <c r="G1516" s="1">
        <v>44990.116666666669</v>
      </c>
      <c r="H1516">
        <v>48</v>
      </c>
      <c r="I1516">
        <v>35.619999999999997</v>
      </c>
      <c r="J1516" t="str">
        <f t="shared" si="70"/>
        <v>Medium</v>
      </c>
      <c r="K1516" t="s">
        <v>42</v>
      </c>
      <c r="L1516">
        <v>9</v>
      </c>
      <c r="M1516">
        <v>31</v>
      </c>
      <c r="N1516" t="str">
        <f t="shared" si="71"/>
        <v>Low Cost</v>
      </c>
      <c r="O1516">
        <v>7.35</v>
      </c>
      <c r="P1516" t="s">
        <v>51</v>
      </c>
      <c r="Q1516" t="s">
        <v>34</v>
      </c>
      <c r="R1516" t="s">
        <v>56</v>
      </c>
      <c r="S1516" t="s">
        <v>1089</v>
      </c>
      <c r="T1516" t="s">
        <v>60</v>
      </c>
      <c r="U1516">
        <v>94</v>
      </c>
      <c r="V1516">
        <v>1.1000000000000001</v>
      </c>
      <c r="W1516" t="s">
        <v>28</v>
      </c>
      <c r="X1516" t="s">
        <v>68</v>
      </c>
    </row>
    <row r="1517" spans="1:24" x14ac:dyDescent="0.3">
      <c r="A1517" t="s">
        <v>2793</v>
      </c>
      <c r="B1517" t="s">
        <v>126</v>
      </c>
      <c r="C1517" t="s">
        <v>31</v>
      </c>
      <c r="D1517" t="str">
        <f t="shared" si="69"/>
        <v>Morning</v>
      </c>
      <c r="E1517">
        <f>HOUR(EV_Data[[#This Row],[Charging Start Time]])</f>
        <v>3</v>
      </c>
      <c r="F1517" s="1">
        <v>44990.125</v>
      </c>
      <c r="G1517" s="1">
        <v>44990.125694444447</v>
      </c>
      <c r="H1517">
        <v>1</v>
      </c>
      <c r="I1517">
        <v>6.24</v>
      </c>
      <c r="J1517" t="str">
        <f t="shared" si="70"/>
        <v>Low</v>
      </c>
      <c r="K1517" t="s">
        <v>22</v>
      </c>
      <c r="L1517">
        <v>10</v>
      </c>
      <c r="M1517">
        <v>21</v>
      </c>
      <c r="N1517" t="str">
        <f t="shared" si="71"/>
        <v>Low Cost</v>
      </c>
      <c r="O1517">
        <v>2.0099999999999998</v>
      </c>
      <c r="P1517" t="s">
        <v>43</v>
      </c>
      <c r="Q1517" t="s">
        <v>24</v>
      </c>
      <c r="R1517" t="s">
        <v>35</v>
      </c>
      <c r="S1517" t="s">
        <v>805</v>
      </c>
      <c r="T1517" t="s">
        <v>46</v>
      </c>
      <c r="U1517">
        <v>21</v>
      </c>
      <c r="V1517">
        <v>2.2000000000000002</v>
      </c>
      <c r="W1517" t="s">
        <v>28</v>
      </c>
      <c r="X1517" t="s">
        <v>68</v>
      </c>
    </row>
    <row r="1518" spans="1:24" x14ac:dyDescent="0.3">
      <c r="A1518" t="s">
        <v>2794</v>
      </c>
      <c r="B1518" t="s">
        <v>53</v>
      </c>
      <c r="C1518" t="s">
        <v>54</v>
      </c>
      <c r="D1518" t="str">
        <f t="shared" si="69"/>
        <v>Morning</v>
      </c>
      <c r="E1518">
        <f>HOUR(EV_Data[[#This Row],[Charging Start Time]])</f>
        <v>4</v>
      </c>
      <c r="F1518" s="1">
        <v>44990.166666666664</v>
      </c>
      <c r="G1518" s="1">
        <v>44990.192361111112</v>
      </c>
      <c r="H1518">
        <v>37</v>
      </c>
      <c r="I1518">
        <v>19.420000000000002</v>
      </c>
      <c r="J1518" t="str">
        <f t="shared" si="70"/>
        <v>Low</v>
      </c>
      <c r="K1518" t="s">
        <v>69</v>
      </c>
      <c r="L1518">
        <v>69</v>
      </c>
      <c r="M1518">
        <v>99</v>
      </c>
      <c r="N1518" t="str">
        <f t="shared" si="71"/>
        <v>Low Cost</v>
      </c>
      <c r="O1518">
        <v>4.41</v>
      </c>
      <c r="P1518" t="s">
        <v>33</v>
      </c>
      <c r="Q1518" t="s">
        <v>48</v>
      </c>
      <c r="R1518" t="s">
        <v>35</v>
      </c>
      <c r="S1518" t="s">
        <v>705</v>
      </c>
      <c r="T1518" t="s">
        <v>60</v>
      </c>
      <c r="U1518">
        <v>78</v>
      </c>
      <c r="V1518">
        <v>2.7</v>
      </c>
      <c r="W1518" t="s">
        <v>38</v>
      </c>
      <c r="X1518" t="s">
        <v>62</v>
      </c>
    </row>
    <row r="1519" spans="1:24" x14ac:dyDescent="0.3">
      <c r="A1519" t="s">
        <v>2795</v>
      </c>
      <c r="B1519" t="s">
        <v>40</v>
      </c>
      <c r="C1519" t="s">
        <v>41</v>
      </c>
      <c r="D1519" t="str">
        <f t="shared" si="69"/>
        <v>Morning</v>
      </c>
      <c r="E1519">
        <f>HOUR(EV_Data[[#This Row],[Charging Start Time]])</f>
        <v>5</v>
      </c>
      <c r="F1519" s="1">
        <v>44990.208333333336</v>
      </c>
      <c r="G1519" s="1">
        <v>44990.237500000003</v>
      </c>
      <c r="H1519">
        <v>42</v>
      </c>
      <c r="I1519">
        <v>27.52</v>
      </c>
      <c r="J1519" t="str">
        <f t="shared" si="70"/>
        <v>Medium</v>
      </c>
      <c r="K1519" t="s">
        <v>50</v>
      </c>
      <c r="L1519">
        <v>79</v>
      </c>
      <c r="M1519">
        <v>93</v>
      </c>
      <c r="N1519" t="str">
        <f t="shared" si="71"/>
        <v>Medium Cost</v>
      </c>
      <c r="O1519">
        <v>12.84</v>
      </c>
      <c r="P1519" t="s">
        <v>64</v>
      </c>
      <c r="Q1519" t="s">
        <v>48</v>
      </c>
      <c r="R1519" t="s">
        <v>44</v>
      </c>
      <c r="S1519" t="s">
        <v>1090</v>
      </c>
      <c r="T1519" t="s">
        <v>27</v>
      </c>
      <c r="U1519">
        <v>77</v>
      </c>
      <c r="V1519">
        <v>1.7</v>
      </c>
      <c r="W1519" t="s">
        <v>47</v>
      </c>
      <c r="X1519" t="s">
        <v>29</v>
      </c>
    </row>
    <row r="1520" spans="1:24" x14ac:dyDescent="0.3">
      <c r="A1520" t="s">
        <v>2796</v>
      </c>
      <c r="B1520" t="s">
        <v>92</v>
      </c>
      <c r="C1520" t="s">
        <v>93</v>
      </c>
      <c r="D1520" t="str">
        <f t="shared" si="69"/>
        <v>Morning</v>
      </c>
      <c r="E1520">
        <f>HOUR(EV_Data[[#This Row],[Charging Start Time]])</f>
        <v>6</v>
      </c>
      <c r="F1520" s="1">
        <v>44990.25</v>
      </c>
      <c r="G1520" s="1">
        <v>44990.26666666667</v>
      </c>
      <c r="H1520">
        <v>24</v>
      </c>
      <c r="I1520">
        <v>27.9</v>
      </c>
      <c r="J1520" t="str">
        <f t="shared" si="70"/>
        <v>Medium</v>
      </c>
      <c r="K1520" t="s">
        <v>22</v>
      </c>
      <c r="L1520">
        <v>63</v>
      </c>
      <c r="M1520">
        <v>100</v>
      </c>
      <c r="N1520" t="str">
        <f t="shared" si="71"/>
        <v>Medium Cost</v>
      </c>
      <c r="O1520">
        <v>8.1</v>
      </c>
      <c r="P1520" t="s">
        <v>33</v>
      </c>
      <c r="Q1520" t="s">
        <v>48</v>
      </c>
      <c r="R1520" t="s">
        <v>35</v>
      </c>
      <c r="S1520" t="s">
        <v>814</v>
      </c>
      <c r="T1520" t="s">
        <v>37</v>
      </c>
      <c r="U1520">
        <v>81</v>
      </c>
      <c r="V1520">
        <v>1.2</v>
      </c>
      <c r="W1520" t="s">
        <v>28</v>
      </c>
      <c r="X1520" t="s">
        <v>68</v>
      </c>
    </row>
    <row r="1521" spans="1:24" x14ac:dyDescent="0.3">
      <c r="A1521" t="s">
        <v>2797</v>
      </c>
      <c r="B1521" t="s">
        <v>77</v>
      </c>
      <c r="C1521" t="s">
        <v>78</v>
      </c>
      <c r="D1521" t="str">
        <f t="shared" si="69"/>
        <v>Morning</v>
      </c>
      <c r="E1521">
        <f>HOUR(EV_Data[[#This Row],[Charging Start Time]])</f>
        <v>7</v>
      </c>
      <c r="F1521" s="1">
        <v>44990.291666666664</v>
      </c>
      <c r="G1521" s="1">
        <v>44990.317361111112</v>
      </c>
      <c r="H1521">
        <v>37</v>
      </c>
      <c r="I1521">
        <v>26.44</v>
      </c>
      <c r="J1521" t="str">
        <f t="shared" si="70"/>
        <v>Medium</v>
      </c>
      <c r="K1521" t="s">
        <v>42</v>
      </c>
      <c r="L1521">
        <v>30</v>
      </c>
      <c r="M1521">
        <v>49</v>
      </c>
      <c r="N1521" t="str">
        <f t="shared" si="71"/>
        <v>Medium Cost</v>
      </c>
      <c r="O1521">
        <v>8.51</v>
      </c>
      <c r="P1521" t="s">
        <v>23</v>
      </c>
      <c r="Q1521" t="s">
        <v>24</v>
      </c>
      <c r="R1521" t="s">
        <v>35</v>
      </c>
      <c r="S1521" t="s">
        <v>1016</v>
      </c>
      <c r="T1521" t="s">
        <v>46</v>
      </c>
      <c r="U1521">
        <v>42</v>
      </c>
      <c r="V1521">
        <v>4</v>
      </c>
      <c r="W1521" t="s">
        <v>47</v>
      </c>
      <c r="X1521" t="s">
        <v>29</v>
      </c>
    </row>
    <row r="1522" spans="1:24" x14ac:dyDescent="0.3">
      <c r="A1522" t="s">
        <v>2798</v>
      </c>
      <c r="B1522" t="s">
        <v>126</v>
      </c>
      <c r="C1522" t="s">
        <v>31</v>
      </c>
      <c r="D1522" t="str">
        <f t="shared" si="69"/>
        <v>Morning</v>
      </c>
      <c r="E1522">
        <f>HOUR(EV_Data[[#This Row],[Charging Start Time]])</f>
        <v>8</v>
      </c>
      <c r="F1522" s="1">
        <v>44990.333333333336</v>
      </c>
      <c r="G1522" s="1">
        <v>44990.379166666673</v>
      </c>
      <c r="H1522">
        <v>66</v>
      </c>
      <c r="I1522">
        <v>10.26</v>
      </c>
      <c r="J1522" t="str">
        <f t="shared" si="70"/>
        <v>Low</v>
      </c>
      <c r="K1522" t="s">
        <v>42</v>
      </c>
      <c r="L1522">
        <v>71</v>
      </c>
      <c r="M1522">
        <v>95</v>
      </c>
      <c r="N1522" t="str">
        <f t="shared" si="71"/>
        <v>Low Cost</v>
      </c>
      <c r="O1522">
        <v>5</v>
      </c>
      <c r="P1522" t="s">
        <v>33</v>
      </c>
      <c r="Q1522" t="s">
        <v>34</v>
      </c>
      <c r="R1522" t="s">
        <v>56</v>
      </c>
      <c r="S1522" t="s">
        <v>1091</v>
      </c>
      <c r="T1522" t="s">
        <v>60</v>
      </c>
      <c r="U1522">
        <v>39</v>
      </c>
      <c r="V1522">
        <v>3.9</v>
      </c>
      <c r="W1522" t="s">
        <v>47</v>
      </c>
      <c r="X1522" t="s">
        <v>29</v>
      </c>
    </row>
    <row r="1523" spans="1:24" x14ac:dyDescent="0.3">
      <c r="A1523" t="s">
        <v>2799</v>
      </c>
      <c r="B1523" t="s">
        <v>126</v>
      </c>
      <c r="C1523" t="s">
        <v>31</v>
      </c>
      <c r="D1523" t="str">
        <f t="shared" si="69"/>
        <v>Morning</v>
      </c>
      <c r="E1523">
        <f>HOUR(EV_Data[[#This Row],[Charging Start Time]])</f>
        <v>9</v>
      </c>
      <c r="F1523" s="1">
        <v>44990.375</v>
      </c>
      <c r="G1523" s="1">
        <v>44990.386111111111</v>
      </c>
      <c r="H1523">
        <v>16</v>
      </c>
      <c r="I1523">
        <v>22.47</v>
      </c>
      <c r="J1523" t="str">
        <f t="shared" si="70"/>
        <v>Medium</v>
      </c>
      <c r="K1523" t="s">
        <v>42</v>
      </c>
      <c r="L1523">
        <v>70</v>
      </c>
      <c r="M1523">
        <v>89</v>
      </c>
      <c r="N1523" t="str">
        <f t="shared" si="71"/>
        <v>Medium Cost</v>
      </c>
      <c r="O1523">
        <v>10.7</v>
      </c>
      <c r="P1523" t="s">
        <v>51</v>
      </c>
      <c r="Q1523" t="s">
        <v>24</v>
      </c>
      <c r="R1523" t="s">
        <v>44</v>
      </c>
      <c r="S1523" t="s">
        <v>103</v>
      </c>
      <c r="T1523" t="s">
        <v>37</v>
      </c>
      <c r="U1523">
        <v>43</v>
      </c>
      <c r="V1523">
        <v>3.9</v>
      </c>
      <c r="W1523" t="s">
        <v>28</v>
      </c>
      <c r="X1523" t="s">
        <v>68</v>
      </c>
    </row>
    <row r="1524" spans="1:24" x14ac:dyDescent="0.3">
      <c r="A1524" t="s">
        <v>2800</v>
      </c>
      <c r="B1524" t="s">
        <v>77</v>
      </c>
      <c r="C1524" t="s">
        <v>78</v>
      </c>
      <c r="D1524" t="str">
        <f t="shared" si="69"/>
        <v>Morning</v>
      </c>
      <c r="E1524">
        <f>HOUR(EV_Data[[#This Row],[Charging Start Time]])</f>
        <v>10</v>
      </c>
      <c r="F1524" s="1">
        <v>44990.416666666664</v>
      </c>
      <c r="G1524" s="1">
        <v>44990.498611111107</v>
      </c>
      <c r="H1524">
        <v>118</v>
      </c>
      <c r="I1524">
        <v>30.17</v>
      </c>
      <c r="J1524" t="str">
        <f t="shared" si="70"/>
        <v>Medium</v>
      </c>
      <c r="K1524" t="s">
        <v>22</v>
      </c>
      <c r="L1524">
        <v>67</v>
      </c>
      <c r="M1524">
        <v>78</v>
      </c>
      <c r="N1524" t="str">
        <f t="shared" si="71"/>
        <v>Low Cost</v>
      </c>
      <c r="O1524">
        <v>6.3</v>
      </c>
      <c r="P1524" t="s">
        <v>33</v>
      </c>
      <c r="Q1524" t="s">
        <v>48</v>
      </c>
      <c r="R1524" t="s">
        <v>44</v>
      </c>
      <c r="S1524" t="s">
        <v>1092</v>
      </c>
      <c r="T1524" t="s">
        <v>46</v>
      </c>
      <c r="U1524">
        <v>14</v>
      </c>
      <c r="V1524">
        <v>1.9</v>
      </c>
      <c r="W1524" t="s">
        <v>38</v>
      </c>
      <c r="X1524" t="s">
        <v>39</v>
      </c>
    </row>
    <row r="1525" spans="1:24" x14ac:dyDescent="0.3">
      <c r="A1525" t="s">
        <v>2801</v>
      </c>
      <c r="B1525" t="s">
        <v>126</v>
      </c>
      <c r="C1525" t="s">
        <v>31</v>
      </c>
      <c r="D1525" t="str">
        <f t="shared" si="69"/>
        <v>Morning</v>
      </c>
      <c r="E1525">
        <f>HOUR(EV_Data[[#This Row],[Charging Start Time]])</f>
        <v>11</v>
      </c>
      <c r="F1525" s="1">
        <v>44990.458333333336</v>
      </c>
      <c r="G1525" s="1">
        <v>44990.515277777777</v>
      </c>
      <c r="H1525">
        <v>82</v>
      </c>
      <c r="I1525">
        <v>42.9</v>
      </c>
      <c r="J1525" t="str">
        <f t="shared" si="70"/>
        <v>Medium</v>
      </c>
      <c r="K1525" t="s">
        <v>50</v>
      </c>
      <c r="L1525">
        <v>28</v>
      </c>
      <c r="M1525">
        <v>52</v>
      </c>
      <c r="N1525" t="str">
        <f t="shared" si="71"/>
        <v>Medium Cost</v>
      </c>
      <c r="O1525">
        <v>10.38</v>
      </c>
      <c r="P1525" t="s">
        <v>43</v>
      </c>
      <c r="Q1525" t="s">
        <v>34</v>
      </c>
      <c r="R1525" t="s">
        <v>44</v>
      </c>
      <c r="S1525" t="s">
        <v>74</v>
      </c>
      <c r="T1525" t="s">
        <v>46</v>
      </c>
      <c r="U1525">
        <v>77</v>
      </c>
      <c r="V1525">
        <v>3.5</v>
      </c>
      <c r="W1525" t="s">
        <v>28</v>
      </c>
      <c r="X1525" t="s">
        <v>68</v>
      </c>
    </row>
    <row r="1526" spans="1:24" x14ac:dyDescent="0.3">
      <c r="A1526" t="s">
        <v>2802</v>
      </c>
      <c r="B1526" t="s">
        <v>126</v>
      </c>
      <c r="C1526" t="s">
        <v>31</v>
      </c>
      <c r="D1526" t="str">
        <f t="shared" si="69"/>
        <v>Afternoon</v>
      </c>
      <c r="E1526">
        <f>HOUR(EV_Data[[#This Row],[Charging Start Time]])</f>
        <v>12</v>
      </c>
      <c r="F1526" s="1">
        <v>44990.5</v>
      </c>
      <c r="G1526" s="1">
        <v>44990.520138888889</v>
      </c>
      <c r="H1526">
        <v>29</v>
      </c>
      <c r="I1526">
        <v>8.77</v>
      </c>
      <c r="J1526" t="str">
        <f t="shared" si="70"/>
        <v>Low</v>
      </c>
      <c r="K1526" t="s">
        <v>32</v>
      </c>
      <c r="L1526">
        <v>38</v>
      </c>
      <c r="M1526">
        <v>51</v>
      </c>
      <c r="N1526" t="str">
        <f t="shared" si="71"/>
        <v>Low Cost</v>
      </c>
      <c r="O1526">
        <v>4.12</v>
      </c>
      <c r="P1526" t="s">
        <v>23</v>
      </c>
      <c r="Q1526" t="s">
        <v>34</v>
      </c>
      <c r="R1526" t="s">
        <v>56</v>
      </c>
      <c r="S1526" t="s">
        <v>221</v>
      </c>
      <c r="T1526" t="s">
        <v>27</v>
      </c>
      <c r="U1526">
        <v>88</v>
      </c>
      <c r="V1526">
        <v>1.1000000000000001</v>
      </c>
      <c r="W1526" t="s">
        <v>38</v>
      </c>
      <c r="X1526" t="s">
        <v>85</v>
      </c>
    </row>
    <row r="1527" spans="1:24" x14ac:dyDescent="0.3">
      <c r="A1527" t="s">
        <v>2803</v>
      </c>
      <c r="B1527" t="s">
        <v>20</v>
      </c>
      <c r="C1527" t="s">
        <v>21</v>
      </c>
      <c r="D1527" t="str">
        <f t="shared" si="69"/>
        <v>Afternoon</v>
      </c>
      <c r="E1527">
        <f>HOUR(EV_Data[[#This Row],[Charging Start Time]])</f>
        <v>13</v>
      </c>
      <c r="F1527" s="1">
        <v>44990.541666666664</v>
      </c>
      <c r="G1527" s="1">
        <v>44990.558333333327</v>
      </c>
      <c r="H1527">
        <v>24</v>
      </c>
      <c r="I1527">
        <v>45.1</v>
      </c>
      <c r="J1527" t="str">
        <f t="shared" si="70"/>
        <v>Medium</v>
      </c>
      <c r="K1527" t="s">
        <v>69</v>
      </c>
      <c r="L1527">
        <v>51</v>
      </c>
      <c r="M1527">
        <v>65</v>
      </c>
      <c r="N1527" t="str">
        <f t="shared" si="71"/>
        <v>High Cost</v>
      </c>
      <c r="O1527">
        <v>20.65</v>
      </c>
      <c r="P1527" t="s">
        <v>51</v>
      </c>
      <c r="Q1527" t="s">
        <v>58</v>
      </c>
      <c r="R1527" t="s">
        <v>35</v>
      </c>
      <c r="S1527" t="s">
        <v>1093</v>
      </c>
      <c r="T1527" t="s">
        <v>37</v>
      </c>
      <c r="U1527">
        <v>39</v>
      </c>
      <c r="V1527">
        <v>1.9</v>
      </c>
      <c r="W1527" t="s">
        <v>38</v>
      </c>
      <c r="X1527" t="s">
        <v>85</v>
      </c>
    </row>
    <row r="1528" spans="1:24" x14ac:dyDescent="0.3">
      <c r="A1528" t="s">
        <v>2804</v>
      </c>
      <c r="B1528" t="s">
        <v>30</v>
      </c>
      <c r="C1528" t="s">
        <v>102</v>
      </c>
      <c r="D1528" t="str">
        <f t="shared" si="69"/>
        <v>Afternoon</v>
      </c>
      <c r="E1528">
        <f>HOUR(EV_Data[[#This Row],[Charging Start Time]])</f>
        <v>14</v>
      </c>
      <c r="F1528" s="1">
        <v>44990.583333333336</v>
      </c>
      <c r="G1528" s="1">
        <v>44990.611805555563</v>
      </c>
      <c r="H1528">
        <v>41</v>
      </c>
      <c r="I1528">
        <v>49.41</v>
      </c>
      <c r="J1528" t="str">
        <f t="shared" si="70"/>
        <v>Medium</v>
      </c>
      <c r="K1528" t="s">
        <v>55</v>
      </c>
      <c r="L1528">
        <v>67</v>
      </c>
      <c r="M1528">
        <v>90</v>
      </c>
      <c r="N1528" t="str">
        <f t="shared" si="71"/>
        <v>High Cost</v>
      </c>
      <c r="O1528">
        <v>19.61</v>
      </c>
      <c r="P1528" t="s">
        <v>33</v>
      </c>
      <c r="Q1528" t="s">
        <v>58</v>
      </c>
      <c r="R1528" t="s">
        <v>44</v>
      </c>
      <c r="S1528" t="s">
        <v>544</v>
      </c>
      <c r="T1528" t="s">
        <v>46</v>
      </c>
      <c r="U1528">
        <v>91</v>
      </c>
      <c r="V1528">
        <v>3.8</v>
      </c>
      <c r="W1528" t="s">
        <v>47</v>
      </c>
      <c r="X1528" t="s">
        <v>29</v>
      </c>
    </row>
    <row r="1529" spans="1:24" x14ac:dyDescent="0.3">
      <c r="A1529" t="s">
        <v>2805</v>
      </c>
      <c r="B1529" t="s">
        <v>71</v>
      </c>
      <c r="C1529" t="s">
        <v>72</v>
      </c>
      <c r="D1529" t="str">
        <f t="shared" si="69"/>
        <v>Afternoon</v>
      </c>
      <c r="E1529">
        <f>HOUR(EV_Data[[#This Row],[Charging Start Time]])</f>
        <v>15</v>
      </c>
      <c r="F1529" s="1">
        <v>44990.625</v>
      </c>
      <c r="G1529" s="1">
        <v>44990.63958333333</v>
      </c>
      <c r="H1529">
        <v>21</v>
      </c>
      <c r="I1529">
        <v>26.58</v>
      </c>
      <c r="J1529" t="str">
        <f t="shared" si="70"/>
        <v>Medium</v>
      </c>
      <c r="K1529" t="s">
        <v>50</v>
      </c>
      <c r="L1529">
        <v>51</v>
      </c>
      <c r="M1529">
        <v>68</v>
      </c>
      <c r="N1529" t="str">
        <f t="shared" si="71"/>
        <v>Low Cost</v>
      </c>
      <c r="O1529">
        <v>6.28</v>
      </c>
      <c r="P1529" t="s">
        <v>51</v>
      </c>
      <c r="Q1529" t="s">
        <v>48</v>
      </c>
      <c r="R1529" t="s">
        <v>44</v>
      </c>
      <c r="S1529" t="s">
        <v>643</v>
      </c>
      <c r="T1529" t="s">
        <v>37</v>
      </c>
      <c r="U1529">
        <v>76</v>
      </c>
      <c r="V1529">
        <v>1.4</v>
      </c>
      <c r="W1529" t="s">
        <v>28</v>
      </c>
      <c r="X1529" t="s">
        <v>68</v>
      </c>
    </row>
    <row r="1530" spans="1:24" x14ac:dyDescent="0.3">
      <c r="A1530" t="s">
        <v>2806</v>
      </c>
      <c r="B1530" t="s">
        <v>92</v>
      </c>
      <c r="C1530" t="s">
        <v>93</v>
      </c>
      <c r="D1530" t="str">
        <f t="shared" si="69"/>
        <v>Afternoon</v>
      </c>
      <c r="E1530">
        <f>HOUR(EV_Data[[#This Row],[Charging Start Time]])</f>
        <v>16</v>
      </c>
      <c r="F1530" s="1">
        <v>44990.666666666664</v>
      </c>
      <c r="G1530" s="1">
        <v>44990.695833333331</v>
      </c>
      <c r="H1530">
        <v>42</v>
      </c>
      <c r="I1530">
        <v>33.520000000000003</v>
      </c>
      <c r="J1530" t="str">
        <f t="shared" si="70"/>
        <v>Medium</v>
      </c>
      <c r="K1530" t="s">
        <v>50</v>
      </c>
      <c r="L1530">
        <v>18</v>
      </c>
      <c r="M1530">
        <v>50</v>
      </c>
      <c r="N1530" t="str">
        <f t="shared" si="71"/>
        <v>Low Cost</v>
      </c>
      <c r="O1530">
        <v>7.07</v>
      </c>
      <c r="P1530" t="s">
        <v>43</v>
      </c>
      <c r="Q1530" t="s">
        <v>58</v>
      </c>
      <c r="R1530" t="s">
        <v>44</v>
      </c>
      <c r="S1530" t="s">
        <v>1094</v>
      </c>
      <c r="T1530" t="s">
        <v>60</v>
      </c>
      <c r="U1530">
        <v>71</v>
      </c>
      <c r="V1530">
        <v>2.2000000000000002</v>
      </c>
      <c r="W1530" t="s">
        <v>28</v>
      </c>
      <c r="X1530" t="s">
        <v>68</v>
      </c>
    </row>
    <row r="1531" spans="1:24" x14ac:dyDescent="0.3">
      <c r="A1531" t="s">
        <v>2807</v>
      </c>
      <c r="B1531" t="s">
        <v>53</v>
      </c>
      <c r="C1531" t="s">
        <v>54</v>
      </c>
      <c r="D1531" t="str">
        <f t="shared" si="69"/>
        <v>Evening</v>
      </c>
      <c r="E1531">
        <f>HOUR(EV_Data[[#This Row],[Charging Start Time]])</f>
        <v>17</v>
      </c>
      <c r="F1531" s="1">
        <v>44990.708333333336</v>
      </c>
      <c r="G1531" s="1">
        <v>44990.770833333343</v>
      </c>
      <c r="H1531">
        <v>90</v>
      </c>
      <c r="I1531">
        <v>14.7</v>
      </c>
      <c r="J1531" t="str">
        <f t="shared" si="70"/>
        <v>Low</v>
      </c>
      <c r="K1531" t="s">
        <v>50</v>
      </c>
      <c r="L1531">
        <v>15</v>
      </c>
      <c r="M1531">
        <v>36</v>
      </c>
      <c r="N1531" t="str">
        <f t="shared" si="71"/>
        <v>Low Cost</v>
      </c>
      <c r="O1531">
        <v>3.17</v>
      </c>
      <c r="P1531" t="s">
        <v>64</v>
      </c>
      <c r="Q1531" t="s">
        <v>48</v>
      </c>
      <c r="R1531" t="s">
        <v>56</v>
      </c>
      <c r="S1531" t="s">
        <v>247</v>
      </c>
      <c r="T1531" t="s">
        <v>27</v>
      </c>
      <c r="U1531">
        <v>78</v>
      </c>
      <c r="V1531">
        <v>1.6</v>
      </c>
      <c r="W1531" t="s">
        <v>28</v>
      </c>
      <c r="X1531" t="s">
        <v>68</v>
      </c>
    </row>
    <row r="1532" spans="1:24" x14ac:dyDescent="0.3">
      <c r="A1532" t="s">
        <v>2808</v>
      </c>
      <c r="B1532" t="s">
        <v>71</v>
      </c>
      <c r="C1532" t="s">
        <v>72</v>
      </c>
      <c r="D1532" t="str">
        <f t="shared" si="69"/>
        <v>Evening</v>
      </c>
      <c r="E1532">
        <f>HOUR(EV_Data[[#This Row],[Charging Start Time]])</f>
        <v>18</v>
      </c>
      <c r="F1532" s="1">
        <v>44990.75</v>
      </c>
      <c r="G1532" s="1">
        <v>44990.78125</v>
      </c>
      <c r="H1532">
        <v>45</v>
      </c>
      <c r="I1532">
        <v>42.98</v>
      </c>
      <c r="J1532" t="str">
        <f t="shared" si="70"/>
        <v>Medium</v>
      </c>
      <c r="K1532" t="s">
        <v>32</v>
      </c>
      <c r="L1532">
        <v>39</v>
      </c>
      <c r="M1532">
        <v>54</v>
      </c>
      <c r="N1532" t="str">
        <f t="shared" si="71"/>
        <v>Medium Cost</v>
      </c>
      <c r="O1532">
        <v>11.8</v>
      </c>
      <c r="P1532" t="s">
        <v>51</v>
      </c>
      <c r="Q1532" t="s">
        <v>24</v>
      </c>
      <c r="R1532" t="s">
        <v>44</v>
      </c>
      <c r="S1532" t="s">
        <v>480</v>
      </c>
      <c r="T1532" t="s">
        <v>37</v>
      </c>
      <c r="U1532">
        <v>43</v>
      </c>
      <c r="V1532">
        <v>1</v>
      </c>
      <c r="W1532" t="s">
        <v>38</v>
      </c>
    </row>
    <row r="1533" spans="1:24" x14ac:dyDescent="0.3">
      <c r="A1533" t="s">
        <v>2809</v>
      </c>
      <c r="B1533" t="s">
        <v>53</v>
      </c>
      <c r="C1533" t="s">
        <v>54</v>
      </c>
      <c r="D1533" t="str">
        <f t="shared" si="69"/>
        <v>Evening</v>
      </c>
      <c r="E1533">
        <f>HOUR(EV_Data[[#This Row],[Charging Start Time]])</f>
        <v>19</v>
      </c>
      <c r="F1533" s="1">
        <v>44990.791666666664</v>
      </c>
      <c r="G1533" s="1">
        <v>44990.824999999997</v>
      </c>
      <c r="H1533">
        <v>48</v>
      </c>
      <c r="I1533">
        <v>28.49</v>
      </c>
      <c r="J1533" t="str">
        <f t="shared" si="70"/>
        <v>Medium</v>
      </c>
      <c r="K1533" t="s">
        <v>69</v>
      </c>
      <c r="L1533">
        <v>45</v>
      </c>
      <c r="M1533">
        <v>65</v>
      </c>
      <c r="N1533" t="str">
        <f t="shared" si="71"/>
        <v>Medium Cost</v>
      </c>
      <c r="O1533">
        <v>8.5299999999999994</v>
      </c>
      <c r="P1533" t="s">
        <v>23</v>
      </c>
      <c r="Q1533" t="s">
        <v>48</v>
      </c>
      <c r="R1533" t="s">
        <v>25</v>
      </c>
      <c r="S1533" t="s">
        <v>924</v>
      </c>
      <c r="T1533" t="s">
        <v>60</v>
      </c>
      <c r="U1533">
        <v>47</v>
      </c>
      <c r="V1533">
        <v>4.3</v>
      </c>
      <c r="W1533" t="s">
        <v>28</v>
      </c>
      <c r="X1533" t="s">
        <v>68</v>
      </c>
    </row>
    <row r="1534" spans="1:24" x14ac:dyDescent="0.3">
      <c r="A1534" t="s">
        <v>2810</v>
      </c>
      <c r="B1534" t="s">
        <v>92</v>
      </c>
      <c r="C1534" t="s">
        <v>93</v>
      </c>
      <c r="D1534" t="str">
        <f t="shared" si="69"/>
        <v>Evening</v>
      </c>
      <c r="E1534">
        <f>HOUR(EV_Data[[#This Row],[Charging Start Time]])</f>
        <v>20</v>
      </c>
      <c r="F1534" s="1">
        <v>44990.833333333336</v>
      </c>
      <c r="G1534" s="1">
        <v>44990.869444444441</v>
      </c>
      <c r="H1534">
        <v>52</v>
      </c>
      <c r="I1534">
        <v>35.11</v>
      </c>
      <c r="J1534" t="str">
        <f t="shared" si="70"/>
        <v>Medium</v>
      </c>
      <c r="K1534" t="s">
        <v>55</v>
      </c>
      <c r="L1534">
        <v>17</v>
      </c>
      <c r="M1534">
        <v>33</v>
      </c>
      <c r="N1534" t="str">
        <f t="shared" si="71"/>
        <v>Medium Cost</v>
      </c>
      <c r="O1534">
        <v>14.1</v>
      </c>
      <c r="P1534" t="s">
        <v>64</v>
      </c>
      <c r="Q1534" t="s">
        <v>24</v>
      </c>
      <c r="R1534" t="s">
        <v>35</v>
      </c>
      <c r="S1534" t="s">
        <v>346</v>
      </c>
      <c r="T1534" t="s">
        <v>60</v>
      </c>
      <c r="U1534">
        <v>43</v>
      </c>
      <c r="V1534">
        <v>1.9</v>
      </c>
      <c r="W1534" t="s">
        <v>28</v>
      </c>
      <c r="X1534" t="s">
        <v>68</v>
      </c>
    </row>
    <row r="1535" spans="1:24" x14ac:dyDescent="0.3">
      <c r="A1535" t="s">
        <v>2811</v>
      </c>
      <c r="B1535" t="s">
        <v>20</v>
      </c>
      <c r="C1535" t="s">
        <v>21</v>
      </c>
      <c r="D1535" t="str">
        <f t="shared" si="69"/>
        <v>Evening</v>
      </c>
      <c r="E1535">
        <f>HOUR(EV_Data[[#This Row],[Charging Start Time]])</f>
        <v>21</v>
      </c>
      <c r="F1535" s="1">
        <v>44990.875</v>
      </c>
      <c r="G1535" s="1">
        <v>44990.926388888889</v>
      </c>
      <c r="H1535">
        <v>74</v>
      </c>
      <c r="I1535">
        <v>23.92</v>
      </c>
      <c r="J1535" t="str">
        <f t="shared" si="70"/>
        <v>Medium</v>
      </c>
      <c r="K1535" t="s">
        <v>55</v>
      </c>
      <c r="L1535">
        <v>10</v>
      </c>
      <c r="M1535">
        <v>45</v>
      </c>
      <c r="N1535" t="str">
        <f t="shared" si="71"/>
        <v>Medium Cost</v>
      </c>
      <c r="O1535">
        <v>11.15</v>
      </c>
      <c r="P1535" t="s">
        <v>43</v>
      </c>
      <c r="Q1535" t="s">
        <v>58</v>
      </c>
      <c r="R1535" t="s">
        <v>44</v>
      </c>
      <c r="S1535" t="s">
        <v>1095</v>
      </c>
      <c r="T1535" t="s">
        <v>27</v>
      </c>
      <c r="U1535">
        <v>47</v>
      </c>
      <c r="V1535">
        <v>4.5999999999999996</v>
      </c>
      <c r="W1535" t="s">
        <v>38</v>
      </c>
      <c r="X1535" t="s">
        <v>83</v>
      </c>
    </row>
    <row r="1536" spans="1:24" x14ac:dyDescent="0.3">
      <c r="A1536" t="s">
        <v>2812</v>
      </c>
      <c r="B1536" t="s">
        <v>126</v>
      </c>
      <c r="C1536" t="s">
        <v>31</v>
      </c>
      <c r="D1536" t="str">
        <f t="shared" si="69"/>
        <v>Evening</v>
      </c>
      <c r="E1536">
        <f>HOUR(EV_Data[[#This Row],[Charging Start Time]])</f>
        <v>22</v>
      </c>
      <c r="F1536" s="1">
        <v>44990.916666666664</v>
      </c>
      <c r="G1536" s="1">
        <v>44990.931944444441</v>
      </c>
      <c r="H1536">
        <v>22</v>
      </c>
      <c r="I1536">
        <v>26.33</v>
      </c>
      <c r="J1536" t="str">
        <f t="shared" si="70"/>
        <v>Medium</v>
      </c>
      <c r="K1536" t="s">
        <v>55</v>
      </c>
      <c r="L1536">
        <v>74</v>
      </c>
      <c r="M1536">
        <v>100</v>
      </c>
      <c r="N1536" t="str">
        <f t="shared" si="71"/>
        <v>Low Cost</v>
      </c>
      <c r="O1536">
        <v>7.61</v>
      </c>
      <c r="P1536" t="s">
        <v>33</v>
      </c>
      <c r="Q1536" t="s">
        <v>34</v>
      </c>
      <c r="R1536" t="s">
        <v>25</v>
      </c>
      <c r="S1536" t="s">
        <v>189</v>
      </c>
      <c r="T1536" t="s">
        <v>46</v>
      </c>
      <c r="U1536">
        <v>46</v>
      </c>
      <c r="V1536">
        <v>4</v>
      </c>
      <c r="W1536" t="s">
        <v>28</v>
      </c>
      <c r="X1536" t="s">
        <v>68</v>
      </c>
    </row>
    <row r="1537" spans="1:24" x14ac:dyDescent="0.3">
      <c r="A1537" t="s">
        <v>2813</v>
      </c>
      <c r="B1537" t="s">
        <v>40</v>
      </c>
      <c r="C1537" t="s">
        <v>41</v>
      </c>
      <c r="D1537" t="str">
        <f t="shared" si="69"/>
        <v>Evening</v>
      </c>
      <c r="E1537">
        <f>HOUR(EV_Data[[#This Row],[Charging Start Time]])</f>
        <v>23</v>
      </c>
      <c r="F1537" s="1">
        <v>44990.958333333336</v>
      </c>
      <c r="G1537" s="1">
        <v>44991.032638888893</v>
      </c>
      <c r="H1537">
        <v>107</v>
      </c>
      <c r="I1537">
        <v>26.47</v>
      </c>
      <c r="J1537" t="str">
        <f t="shared" si="70"/>
        <v>Medium</v>
      </c>
      <c r="K1537" t="s">
        <v>42</v>
      </c>
      <c r="L1537">
        <v>16</v>
      </c>
      <c r="M1537">
        <v>40</v>
      </c>
      <c r="N1537" t="str">
        <f t="shared" si="71"/>
        <v>Medium Cost</v>
      </c>
      <c r="O1537">
        <v>11.93</v>
      </c>
      <c r="P1537" t="s">
        <v>33</v>
      </c>
      <c r="Q1537" t="s">
        <v>34</v>
      </c>
      <c r="R1537" t="s">
        <v>56</v>
      </c>
      <c r="S1537" t="s">
        <v>1096</v>
      </c>
      <c r="T1537" t="s">
        <v>46</v>
      </c>
      <c r="U1537">
        <v>18</v>
      </c>
      <c r="V1537">
        <v>2.1</v>
      </c>
      <c r="W1537" t="s">
        <v>47</v>
      </c>
      <c r="X1537" t="s">
        <v>29</v>
      </c>
    </row>
    <row r="1538" spans="1:24" x14ac:dyDescent="0.3">
      <c r="A1538" t="s">
        <v>2814</v>
      </c>
      <c r="B1538" t="s">
        <v>40</v>
      </c>
      <c r="C1538" t="s">
        <v>41</v>
      </c>
      <c r="D1538" t="str">
        <f t="shared" ref="D1538:D1601" si="72">IF(E1538&lt;12,"Morning",IF(E1538&lt;17,"Afternoon","Evening"))</f>
        <v>Morning</v>
      </c>
      <c r="E1538">
        <f>HOUR(EV_Data[[#This Row],[Charging Start Time]])</f>
        <v>0</v>
      </c>
      <c r="F1538" s="1">
        <v>44991</v>
      </c>
      <c r="G1538" s="1">
        <v>44991.035416666673</v>
      </c>
      <c r="H1538">
        <v>51</v>
      </c>
      <c r="I1538">
        <v>13.44</v>
      </c>
      <c r="J1538" t="str">
        <f t="shared" ref="J1538:J1601" si="73">IF(I1538&lt;20,"Low",IF(I1538&lt;50,"Medium","High"))</f>
        <v>Low</v>
      </c>
      <c r="K1538" t="s">
        <v>50</v>
      </c>
      <c r="L1538">
        <v>26</v>
      </c>
      <c r="M1538">
        <v>56</v>
      </c>
      <c r="N1538" t="str">
        <f t="shared" ref="N1538:N1601" si="74">IF(O1538&lt;8,"Low Cost",IF(O1538&lt;17,"Medium Cost","High Cost"))</f>
        <v>Low Cost</v>
      </c>
      <c r="O1538">
        <v>5.07</v>
      </c>
      <c r="P1538" t="s">
        <v>23</v>
      </c>
      <c r="Q1538" t="s">
        <v>24</v>
      </c>
      <c r="R1538" t="s">
        <v>25</v>
      </c>
      <c r="S1538" t="s">
        <v>376</v>
      </c>
      <c r="T1538" t="s">
        <v>60</v>
      </c>
      <c r="U1538">
        <v>94</v>
      </c>
      <c r="V1538">
        <v>3.4</v>
      </c>
      <c r="W1538" t="s">
        <v>28</v>
      </c>
      <c r="X1538" t="s">
        <v>68</v>
      </c>
    </row>
    <row r="1539" spans="1:24" x14ac:dyDescent="0.3">
      <c r="A1539" t="s">
        <v>2815</v>
      </c>
      <c r="B1539" t="s">
        <v>20</v>
      </c>
      <c r="C1539" t="s">
        <v>21</v>
      </c>
      <c r="D1539" t="str">
        <f t="shared" si="72"/>
        <v>Morning</v>
      </c>
      <c r="E1539">
        <f>HOUR(EV_Data[[#This Row],[Charging Start Time]])</f>
        <v>1</v>
      </c>
      <c r="F1539" s="1">
        <v>44991.041666666664</v>
      </c>
      <c r="G1539" s="1">
        <v>44991.095138888893</v>
      </c>
      <c r="H1539">
        <v>77</v>
      </c>
      <c r="I1539">
        <v>28.49</v>
      </c>
      <c r="J1539" t="str">
        <f t="shared" si="73"/>
        <v>Medium</v>
      </c>
      <c r="K1539" t="s">
        <v>42</v>
      </c>
      <c r="L1539">
        <v>77</v>
      </c>
      <c r="M1539">
        <v>100</v>
      </c>
      <c r="N1539" t="str">
        <f t="shared" si="74"/>
        <v>Medium Cost</v>
      </c>
      <c r="O1539">
        <v>10.52</v>
      </c>
      <c r="P1539" t="s">
        <v>64</v>
      </c>
      <c r="Q1539" t="s">
        <v>34</v>
      </c>
      <c r="R1539" t="s">
        <v>25</v>
      </c>
      <c r="S1539" t="s">
        <v>652</v>
      </c>
      <c r="T1539" t="s">
        <v>27</v>
      </c>
      <c r="U1539">
        <v>35</v>
      </c>
      <c r="V1539">
        <v>3.8</v>
      </c>
      <c r="W1539" t="s">
        <v>28</v>
      </c>
      <c r="X1539" t="s">
        <v>68</v>
      </c>
    </row>
    <row r="1540" spans="1:24" x14ac:dyDescent="0.3">
      <c r="A1540" t="s">
        <v>2816</v>
      </c>
      <c r="B1540" t="s">
        <v>30</v>
      </c>
      <c r="C1540" t="s">
        <v>102</v>
      </c>
      <c r="D1540" t="str">
        <f t="shared" si="72"/>
        <v>Morning</v>
      </c>
      <c r="E1540">
        <f>HOUR(EV_Data[[#This Row],[Charging Start Time]])</f>
        <v>2</v>
      </c>
      <c r="F1540" s="1">
        <v>44991.083333333336</v>
      </c>
      <c r="G1540" s="1">
        <v>44991.127083333333</v>
      </c>
      <c r="H1540">
        <v>63</v>
      </c>
      <c r="I1540">
        <v>11.66</v>
      </c>
      <c r="J1540" t="str">
        <f t="shared" si="73"/>
        <v>Low</v>
      </c>
      <c r="K1540" t="s">
        <v>55</v>
      </c>
      <c r="L1540">
        <v>14</v>
      </c>
      <c r="M1540">
        <v>27</v>
      </c>
      <c r="N1540" t="str">
        <f t="shared" si="74"/>
        <v>Low Cost</v>
      </c>
      <c r="O1540">
        <v>5.5</v>
      </c>
      <c r="P1540" t="s">
        <v>23</v>
      </c>
      <c r="Q1540" t="s">
        <v>24</v>
      </c>
      <c r="R1540" t="s">
        <v>44</v>
      </c>
      <c r="S1540" t="s">
        <v>1097</v>
      </c>
      <c r="T1540" t="s">
        <v>60</v>
      </c>
      <c r="U1540">
        <v>18</v>
      </c>
      <c r="V1540">
        <v>1.6</v>
      </c>
      <c r="W1540" t="s">
        <v>38</v>
      </c>
      <c r="X1540" t="s">
        <v>83</v>
      </c>
    </row>
    <row r="1541" spans="1:24" x14ac:dyDescent="0.3">
      <c r="A1541" t="s">
        <v>2817</v>
      </c>
      <c r="B1541" t="s">
        <v>20</v>
      </c>
      <c r="C1541" t="s">
        <v>21</v>
      </c>
      <c r="D1541" t="str">
        <f t="shared" si="72"/>
        <v>Morning</v>
      </c>
      <c r="E1541">
        <f>HOUR(EV_Data[[#This Row],[Charging Start Time]])</f>
        <v>3</v>
      </c>
      <c r="F1541" s="1">
        <v>44991.125</v>
      </c>
      <c r="G1541" s="1">
        <v>44991.163888888892</v>
      </c>
      <c r="H1541">
        <v>56</v>
      </c>
      <c r="I1541">
        <v>43.52</v>
      </c>
      <c r="J1541" t="str">
        <f t="shared" si="73"/>
        <v>Medium</v>
      </c>
      <c r="K1541" t="s">
        <v>22</v>
      </c>
      <c r="L1541">
        <v>43</v>
      </c>
      <c r="M1541">
        <v>72</v>
      </c>
      <c r="N1541" t="str">
        <f t="shared" si="74"/>
        <v>Medium Cost</v>
      </c>
      <c r="O1541">
        <v>13.38</v>
      </c>
      <c r="P1541" t="s">
        <v>23</v>
      </c>
      <c r="Q1541" t="s">
        <v>48</v>
      </c>
      <c r="R1541" t="s">
        <v>25</v>
      </c>
      <c r="S1541" t="s">
        <v>765</v>
      </c>
      <c r="T1541" t="s">
        <v>27</v>
      </c>
      <c r="U1541">
        <v>87</v>
      </c>
      <c r="V1541">
        <v>1.4</v>
      </c>
      <c r="W1541" t="s">
        <v>28</v>
      </c>
      <c r="X1541" t="s">
        <v>68</v>
      </c>
    </row>
    <row r="1542" spans="1:24" x14ac:dyDescent="0.3">
      <c r="A1542" t="s">
        <v>2818</v>
      </c>
      <c r="B1542" t="s">
        <v>77</v>
      </c>
      <c r="C1542" t="s">
        <v>78</v>
      </c>
      <c r="D1542" t="str">
        <f t="shared" si="72"/>
        <v>Morning</v>
      </c>
      <c r="E1542">
        <f>HOUR(EV_Data[[#This Row],[Charging Start Time]])</f>
        <v>4</v>
      </c>
      <c r="F1542" s="1">
        <v>44991.166666666664</v>
      </c>
      <c r="G1542" s="1">
        <v>44991.20208333333</v>
      </c>
      <c r="H1542">
        <v>51</v>
      </c>
      <c r="I1542">
        <v>24.97</v>
      </c>
      <c r="J1542" t="str">
        <f t="shared" si="73"/>
        <v>Medium</v>
      </c>
      <c r="K1542" t="s">
        <v>42</v>
      </c>
      <c r="L1542">
        <v>51</v>
      </c>
      <c r="M1542">
        <v>67</v>
      </c>
      <c r="N1542" t="str">
        <f t="shared" si="74"/>
        <v>Medium Cost</v>
      </c>
      <c r="O1542">
        <v>10.45</v>
      </c>
      <c r="P1542" t="s">
        <v>51</v>
      </c>
      <c r="Q1542" t="s">
        <v>34</v>
      </c>
      <c r="R1542" t="s">
        <v>56</v>
      </c>
      <c r="S1542" t="s">
        <v>1098</v>
      </c>
      <c r="T1542" t="s">
        <v>60</v>
      </c>
      <c r="U1542">
        <v>23</v>
      </c>
      <c r="V1542">
        <v>2.1</v>
      </c>
      <c r="W1542" t="s">
        <v>38</v>
      </c>
      <c r="X1542" t="s">
        <v>83</v>
      </c>
    </row>
    <row r="1543" spans="1:24" x14ac:dyDescent="0.3">
      <c r="A1543" t="s">
        <v>2819</v>
      </c>
      <c r="B1543" t="s">
        <v>77</v>
      </c>
      <c r="C1543" t="s">
        <v>78</v>
      </c>
      <c r="D1543" t="str">
        <f t="shared" si="72"/>
        <v>Morning</v>
      </c>
      <c r="E1543">
        <f>HOUR(EV_Data[[#This Row],[Charging Start Time]])</f>
        <v>5</v>
      </c>
      <c r="F1543" s="1">
        <v>44991.208333333336</v>
      </c>
      <c r="G1543" s="1">
        <v>44991.239583333343</v>
      </c>
      <c r="H1543">
        <v>45</v>
      </c>
      <c r="I1543">
        <v>15.92</v>
      </c>
      <c r="J1543" t="str">
        <f t="shared" si="73"/>
        <v>Low</v>
      </c>
      <c r="K1543" t="s">
        <v>50</v>
      </c>
      <c r="L1543">
        <v>46</v>
      </c>
      <c r="M1543">
        <v>71</v>
      </c>
      <c r="N1543" t="str">
        <f t="shared" si="74"/>
        <v>Low Cost</v>
      </c>
      <c r="O1543">
        <v>6.51</v>
      </c>
      <c r="P1543" t="s">
        <v>33</v>
      </c>
      <c r="Q1543" t="s">
        <v>24</v>
      </c>
      <c r="R1543" t="s">
        <v>44</v>
      </c>
      <c r="S1543" t="s">
        <v>848</v>
      </c>
      <c r="T1543" t="s">
        <v>27</v>
      </c>
      <c r="U1543">
        <v>36</v>
      </c>
      <c r="V1543">
        <v>2.2999999999999998</v>
      </c>
      <c r="W1543" t="s">
        <v>28</v>
      </c>
      <c r="X1543" t="s">
        <v>68</v>
      </c>
    </row>
    <row r="1544" spans="1:24" x14ac:dyDescent="0.3">
      <c r="A1544" t="s">
        <v>2820</v>
      </c>
      <c r="B1544" t="s">
        <v>71</v>
      </c>
      <c r="C1544" t="s">
        <v>72</v>
      </c>
      <c r="D1544" t="str">
        <f t="shared" si="72"/>
        <v>Morning</v>
      </c>
      <c r="E1544">
        <f>HOUR(EV_Data[[#This Row],[Charging Start Time]])</f>
        <v>6</v>
      </c>
      <c r="F1544" s="1">
        <v>44991.25</v>
      </c>
      <c r="G1544" s="1">
        <v>44991.265972222223</v>
      </c>
      <c r="H1544">
        <v>23</v>
      </c>
      <c r="I1544">
        <v>44.4</v>
      </c>
      <c r="J1544" t="str">
        <f t="shared" si="73"/>
        <v>Medium</v>
      </c>
      <c r="K1544" t="s">
        <v>50</v>
      </c>
      <c r="L1544">
        <v>40</v>
      </c>
      <c r="M1544">
        <v>57</v>
      </c>
      <c r="N1544" t="str">
        <f t="shared" si="74"/>
        <v>Medium Cost</v>
      </c>
      <c r="O1544">
        <v>13.3</v>
      </c>
      <c r="P1544" t="s">
        <v>64</v>
      </c>
      <c r="Q1544" t="s">
        <v>48</v>
      </c>
      <c r="R1544" t="s">
        <v>44</v>
      </c>
      <c r="S1544" t="s">
        <v>1069</v>
      </c>
      <c r="T1544" t="s">
        <v>46</v>
      </c>
      <c r="U1544">
        <v>67</v>
      </c>
      <c r="V1544">
        <v>4.5999999999999996</v>
      </c>
      <c r="W1544" t="s">
        <v>38</v>
      </c>
      <c r="X1544" t="s">
        <v>83</v>
      </c>
    </row>
    <row r="1545" spans="1:24" x14ac:dyDescent="0.3">
      <c r="A1545" t="s">
        <v>2821</v>
      </c>
      <c r="B1545" t="s">
        <v>77</v>
      </c>
      <c r="C1545" t="s">
        <v>78</v>
      </c>
      <c r="D1545" t="str">
        <f t="shared" si="72"/>
        <v>Morning</v>
      </c>
      <c r="E1545">
        <f>HOUR(EV_Data[[#This Row],[Charging Start Time]])</f>
        <v>7</v>
      </c>
      <c r="F1545" s="1">
        <v>44991.291666666664</v>
      </c>
      <c r="G1545" s="1">
        <v>44991.326388888891</v>
      </c>
      <c r="H1545">
        <v>50</v>
      </c>
      <c r="I1545">
        <v>10.36</v>
      </c>
      <c r="J1545" t="str">
        <f t="shared" si="73"/>
        <v>Low</v>
      </c>
      <c r="K1545" t="s">
        <v>69</v>
      </c>
      <c r="L1545">
        <v>27</v>
      </c>
      <c r="M1545">
        <v>55</v>
      </c>
      <c r="N1545" t="str">
        <f t="shared" si="74"/>
        <v>Low Cost</v>
      </c>
      <c r="O1545">
        <v>5.14</v>
      </c>
      <c r="P1545" t="s">
        <v>51</v>
      </c>
      <c r="Q1545" t="s">
        <v>48</v>
      </c>
      <c r="R1545" t="s">
        <v>25</v>
      </c>
      <c r="S1545" t="s">
        <v>1099</v>
      </c>
      <c r="T1545" t="s">
        <v>37</v>
      </c>
      <c r="U1545">
        <v>38</v>
      </c>
      <c r="V1545">
        <v>3.7</v>
      </c>
      <c r="W1545" t="s">
        <v>47</v>
      </c>
      <c r="X1545" t="s">
        <v>29</v>
      </c>
    </row>
    <row r="1546" spans="1:24" x14ac:dyDescent="0.3">
      <c r="A1546" t="s">
        <v>2822</v>
      </c>
      <c r="B1546" t="s">
        <v>40</v>
      </c>
      <c r="C1546" t="s">
        <v>41</v>
      </c>
      <c r="D1546" t="str">
        <f t="shared" si="72"/>
        <v>Morning</v>
      </c>
      <c r="E1546">
        <f>HOUR(EV_Data[[#This Row],[Charging Start Time]])</f>
        <v>8</v>
      </c>
      <c r="F1546" s="1">
        <v>44991.333333333336</v>
      </c>
      <c r="G1546" s="1">
        <v>44991.345138888893</v>
      </c>
      <c r="H1546">
        <v>17</v>
      </c>
      <c r="I1546">
        <v>9.86</v>
      </c>
      <c r="J1546" t="str">
        <f t="shared" si="73"/>
        <v>Low</v>
      </c>
      <c r="K1546" t="s">
        <v>69</v>
      </c>
      <c r="L1546">
        <v>18</v>
      </c>
      <c r="M1546">
        <v>28</v>
      </c>
      <c r="N1546" t="str">
        <f t="shared" si="74"/>
        <v>Low Cost</v>
      </c>
      <c r="O1546">
        <v>4.4800000000000004</v>
      </c>
      <c r="P1546" t="s">
        <v>23</v>
      </c>
      <c r="Q1546" t="s">
        <v>24</v>
      </c>
      <c r="R1546" t="s">
        <v>35</v>
      </c>
      <c r="S1546" t="s">
        <v>1100</v>
      </c>
      <c r="T1546" t="s">
        <v>27</v>
      </c>
      <c r="U1546">
        <v>59</v>
      </c>
      <c r="V1546">
        <v>2.9</v>
      </c>
      <c r="W1546" t="s">
        <v>47</v>
      </c>
      <c r="X1546" t="s">
        <v>29</v>
      </c>
    </row>
    <row r="1547" spans="1:24" x14ac:dyDescent="0.3">
      <c r="A1547" t="s">
        <v>2823</v>
      </c>
      <c r="B1547" t="s">
        <v>20</v>
      </c>
      <c r="C1547" t="s">
        <v>21</v>
      </c>
      <c r="D1547" t="str">
        <f t="shared" si="72"/>
        <v>Morning</v>
      </c>
      <c r="E1547">
        <f>HOUR(EV_Data[[#This Row],[Charging Start Time]])</f>
        <v>9</v>
      </c>
      <c r="F1547" s="1">
        <v>44991.375</v>
      </c>
      <c r="G1547" s="1">
        <v>44991.411111111112</v>
      </c>
      <c r="H1547">
        <v>52</v>
      </c>
      <c r="I1547">
        <v>39.18</v>
      </c>
      <c r="J1547" t="str">
        <f t="shared" si="73"/>
        <v>Medium</v>
      </c>
      <c r="K1547" t="s">
        <v>42</v>
      </c>
      <c r="L1547">
        <v>49</v>
      </c>
      <c r="M1547">
        <v>69</v>
      </c>
      <c r="N1547" t="str">
        <f t="shared" si="74"/>
        <v>Medium Cost</v>
      </c>
      <c r="O1547">
        <v>10.98</v>
      </c>
      <c r="P1547" t="s">
        <v>43</v>
      </c>
      <c r="Q1547" t="s">
        <v>24</v>
      </c>
      <c r="R1547" t="s">
        <v>56</v>
      </c>
      <c r="S1547" t="s">
        <v>1101</v>
      </c>
      <c r="T1547" t="s">
        <v>60</v>
      </c>
      <c r="U1547">
        <v>36</v>
      </c>
      <c r="V1547">
        <v>4.0999999999999996</v>
      </c>
      <c r="W1547" t="s">
        <v>38</v>
      </c>
    </row>
    <row r="1548" spans="1:24" x14ac:dyDescent="0.3">
      <c r="A1548" t="s">
        <v>2824</v>
      </c>
      <c r="B1548" t="s">
        <v>71</v>
      </c>
      <c r="C1548" t="s">
        <v>72</v>
      </c>
      <c r="D1548" t="str">
        <f t="shared" si="72"/>
        <v>Morning</v>
      </c>
      <c r="E1548">
        <f>HOUR(EV_Data[[#This Row],[Charging Start Time]])</f>
        <v>10</v>
      </c>
      <c r="F1548" s="1">
        <v>44991.416666666664</v>
      </c>
      <c r="G1548" s="1">
        <v>44991.465277777781</v>
      </c>
      <c r="H1548">
        <v>70</v>
      </c>
      <c r="I1548">
        <v>33.35</v>
      </c>
      <c r="J1548" t="str">
        <f t="shared" si="73"/>
        <v>Medium</v>
      </c>
      <c r="K1548" t="s">
        <v>32</v>
      </c>
      <c r="L1548">
        <v>22</v>
      </c>
      <c r="M1548">
        <v>61</v>
      </c>
      <c r="N1548" t="str">
        <f t="shared" si="74"/>
        <v>Medium Cost</v>
      </c>
      <c r="O1548">
        <v>16.149999999999999</v>
      </c>
      <c r="P1548" t="s">
        <v>23</v>
      </c>
      <c r="Q1548" t="s">
        <v>48</v>
      </c>
      <c r="R1548" t="s">
        <v>56</v>
      </c>
      <c r="S1548" t="s">
        <v>337</v>
      </c>
      <c r="T1548" t="s">
        <v>37</v>
      </c>
      <c r="U1548">
        <v>37</v>
      </c>
      <c r="V1548">
        <v>4</v>
      </c>
      <c r="W1548" t="s">
        <v>47</v>
      </c>
      <c r="X1548" t="s">
        <v>29</v>
      </c>
    </row>
    <row r="1549" spans="1:24" x14ac:dyDescent="0.3">
      <c r="A1549" t="s">
        <v>2825</v>
      </c>
      <c r="B1549" t="s">
        <v>40</v>
      </c>
      <c r="C1549" t="s">
        <v>41</v>
      </c>
      <c r="D1549" t="str">
        <f t="shared" si="72"/>
        <v>Morning</v>
      </c>
      <c r="E1549">
        <f>HOUR(EV_Data[[#This Row],[Charging Start Time]])</f>
        <v>11</v>
      </c>
      <c r="F1549" s="1">
        <v>44991.458333333336</v>
      </c>
      <c r="G1549" s="1">
        <v>44991.550694444442</v>
      </c>
      <c r="H1549">
        <v>133</v>
      </c>
      <c r="I1549">
        <v>29.92</v>
      </c>
      <c r="J1549" t="str">
        <f t="shared" si="73"/>
        <v>Medium</v>
      </c>
      <c r="K1549" t="s">
        <v>69</v>
      </c>
      <c r="L1549">
        <v>33</v>
      </c>
      <c r="M1549">
        <v>66</v>
      </c>
      <c r="N1549" t="str">
        <f t="shared" si="74"/>
        <v>Low Cost</v>
      </c>
      <c r="O1549">
        <v>6.36</v>
      </c>
      <c r="P1549" t="s">
        <v>43</v>
      </c>
      <c r="Q1549" t="s">
        <v>58</v>
      </c>
      <c r="R1549" t="s">
        <v>44</v>
      </c>
      <c r="S1549" t="s">
        <v>830</v>
      </c>
      <c r="T1549" t="s">
        <v>27</v>
      </c>
      <c r="U1549">
        <v>73</v>
      </c>
      <c r="V1549">
        <v>3.1</v>
      </c>
      <c r="W1549" t="s">
        <v>28</v>
      </c>
      <c r="X1549" t="s">
        <v>68</v>
      </c>
    </row>
    <row r="1550" spans="1:24" x14ac:dyDescent="0.3">
      <c r="A1550" t="s">
        <v>2826</v>
      </c>
      <c r="B1550" t="s">
        <v>40</v>
      </c>
      <c r="C1550" t="s">
        <v>41</v>
      </c>
      <c r="D1550" t="str">
        <f t="shared" si="72"/>
        <v>Afternoon</v>
      </c>
      <c r="E1550">
        <f>HOUR(EV_Data[[#This Row],[Charging Start Time]])</f>
        <v>12</v>
      </c>
      <c r="F1550" s="1">
        <v>44991.5</v>
      </c>
      <c r="G1550" s="1">
        <v>44991.520833333343</v>
      </c>
      <c r="H1550">
        <v>30</v>
      </c>
      <c r="I1550">
        <v>7.76</v>
      </c>
      <c r="J1550" t="str">
        <f t="shared" si="73"/>
        <v>Low</v>
      </c>
      <c r="K1550" t="s">
        <v>42</v>
      </c>
      <c r="L1550">
        <v>38</v>
      </c>
      <c r="M1550">
        <v>62</v>
      </c>
      <c r="N1550" t="str">
        <f t="shared" si="74"/>
        <v>Low Cost</v>
      </c>
      <c r="O1550">
        <v>1.55</v>
      </c>
      <c r="P1550" t="s">
        <v>51</v>
      </c>
      <c r="Q1550" t="s">
        <v>48</v>
      </c>
      <c r="R1550" t="s">
        <v>25</v>
      </c>
      <c r="S1550" t="s">
        <v>1102</v>
      </c>
      <c r="T1550" t="s">
        <v>46</v>
      </c>
      <c r="U1550">
        <v>23</v>
      </c>
      <c r="V1550">
        <v>2.2000000000000002</v>
      </c>
      <c r="W1550" t="s">
        <v>47</v>
      </c>
      <c r="X1550" t="s">
        <v>29</v>
      </c>
    </row>
    <row r="1551" spans="1:24" x14ac:dyDescent="0.3">
      <c r="A1551" t="s">
        <v>2827</v>
      </c>
      <c r="B1551" t="s">
        <v>71</v>
      </c>
      <c r="C1551" t="s">
        <v>72</v>
      </c>
      <c r="D1551" t="str">
        <f t="shared" si="72"/>
        <v>Afternoon</v>
      </c>
      <c r="E1551">
        <f>HOUR(EV_Data[[#This Row],[Charging Start Time]])</f>
        <v>13</v>
      </c>
      <c r="F1551" s="1">
        <v>44991.541666666664</v>
      </c>
      <c r="G1551" s="1">
        <v>44991.586805555547</v>
      </c>
      <c r="H1551">
        <v>65</v>
      </c>
      <c r="I1551">
        <v>41.83</v>
      </c>
      <c r="J1551" t="str">
        <f t="shared" si="73"/>
        <v>Medium</v>
      </c>
      <c r="K1551" t="s">
        <v>50</v>
      </c>
      <c r="L1551">
        <v>19</v>
      </c>
      <c r="M1551">
        <v>56</v>
      </c>
      <c r="N1551" t="str">
        <f t="shared" si="74"/>
        <v>Medium Cost</v>
      </c>
      <c r="O1551">
        <v>9.9499999999999993</v>
      </c>
      <c r="P1551" t="s">
        <v>51</v>
      </c>
      <c r="Q1551" t="s">
        <v>58</v>
      </c>
      <c r="R1551" t="s">
        <v>56</v>
      </c>
      <c r="S1551" t="s">
        <v>190</v>
      </c>
      <c r="T1551" t="s">
        <v>37</v>
      </c>
      <c r="U1551">
        <v>21</v>
      </c>
      <c r="V1551">
        <v>1.4</v>
      </c>
      <c r="W1551" t="s">
        <v>38</v>
      </c>
      <c r="X1551" t="s">
        <v>62</v>
      </c>
    </row>
    <row r="1552" spans="1:24" x14ac:dyDescent="0.3">
      <c r="A1552" t="s">
        <v>2828</v>
      </c>
      <c r="B1552" t="s">
        <v>92</v>
      </c>
      <c r="C1552" t="s">
        <v>93</v>
      </c>
      <c r="D1552" t="str">
        <f t="shared" si="72"/>
        <v>Afternoon</v>
      </c>
      <c r="E1552">
        <f>HOUR(EV_Data[[#This Row],[Charging Start Time]])</f>
        <v>14</v>
      </c>
      <c r="F1552" s="1">
        <v>44991.583333333336</v>
      </c>
      <c r="G1552" s="1">
        <v>44991.63958333333</v>
      </c>
      <c r="H1552">
        <v>81</v>
      </c>
      <c r="I1552">
        <v>33.770000000000003</v>
      </c>
      <c r="J1552" t="str">
        <f t="shared" si="73"/>
        <v>Medium</v>
      </c>
      <c r="K1552" t="s">
        <v>32</v>
      </c>
      <c r="L1552">
        <v>56</v>
      </c>
      <c r="M1552">
        <v>74</v>
      </c>
      <c r="N1552" t="str">
        <f t="shared" si="74"/>
        <v>Medium Cost</v>
      </c>
      <c r="O1552">
        <v>11.9</v>
      </c>
      <c r="P1552" t="s">
        <v>64</v>
      </c>
      <c r="Q1552" t="s">
        <v>48</v>
      </c>
      <c r="R1552" t="s">
        <v>25</v>
      </c>
      <c r="S1552" t="s">
        <v>741</v>
      </c>
      <c r="T1552" t="s">
        <v>46</v>
      </c>
      <c r="U1552">
        <v>12</v>
      </c>
      <c r="V1552">
        <v>4.9000000000000004</v>
      </c>
      <c r="W1552" t="s">
        <v>28</v>
      </c>
      <c r="X1552" t="s">
        <v>68</v>
      </c>
    </row>
    <row r="1553" spans="1:24" x14ac:dyDescent="0.3">
      <c r="A1553" t="s">
        <v>2829</v>
      </c>
      <c r="B1553" t="s">
        <v>53</v>
      </c>
      <c r="C1553" t="s">
        <v>54</v>
      </c>
      <c r="D1553" t="str">
        <f t="shared" si="72"/>
        <v>Afternoon</v>
      </c>
      <c r="E1553">
        <f>HOUR(EV_Data[[#This Row],[Charging Start Time]])</f>
        <v>15</v>
      </c>
      <c r="F1553" s="1">
        <v>44991.625</v>
      </c>
      <c r="G1553" s="1">
        <v>44991.65625</v>
      </c>
      <c r="H1553">
        <v>45</v>
      </c>
      <c r="I1553">
        <v>32.770000000000003</v>
      </c>
      <c r="J1553" t="str">
        <f t="shared" si="73"/>
        <v>Medium</v>
      </c>
      <c r="K1553" t="s">
        <v>69</v>
      </c>
      <c r="L1553">
        <v>20</v>
      </c>
      <c r="M1553">
        <v>41</v>
      </c>
      <c r="N1553" t="str">
        <f t="shared" si="74"/>
        <v>Medium Cost</v>
      </c>
      <c r="O1553">
        <v>13.66</v>
      </c>
      <c r="P1553" t="s">
        <v>23</v>
      </c>
      <c r="Q1553" t="s">
        <v>58</v>
      </c>
      <c r="R1553" t="s">
        <v>44</v>
      </c>
      <c r="S1553" t="s">
        <v>315</v>
      </c>
      <c r="T1553" t="s">
        <v>27</v>
      </c>
      <c r="U1553">
        <v>62</v>
      </c>
      <c r="V1553">
        <v>4.9000000000000004</v>
      </c>
      <c r="W1553" t="s">
        <v>47</v>
      </c>
      <c r="X1553" t="s">
        <v>29</v>
      </c>
    </row>
    <row r="1554" spans="1:24" x14ac:dyDescent="0.3">
      <c r="A1554" t="s">
        <v>2830</v>
      </c>
      <c r="B1554" t="s">
        <v>40</v>
      </c>
      <c r="C1554" t="s">
        <v>41</v>
      </c>
      <c r="D1554" t="str">
        <f t="shared" si="72"/>
        <v>Afternoon</v>
      </c>
      <c r="E1554">
        <f>HOUR(EV_Data[[#This Row],[Charging Start Time]])</f>
        <v>16</v>
      </c>
      <c r="F1554" s="1">
        <v>44991.666666666664</v>
      </c>
      <c r="G1554" s="1">
        <v>44991.719444444447</v>
      </c>
      <c r="H1554">
        <v>76</v>
      </c>
      <c r="I1554">
        <v>44.26</v>
      </c>
      <c r="J1554" t="str">
        <f t="shared" si="73"/>
        <v>Medium</v>
      </c>
      <c r="K1554" t="s">
        <v>42</v>
      </c>
      <c r="L1554">
        <v>43</v>
      </c>
      <c r="M1554">
        <v>81</v>
      </c>
      <c r="N1554" t="str">
        <f t="shared" si="74"/>
        <v>High Cost</v>
      </c>
      <c r="O1554">
        <v>17.39</v>
      </c>
      <c r="P1554" t="s">
        <v>64</v>
      </c>
      <c r="Q1554" t="s">
        <v>48</v>
      </c>
      <c r="R1554" t="s">
        <v>44</v>
      </c>
      <c r="S1554" t="s">
        <v>219</v>
      </c>
      <c r="T1554" t="s">
        <v>27</v>
      </c>
      <c r="U1554">
        <v>41</v>
      </c>
      <c r="V1554">
        <v>3.7</v>
      </c>
      <c r="W1554" t="s">
        <v>28</v>
      </c>
      <c r="X1554" t="s">
        <v>68</v>
      </c>
    </row>
    <row r="1555" spans="1:24" x14ac:dyDescent="0.3">
      <c r="A1555" t="s">
        <v>2831</v>
      </c>
      <c r="B1555" t="s">
        <v>92</v>
      </c>
      <c r="C1555" t="s">
        <v>93</v>
      </c>
      <c r="D1555" t="str">
        <f t="shared" si="72"/>
        <v>Evening</v>
      </c>
      <c r="E1555">
        <f>HOUR(EV_Data[[#This Row],[Charging Start Time]])</f>
        <v>17</v>
      </c>
      <c r="F1555" s="1">
        <v>44991.708333333336</v>
      </c>
      <c r="G1555" s="1">
        <v>44991.748611111107</v>
      </c>
      <c r="H1555">
        <v>58</v>
      </c>
      <c r="I1555">
        <v>38.15</v>
      </c>
      <c r="J1555" t="str">
        <f t="shared" si="73"/>
        <v>Medium</v>
      </c>
      <c r="K1555" t="s">
        <v>50</v>
      </c>
      <c r="L1555">
        <v>59</v>
      </c>
      <c r="M1555">
        <v>99</v>
      </c>
      <c r="N1555" t="str">
        <f t="shared" si="74"/>
        <v>Low Cost</v>
      </c>
      <c r="O1555">
        <v>7.9</v>
      </c>
      <c r="P1555" t="s">
        <v>51</v>
      </c>
      <c r="Q1555" t="s">
        <v>48</v>
      </c>
      <c r="R1555" t="s">
        <v>56</v>
      </c>
      <c r="S1555" t="s">
        <v>412</v>
      </c>
      <c r="T1555" t="s">
        <v>37</v>
      </c>
      <c r="U1555">
        <v>97</v>
      </c>
      <c r="V1555">
        <v>4.4000000000000004</v>
      </c>
      <c r="W1555" t="s">
        <v>47</v>
      </c>
      <c r="X1555" t="s">
        <v>29</v>
      </c>
    </row>
    <row r="1556" spans="1:24" x14ac:dyDescent="0.3">
      <c r="A1556" t="s">
        <v>2832</v>
      </c>
      <c r="B1556" t="s">
        <v>30</v>
      </c>
      <c r="C1556" t="s">
        <v>102</v>
      </c>
      <c r="D1556" t="str">
        <f t="shared" si="72"/>
        <v>Evening</v>
      </c>
      <c r="E1556">
        <f>HOUR(EV_Data[[#This Row],[Charging Start Time]])</f>
        <v>18</v>
      </c>
      <c r="F1556" s="1">
        <v>44991.75</v>
      </c>
      <c r="G1556" s="1">
        <v>44991.782638888893</v>
      </c>
      <c r="H1556">
        <v>47</v>
      </c>
      <c r="I1556">
        <v>28.11</v>
      </c>
      <c r="J1556" t="str">
        <f t="shared" si="73"/>
        <v>Medium</v>
      </c>
      <c r="K1556" t="s">
        <v>42</v>
      </c>
      <c r="L1556">
        <v>37</v>
      </c>
      <c r="M1556">
        <v>58</v>
      </c>
      <c r="N1556" t="str">
        <f t="shared" si="74"/>
        <v>Medium Cost</v>
      </c>
      <c r="O1556">
        <v>10.08</v>
      </c>
      <c r="P1556" t="s">
        <v>64</v>
      </c>
      <c r="Q1556" t="s">
        <v>34</v>
      </c>
      <c r="R1556" t="s">
        <v>44</v>
      </c>
      <c r="S1556" t="s">
        <v>1103</v>
      </c>
      <c r="T1556" t="s">
        <v>60</v>
      </c>
      <c r="U1556">
        <v>74</v>
      </c>
      <c r="V1556">
        <v>3.4</v>
      </c>
      <c r="W1556" t="s">
        <v>47</v>
      </c>
      <c r="X1556" t="s">
        <v>29</v>
      </c>
    </row>
    <row r="1557" spans="1:24" x14ac:dyDescent="0.3">
      <c r="A1557" t="s">
        <v>2833</v>
      </c>
      <c r="B1557" t="s">
        <v>30</v>
      </c>
      <c r="C1557" t="s">
        <v>102</v>
      </c>
      <c r="D1557" t="str">
        <f t="shared" si="72"/>
        <v>Evening</v>
      </c>
      <c r="E1557">
        <f>HOUR(EV_Data[[#This Row],[Charging Start Time]])</f>
        <v>19</v>
      </c>
      <c r="F1557" s="1">
        <v>44991.791666666664</v>
      </c>
      <c r="G1557" s="1">
        <v>44991.847222222219</v>
      </c>
      <c r="H1557">
        <v>80</v>
      </c>
      <c r="I1557">
        <v>33.42</v>
      </c>
      <c r="J1557" t="str">
        <f t="shared" si="73"/>
        <v>Medium</v>
      </c>
      <c r="K1557" t="s">
        <v>42</v>
      </c>
      <c r="L1557">
        <v>59</v>
      </c>
      <c r="M1557">
        <v>73</v>
      </c>
      <c r="N1557" t="str">
        <f t="shared" si="74"/>
        <v>Medium Cost</v>
      </c>
      <c r="O1557">
        <v>11.77</v>
      </c>
      <c r="P1557" t="s">
        <v>51</v>
      </c>
      <c r="Q1557" t="s">
        <v>48</v>
      </c>
      <c r="R1557" t="s">
        <v>56</v>
      </c>
      <c r="S1557" t="s">
        <v>273</v>
      </c>
      <c r="T1557" t="s">
        <v>60</v>
      </c>
      <c r="U1557">
        <v>64</v>
      </c>
      <c r="V1557">
        <v>2.6</v>
      </c>
      <c r="W1557" t="s">
        <v>38</v>
      </c>
      <c r="X1557" t="s">
        <v>83</v>
      </c>
    </row>
    <row r="1558" spans="1:24" x14ac:dyDescent="0.3">
      <c r="A1558" t="s">
        <v>2834</v>
      </c>
      <c r="B1558" t="s">
        <v>40</v>
      </c>
      <c r="C1558" t="s">
        <v>41</v>
      </c>
      <c r="D1558" t="str">
        <f t="shared" si="72"/>
        <v>Evening</v>
      </c>
      <c r="E1558">
        <f>HOUR(EV_Data[[#This Row],[Charging Start Time]])</f>
        <v>20</v>
      </c>
      <c r="F1558" s="1">
        <v>44991.833333333336</v>
      </c>
      <c r="G1558" s="1">
        <v>44991.917361111111</v>
      </c>
      <c r="H1558">
        <v>121</v>
      </c>
      <c r="I1558">
        <v>44.34</v>
      </c>
      <c r="J1558" t="str">
        <f t="shared" si="73"/>
        <v>Medium</v>
      </c>
      <c r="K1558" t="s">
        <v>69</v>
      </c>
      <c r="L1558">
        <v>32</v>
      </c>
      <c r="M1558">
        <v>71</v>
      </c>
      <c r="N1558" t="str">
        <f t="shared" si="74"/>
        <v>High Cost</v>
      </c>
      <c r="O1558">
        <v>21.7</v>
      </c>
      <c r="P1558" t="s">
        <v>64</v>
      </c>
      <c r="Q1558" t="s">
        <v>58</v>
      </c>
      <c r="R1558" t="s">
        <v>35</v>
      </c>
      <c r="S1558" t="s">
        <v>1104</v>
      </c>
      <c r="T1558" t="s">
        <v>60</v>
      </c>
      <c r="U1558">
        <v>55</v>
      </c>
      <c r="V1558">
        <v>3.4</v>
      </c>
      <c r="W1558" t="s">
        <v>28</v>
      </c>
      <c r="X1558" t="s">
        <v>68</v>
      </c>
    </row>
    <row r="1559" spans="1:24" x14ac:dyDescent="0.3">
      <c r="A1559" t="s">
        <v>2835</v>
      </c>
      <c r="B1559" t="s">
        <v>71</v>
      </c>
      <c r="C1559" t="s">
        <v>72</v>
      </c>
      <c r="D1559" t="str">
        <f t="shared" si="72"/>
        <v>Evening</v>
      </c>
      <c r="E1559">
        <f>HOUR(EV_Data[[#This Row],[Charging Start Time]])</f>
        <v>21</v>
      </c>
      <c r="F1559" s="1">
        <v>44991.875</v>
      </c>
      <c r="G1559" s="1">
        <v>44991.912499999999</v>
      </c>
      <c r="H1559">
        <v>54</v>
      </c>
      <c r="I1559">
        <v>39.76</v>
      </c>
      <c r="J1559" t="str">
        <f t="shared" si="73"/>
        <v>Medium</v>
      </c>
      <c r="K1559" t="s">
        <v>32</v>
      </c>
      <c r="L1559">
        <v>12</v>
      </c>
      <c r="M1559">
        <v>44</v>
      </c>
      <c r="N1559" t="str">
        <f t="shared" si="74"/>
        <v>High Cost</v>
      </c>
      <c r="O1559">
        <v>17.22</v>
      </c>
      <c r="P1559" t="s">
        <v>33</v>
      </c>
      <c r="Q1559" t="s">
        <v>24</v>
      </c>
      <c r="R1559" t="s">
        <v>56</v>
      </c>
      <c r="S1559" t="s">
        <v>448</v>
      </c>
      <c r="T1559" t="s">
        <v>46</v>
      </c>
      <c r="U1559">
        <v>31</v>
      </c>
      <c r="V1559">
        <v>3.1</v>
      </c>
      <c r="W1559" t="s">
        <v>28</v>
      </c>
      <c r="X1559" t="s">
        <v>68</v>
      </c>
    </row>
    <row r="1560" spans="1:24" x14ac:dyDescent="0.3">
      <c r="A1560" t="s">
        <v>2836</v>
      </c>
      <c r="B1560" t="s">
        <v>126</v>
      </c>
      <c r="C1560" t="s">
        <v>31</v>
      </c>
      <c r="D1560" t="str">
        <f t="shared" si="72"/>
        <v>Evening</v>
      </c>
      <c r="E1560">
        <f>HOUR(EV_Data[[#This Row],[Charging Start Time]])</f>
        <v>22</v>
      </c>
      <c r="F1560" s="1">
        <v>44991.916666666664</v>
      </c>
      <c r="G1560" s="1">
        <v>44991.950694444437</v>
      </c>
      <c r="H1560">
        <v>49</v>
      </c>
      <c r="I1560">
        <v>30.38</v>
      </c>
      <c r="J1560" t="str">
        <f t="shared" si="73"/>
        <v>Medium</v>
      </c>
      <c r="K1560" t="s">
        <v>50</v>
      </c>
      <c r="L1560">
        <v>46</v>
      </c>
      <c r="M1560">
        <v>68</v>
      </c>
      <c r="N1560" t="str">
        <f t="shared" si="74"/>
        <v>Medium Cost</v>
      </c>
      <c r="O1560">
        <v>15.15</v>
      </c>
      <c r="P1560" t="s">
        <v>64</v>
      </c>
      <c r="Q1560" t="s">
        <v>48</v>
      </c>
      <c r="R1560" t="s">
        <v>35</v>
      </c>
      <c r="S1560" t="s">
        <v>1020</v>
      </c>
      <c r="T1560" t="s">
        <v>27</v>
      </c>
      <c r="U1560">
        <v>91</v>
      </c>
      <c r="V1560">
        <v>4.5</v>
      </c>
      <c r="W1560" t="s">
        <v>47</v>
      </c>
      <c r="X1560" t="s">
        <v>29</v>
      </c>
    </row>
    <row r="1561" spans="1:24" x14ac:dyDescent="0.3">
      <c r="A1561" t="s">
        <v>2837</v>
      </c>
      <c r="B1561" t="s">
        <v>71</v>
      </c>
      <c r="C1561" t="s">
        <v>72</v>
      </c>
      <c r="D1561" t="str">
        <f t="shared" si="72"/>
        <v>Evening</v>
      </c>
      <c r="E1561">
        <f>HOUR(EV_Data[[#This Row],[Charging Start Time]])</f>
        <v>23</v>
      </c>
      <c r="F1561" s="1">
        <v>44991.958333333336</v>
      </c>
      <c r="G1561" s="1">
        <v>44992.007638888892</v>
      </c>
      <c r="H1561">
        <v>71</v>
      </c>
      <c r="I1561">
        <v>38.03</v>
      </c>
      <c r="J1561" t="str">
        <f t="shared" si="73"/>
        <v>Medium</v>
      </c>
      <c r="K1561" t="s">
        <v>69</v>
      </c>
      <c r="L1561">
        <v>45</v>
      </c>
      <c r="M1561">
        <v>76</v>
      </c>
      <c r="N1561" t="str">
        <f t="shared" si="74"/>
        <v>High Cost</v>
      </c>
      <c r="O1561">
        <v>18.11</v>
      </c>
      <c r="P1561" t="s">
        <v>64</v>
      </c>
      <c r="Q1561" t="s">
        <v>58</v>
      </c>
      <c r="R1561" t="s">
        <v>56</v>
      </c>
      <c r="S1561" t="s">
        <v>829</v>
      </c>
      <c r="T1561" t="s">
        <v>37</v>
      </c>
      <c r="U1561">
        <v>50</v>
      </c>
      <c r="V1561">
        <v>3</v>
      </c>
      <c r="W1561" t="s">
        <v>28</v>
      </c>
      <c r="X1561" t="s">
        <v>68</v>
      </c>
    </row>
    <row r="1562" spans="1:24" x14ac:dyDescent="0.3">
      <c r="A1562" t="s">
        <v>2838</v>
      </c>
      <c r="B1562" t="s">
        <v>53</v>
      </c>
      <c r="C1562" t="s">
        <v>54</v>
      </c>
      <c r="D1562" t="str">
        <f t="shared" si="72"/>
        <v>Morning</v>
      </c>
      <c r="E1562">
        <f>HOUR(EV_Data[[#This Row],[Charging Start Time]])</f>
        <v>0</v>
      </c>
      <c r="F1562" s="1">
        <v>44992</v>
      </c>
      <c r="G1562" s="1">
        <v>44992.036111111112</v>
      </c>
      <c r="H1562">
        <v>52</v>
      </c>
      <c r="I1562">
        <v>13.32</v>
      </c>
      <c r="J1562" t="str">
        <f t="shared" si="73"/>
        <v>Low</v>
      </c>
      <c r="K1562" t="s">
        <v>32</v>
      </c>
      <c r="L1562">
        <v>72</v>
      </c>
      <c r="M1562">
        <v>100</v>
      </c>
      <c r="N1562" t="str">
        <f t="shared" si="74"/>
        <v>Low Cost</v>
      </c>
      <c r="O1562">
        <v>3.11</v>
      </c>
      <c r="P1562" t="s">
        <v>51</v>
      </c>
      <c r="Q1562" t="s">
        <v>24</v>
      </c>
      <c r="R1562" t="s">
        <v>25</v>
      </c>
      <c r="S1562" t="s">
        <v>576</v>
      </c>
      <c r="T1562" t="s">
        <v>46</v>
      </c>
      <c r="U1562">
        <v>32</v>
      </c>
      <c r="V1562">
        <v>3.5</v>
      </c>
      <c r="W1562" t="s">
        <v>47</v>
      </c>
      <c r="X1562" t="s">
        <v>29</v>
      </c>
    </row>
    <row r="1563" spans="1:24" x14ac:dyDescent="0.3">
      <c r="A1563" t="s">
        <v>2839</v>
      </c>
      <c r="B1563" t="s">
        <v>40</v>
      </c>
      <c r="C1563" t="s">
        <v>41</v>
      </c>
      <c r="D1563" t="str">
        <f t="shared" si="72"/>
        <v>Morning</v>
      </c>
      <c r="E1563">
        <f>HOUR(EV_Data[[#This Row],[Charging Start Time]])</f>
        <v>1</v>
      </c>
      <c r="F1563" s="1">
        <v>44992.041666666664</v>
      </c>
      <c r="G1563" s="1">
        <v>44992.051388888889</v>
      </c>
      <c r="H1563">
        <v>14</v>
      </c>
      <c r="I1563">
        <v>5.75</v>
      </c>
      <c r="J1563" t="str">
        <f t="shared" si="73"/>
        <v>Low</v>
      </c>
      <c r="K1563" t="s">
        <v>55</v>
      </c>
      <c r="L1563">
        <v>48</v>
      </c>
      <c r="M1563">
        <v>79</v>
      </c>
      <c r="N1563" t="str">
        <f t="shared" si="74"/>
        <v>Low Cost</v>
      </c>
      <c r="O1563">
        <v>1.8</v>
      </c>
      <c r="P1563" t="s">
        <v>33</v>
      </c>
      <c r="Q1563" t="s">
        <v>48</v>
      </c>
      <c r="R1563" t="s">
        <v>44</v>
      </c>
      <c r="S1563" t="s">
        <v>560</v>
      </c>
      <c r="T1563" t="s">
        <v>60</v>
      </c>
      <c r="U1563">
        <v>67</v>
      </c>
      <c r="V1563">
        <v>2</v>
      </c>
      <c r="W1563" t="s">
        <v>47</v>
      </c>
      <c r="X1563" t="s">
        <v>29</v>
      </c>
    </row>
    <row r="1564" spans="1:24" x14ac:dyDescent="0.3">
      <c r="A1564" t="s">
        <v>2840</v>
      </c>
      <c r="B1564" t="s">
        <v>126</v>
      </c>
      <c r="C1564" t="s">
        <v>31</v>
      </c>
      <c r="D1564" t="str">
        <f t="shared" si="72"/>
        <v>Morning</v>
      </c>
      <c r="E1564">
        <f>HOUR(EV_Data[[#This Row],[Charging Start Time]])</f>
        <v>2</v>
      </c>
      <c r="F1564" s="1">
        <v>44992.083333333336</v>
      </c>
      <c r="G1564" s="1">
        <v>44992.111805555563</v>
      </c>
      <c r="H1564">
        <v>41</v>
      </c>
      <c r="I1564">
        <v>23.97</v>
      </c>
      <c r="J1564" t="str">
        <f t="shared" si="73"/>
        <v>Medium</v>
      </c>
      <c r="K1564" t="s">
        <v>32</v>
      </c>
      <c r="L1564">
        <v>72</v>
      </c>
      <c r="M1564">
        <v>100</v>
      </c>
      <c r="N1564" t="str">
        <f t="shared" si="74"/>
        <v>Medium Cost</v>
      </c>
      <c r="O1564">
        <v>11.94</v>
      </c>
      <c r="P1564" t="s">
        <v>51</v>
      </c>
      <c r="Q1564" t="s">
        <v>48</v>
      </c>
      <c r="R1564" t="s">
        <v>56</v>
      </c>
      <c r="S1564" t="s">
        <v>341</v>
      </c>
      <c r="T1564" t="s">
        <v>46</v>
      </c>
      <c r="U1564">
        <v>10</v>
      </c>
      <c r="V1564">
        <v>3.2</v>
      </c>
      <c r="W1564" t="s">
        <v>38</v>
      </c>
      <c r="X1564" t="s">
        <v>39</v>
      </c>
    </row>
    <row r="1565" spans="1:24" x14ac:dyDescent="0.3">
      <c r="A1565" t="s">
        <v>2841</v>
      </c>
      <c r="B1565" t="s">
        <v>30</v>
      </c>
      <c r="C1565" t="s">
        <v>102</v>
      </c>
      <c r="D1565" t="str">
        <f t="shared" si="72"/>
        <v>Morning</v>
      </c>
      <c r="E1565">
        <f>HOUR(EV_Data[[#This Row],[Charging Start Time]])</f>
        <v>3</v>
      </c>
      <c r="F1565" s="1">
        <v>44992.125</v>
      </c>
      <c r="G1565" s="1">
        <v>44992.165972222218</v>
      </c>
      <c r="H1565">
        <v>59</v>
      </c>
      <c r="I1565">
        <v>25.5</v>
      </c>
      <c r="J1565" t="str">
        <f t="shared" si="73"/>
        <v>Medium</v>
      </c>
      <c r="K1565" t="s">
        <v>32</v>
      </c>
      <c r="L1565">
        <v>75</v>
      </c>
      <c r="M1565">
        <v>89</v>
      </c>
      <c r="N1565" t="str">
        <f t="shared" si="74"/>
        <v>Medium Cost</v>
      </c>
      <c r="O1565">
        <v>8.9700000000000006</v>
      </c>
      <c r="P1565" t="s">
        <v>43</v>
      </c>
      <c r="Q1565" t="s">
        <v>34</v>
      </c>
      <c r="R1565" t="s">
        <v>44</v>
      </c>
      <c r="S1565" t="s">
        <v>1105</v>
      </c>
      <c r="T1565" t="s">
        <v>46</v>
      </c>
      <c r="U1565">
        <v>0</v>
      </c>
      <c r="V1565">
        <v>3.4</v>
      </c>
      <c r="W1565" t="s">
        <v>38</v>
      </c>
      <c r="X1565" t="s">
        <v>83</v>
      </c>
    </row>
    <row r="1566" spans="1:24" x14ac:dyDescent="0.3">
      <c r="A1566" t="s">
        <v>2842</v>
      </c>
      <c r="B1566" t="s">
        <v>30</v>
      </c>
      <c r="C1566" t="s">
        <v>102</v>
      </c>
      <c r="D1566" t="str">
        <f t="shared" si="72"/>
        <v>Morning</v>
      </c>
      <c r="E1566">
        <f>HOUR(EV_Data[[#This Row],[Charging Start Time]])</f>
        <v>4</v>
      </c>
      <c r="F1566" s="1">
        <v>44992.166666666664</v>
      </c>
      <c r="G1566" s="1">
        <v>44992.222222222219</v>
      </c>
      <c r="H1566">
        <v>80</v>
      </c>
      <c r="I1566">
        <v>44.1</v>
      </c>
      <c r="J1566" t="str">
        <f t="shared" si="73"/>
        <v>Medium</v>
      </c>
      <c r="K1566" t="s">
        <v>50</v>
      </c>
      <c r="L1566">
        <v>51</v>
      </c>
      <c r="M1566">
        <v>76</v>
      </c>
      <c r="N1566" t="str">
        <f t="shared" si="74"/>
        <v>High Cost</v>
      </c>
      <c r="O1566">
        <v>20.420000000000002</v>
      </c>
      <c r="P1566" t="s">
        <v>33</v>
      </c>
      <c r="Q1566" t="s">
        <v>34</v>
      </c>
      <c r="R1566" t="s">
        <v>56</v>
      </c>
      <c r="S1566" t="s">
        <v>1106</v>
      </c>
      <c r="T1566" t="s">
        <v>37</v>
      </c>
      <c r="U1566">
        <v>26</v>
      </c>
      <c r="V1566">
        <v>1</v>
      </c>
      <c r="W1566" t="s">
        <v>38</v>
      </c>
      <c r="X1566" t="s">
        <v>62</v>
      </c>
    </row>
    <row r="1567" spans="1:24" x14ac:dyDescent="0.3">
      <c r="A1567" t="s">
        <v>2843</v>
      </c>
      <c r="B1567" t="s">
        <v>30</v>
      </c>
      <c r="C1567" t="s">
        <v>102</v>
      </c>
      <c r="D1567" t="str">
        <f t="shared" si="72"/>
        <v>Morning</v>
      </c>
      <c r="E1567">
        <f>HOUR(EV_Data[[#This Row],[Charging Start Time]])</f>
        <v>5</v>
      </c>
      <c r="F1567" s="1">
        <v>44992.208333333336</v>
      </c>
      <c r="G1567" s="1">
        <v>44992.275694444441</v>
      </c>
      <c r="H1567">
        <v>97</v>
      </c>
      <c r="I1567">
        <v>15.01</v>
      </c>
      <c r="J1567" t="str">
        <f t="shared" si="73"/>
        <v>Low</v>
      </c>
      <c r="K1567" t="s">
        <v>50</v>
      </c>
      <c r="L1567">
        <v>23</v>
      </c>
      <c r="M1567">
        <v>54</v>
      </c>
      <c r="N1567" t="str">
        <f t="shared" si="74"/>
        <v>Low Cost</v>
      </c>
      <c r="O1567">
        <v>5.33</v>
      </c>
      <c r="P1567" t="s">
        <v>33</v>
      </c>
      <c r="Q1567" t="s">
        <v>58</v>
      </c>
      <c r="R1567" t="s">
        <v>35</v>
      </c>
      <c r="S1567" t="s">
        <v>1107</v>
      </c>
      <c r="T1567" t="s">
        <v>60</v>
      </c>
      <c r="U1567">
        <v>5</v>
      </c>
      <c r="V1567">
        <v>3</v>
      </c>
      <c r="W1567" t="s">
        <v>47</v>
      </c>
      <c r="X1567" t="s">
        <v>29</v>
      </c>
    </row>
    <row r="1568" spans="1:24" x14ac:dyDescent="0.3">
      <c r="A1568" t="s">
        <v>2844</v>
      </c>
      <c r="B1568" t="s">
        <v>92</v>
      </c>
      <c r="C1568" t="s">
        <v>93</v>
      </c>
      <c r="D1568" t="str">
        <f t="shared" si="72"/>
        <v>Morning</v>
      </c>
      <c r="E1568">
        <f>HOUR(EV_Data[[#This Row],[Charging Start Time]])</f>
        <v>6</v>
      </c>
      <c r="F1568" s="1">
        <v>44992.25</v>
      </c>
      <c r="G1568" s="1">
        <v>44992.274305555547</v>
      </c>
      <c r="H1568">
        <v>35</v>
      </c>
      <c r="I1568">
        <v>37.01</v>
      </c>
      <c r="J1568" t="str">
        <f t="shared" si="73"/>
        <v>Medium</v>
      </c>
      <c r="K1568" t="s">
        <v>55</v>
      </c>
      <c r="L1568">
        <v>51</v>
      </c>
      <c r="M1568">
        <v>87</v>
      </c>
      <c r="N1568" t="str">
        <f t="shared" si="74"/>
        <v>High Cost</v>
      </c>
      <c r="O1568">
        <v>18.22</v>
      </c>
      <c r="P1568" t="s">
        <v>43</v>
      </c>
      <c r="Q1568" t="s">
        <v>48</v>
      </c>
      <c r="R1568" t="s">
        <v>44</v>
      </c>
      <c r="S1568" t="s">
        <v>556</v>
      </c>
      <c r="T1568" t="s">
        <v>27</v>
      </c>
      <c r="U1568">
        <v>8</v>
      </c>
      <c r="V1568">
        <v>4</v>
      </c>
      <c r="W1568" t="s">
        <v>47</v>
      </c>
      <c r="X1568" t="s">
        <v>29</v>
      </c>
    </row>
    <row r="1569" spans="1:24" x14ac:dyDescent="0.3">
      <c r="A1569" t="s">
        <v>2845</v>
      </c>
      <c r="B1569" t="s">
        <v>53</v>
      </c>
      <c r="C1569" t="s">
        <v>54</v>
      </c>
      <c r="D1569" t="str">
        <f t="shared" si="72"/>
        <v>Morning</v>
      </c>
      <c r="E1569">
        <f>HOUR(EV_Data[[#This Row],[Charging Start Time]])</f>
        <v>7</v>
      </c>
      <c r="F1569" s="1">
        <v>44992.291666666664</v>
      </c>
      <c r="G1569" s="1">
        <v>44992.369444444441</v>
      </c>
      <c r="H1569">
        <v>112</v>
      </c>
      <c r="I1569">
        <v>19.71</v>
      </c>
      <c r="J1569" t="str">
        <f t="shared" si="73"/>
        <v>Low</v>
      </c>
      <c r="K1569" t="s">
        <v>55</v>
      </c>
      <c r="L1569">
        <v>74</v>
      </c>
      <c r="M1569">
        <v>100</v>
      </c>
      <c r="N1569" t="str">
        <f t="shared" si="74"/>
        <v>Low Cost</v>
      </c>
      <c r="O1569">
        <v>5.63</v>
      </c>
      <c r="P1569" t="s">
        <v>23</v>
      </c>
      <c r="Q1569" t="s">
        <v>58</v>
      </c>
      <c r="R1569" t="s">
        <v>56</v>
      </c>
      <c r="S1569" t="s">
        <v>1108</v>
      </c>
      <c r="T1569" t="s">
        <v>37</v>
      </c>
      <c r="U1569">
        <v>17</v>
      </c>
      <c r="V1569">
        <v>2.2000000000000002</v>
      </c>
      <c r="W1569" t="s">
        <v>38</v>
      </c>
      <c r="X1569" t="s">
        <v>83</v>
      </c>
    </row>
    <row r="1570" spans="1:24" x14ac:dyDescent="0.3">
      <c r="A1570" t="s">
        <v>2846</v>
      </c>
      <c r="B1570" t="s">
        <v>53</v>
      </c>
      <c r="C1570" t="s">
        <v>54</v>
      </c>
      <c r="D1570" t="str">
        <f t="shared" si="72"/>
        <v>Morning</v>
      </c>
      <c r="E1570">
        <f>HOUR(EV_Data[[#This Row],[Charging Start Time]])</f>
        <v>8</v>
      </c>
      <c r="F1570" s="1">
        <v>44992.333333333336</v>
      </c>
      <c r="G1570" s="1">
        <v>44992.362500000003</v>
      </c>
      <c r="H1570">
        <v>42</v>
      </c>
      <c r="I1570">
        <v>37.57</v>
      </c>
      <c r="J1570" t="str">
        <f t="shared" si="73"/>
        <v>Medium</v>
      </c>
      <c r="K1570" t="s">
        <v>22</v>
      </c>
      <c r="L1570">
        <v>26</v>
      </c>
      <c r="M1570">
        <v>42</v>
      </c>
      <c r="N1570" t="str">
        <f t="shared" si="74"/>
        <v>Medium Cost</v>
      </c>
      <c r="O1570">
        <v>11.75</v>
      </c>
      <c r="P1570" t="s">
        <v>33</v>
      </c>
      <c r="Q1570" t="s">
        <v>24</v>
      </c>
      <c r="R1570" t="s">
        <v>35</v>
      </c>
      <c r="S1570" t="s">
        <v>145</v>
      </c>
      <c r="T1570" t="s">
        <v>60</v>
      </c>
      <c r="U1570">
        <v>19</v>
      </c>
      <c r="V1570">
        <v>1.9</v>
      </c>
      <c r="W1570" t="s">
        <v>38</v>
      </c>
      <c r="X1570" t="s">
        <v>62</v>
      </c>
    </row>
    <row r="1571" spans="1:24" x14ac:dyDescent="0.3">
      <c r="A1571" t="s">
        <v>2847</v>
      </c>
      <c r="B1571" t="s">
        <v>77</v>
      </c>
      <c r="C1571" t="s">
        <v>78</v>
      </c>
      <c r="D1571" t="str">
        <f t="shared" si="72"/>
        <v>Morning</v>
      </c>
      <c r="E1571">
        <f>HOUR(EV_Data[[#This Row],[Charging Start Time]])</f>
        <v>9</v>
      </c>
      <c r="F1571" s="1">
        <v>44992.375</v>
      </c>
      <c r="G1571" s="1">
        <v>44992.425000000003</v>
      </c>
      <c r="H1571">
        <v>72</v>
      </c>
      <c r="I1571">
        <v>8.4</v>
      </c>
      <c r="J1571" t="str">
        <f t="shared" si="73"/>
        <v>Low</v>
      </c>
      <c r="K1571" t="s">
        <v>42</v>
      </c>
      <c r="L1571">
        <v>80</v>
      </c>
      <c r="M1571">
        <v>100</v>
      </c>
      <c r="N1571" t="str">
        <f t="shared" si="74"/>
        <v>Low Cost</v>
      </c>
      <c r="O1571">
        <v>4.07</v>
      </c>
      <c r="P1571" t="s">
        <v>23</v>
      </c>
      <c r="Q1571" t="s">
        <v>34</v>
      </c>
      <c r="R1571" t="s">
        <v>44</v>
      </c>
      <c r="S1571" t="s">
        <v>1109</v>
      </c>
      <c r="T1571" t="s">
        <v>27</v>
      </c>
      <c r="U1571">
        <v>14</v>
      </c>
      <c r="V1571">
        <v>2.7</v>
      </c>
      <c r="W1571" t="s">
        <v>47</v>
      </c>
      <c r="X1571" t="s">
        <v>29</v>
      </c>
    </row>
    <row r="1572" spans="1:24" x14ac:dyDescent="0.3">
      <c r="A1572" t="s">
        <v>2848</v>
      </c>
      <c r="B1572" t="s">
        <v>126</v>
      </c>
      <c r="C1572" t="s">
        <v>31</v>
      </c>
      <c r="D1572" t="str">
        <f t="shared" si="72"/>
        <v>Morning</v>
      </c>
      <c r="E1572">
        <f>HOUR(EV_Data[[#This Row],[Charging Start Time]])</f>
        <v>10</v>
      </c>
      <c r="F1572" s="1">
        <v>44992.416666666664</v>
      </c>
      <c r="G1572" s="1">
        <v>44992.45208333333</v>
      </c>
      <c r="H1572">
        <v>51</v>
      </c>
      <c r="I1572">
        <v>47.18</v>
      </c>
      <c r="J1572" t="str">
        <f t="shared" si="73"/>
        <v>Medium</v>
      </c>
      <c r="K1572" t="s">
        <v>50</v>
      </c>
      <c r="L1572">
        <v>50</v>
      </c>
      <c r="M1572">
        <v>72</v>
      </c>
      <c r="N1572" t="str">
        <f t="shared" si="74"/>
        <v>Medium Cost</v>
      </c>
      <c r="O1572">
        <v>11.32</v>
      </c>
      <c r="P1572" t="s">
        <v>23</v>
      </c>
      <c r="Q1572" t="s">
        <v>34</v>
      </c>
      <c r="R1572" t="s">
        <v>56</v>
      </c>
      <c r="S1572" t="s">
        <v>554</v>
      </c>
      <c r="T1572" t="s">
        <v>46</v>
      </c>
      <c r="U1572">
        <v>28</v>
      </c>
      <c r="V1572">
        <v>4.2</v>
      </c>
      <c r="W1572" t="s">
        <v>28</v>
      </c>
      <c r="X1572" t="s">
        <v>68</v>
      </c>
    </row>
    <row r="1573" spans="1:24" x14ac:dyDescent="0.3">
      <c r="A1573" t="s">
        <v>2849</v>
      </c>
      <c r="B1573" t="s">
        <v>71</v>
      </c>
      <c r="C1573" t="s">
        <v>72</v>
      </c>
      <c r="D1573" t="str">
        <f t="shared" si="72"/>
        <v>Morning</v>
      </c>
      <c r="E1573">
        <f>HOUR(EV_Data[[#This Row],[Charging Start Time]])</f>
        <v>11</v>
      </c>
      <c r="F1573" s="1">
        <v>44992.458333333336</v>
      </c>
      <c r="G1573" s="1">
        <v>44992.537499999999</v>
      </c>
      <c r="H1573">
        <v>114</v>
      </c>
      <c r="I1573">
        <v>22.92</v>
      </c>
      <c r="J1573" t="str">
        <f t="shared" si="73"/>
        <v>Medium</v>
      </c>
      <c r="K1573" t="s">
        <v>55</v>
      </c>
      <c r="L1573">
        <v>65</v>
      </c>
      <c r="M1573">
        <v>100</v>
      </c>
      <c r="N1573" t="str">
        <f t="shared" si="74"/>
        <v>Low Cost</v>
      </c>
      <c r="O1573">
        <v>5.93</v>
      </c>
      <c r="P1573" t="s">
        <v>43</v>
      </c>
      <c r="Q1573" t="s">
        <v>58</v>
      </c>
      <c r="R1573" t="s">
        <v>35</v>
      </c>
      <c r="S1573" t="s">
        <v>117</v>
      </c>
      <c r="T1573" t="s">
        <v>46</v>
      </c>
      <c r="U1573">
        <v>82</v>
      </c>
      <c r="V1573">
        <v>1.2</v>
      </c>
      <c r="W1573" t="s">
        <v>38</v>
      </c>
      <c r="X1573" t="s">
        <v>85</v>
      </c>
    </row>
    <row r="1574" spans="1:24" x14ac:dyDescent="0.3">
      <c r="A1574" t="s">
        <v>2850</v>
      </c>
      <c r="B1574" t="s">
        <v>71</v>
      </c>
      <c r="C1574" t="s">
        <v>72</v>
      </c>
      <c r="D1574" t="str">
        <f t="shared" si="72"/>
        <v>Afternoon</v>
      </c>
      <c r="E1574">
        <f>HOUR(EV_Data[[#This Row],[Charging Start Time]])</f>
        <v>12</v>
      </c>
      <c r="F1574" s="1">
        <v>44992.5</v>
      </c>
      <c r="G1574" s="1">
        <v>44992.51666666667</v>
      </c>
      <c r="H1574">
        <v>24</v>
      </c>
      <c r="I1574">
        <v>29.69</v>
      </c>
      <c r="J1574" t="str">
        <f t="shared" si="73"/>
        <v>Medium</v>
      </c>
      <c r="K1574" t="s">
        <v>69</v>
      </c>
      <c r="L1574">
        <v>78</v>
      </c>
      <c r="M1574">
        <v>100</v>
      </c>
      <c r="N1574" t="str">
        <f t="shared" si="74"/>
        <v>Medium Cost</v>
      </c>
      <c r="O1574">
        <v>11.2</v>
      </c>
      <c r="P1574" t="s">
        <v>23</v>
      </c>
      <c r="Q1574" t="s">
        <v>34</v>
      </c>
      <c r="R1574" t="s">
        <v>44</v>
      </c>
      <c r="S1574" t="s">
        <v>1008</v>
      </c>
      <c r="T1574" t="s">
        <v>46</v>
      </c>
      <c r="U1574">
        <v>5</v>
      </c>
      <c r="V1574">
        <v>4</v>
      </c>
      <c r="W1574" t="s">
        <v>28</v>
      </c>
      <c r="X1574" t="s">
        <v>68</v>
      </c>
    </row>
    <row r="1575" spans="1:24" x14ac:dyDescent="0.3">
      <c r="A1575" t="s">
        <v>2851</v>
      </c>
      <c r="B1575" t="s">
        <v>40</v>
      </c>
      <c r="C1575" t="s">
        <v>41</v>
      </c>
      <c r="D1575" t="str">
        <f t="shared" si="72"/>
        <v>Afternoon</v>
      </c>
      <c r="E1575">
        <f>HOUR(EV_Data[[#This Row],[Charging Start Time]])</f>
        <v>13</v>
      </c>
      <c r="F1575" s="1">
        <v>44992.541666666664</v>
      </c>
      <c r="G1575" s="1">
        <v>44992.568749999999</v>
      </c>
      <c r="H1575">
        <v>39</v>
      </c>
      <c r="I1575">
        <v>28.96</v>
      </c>
      <c r="J1575" t="str">
        <f t="shared" si="73"/>
        <v>Medium</v>
      </c>
      <c r="K1575" t="s">
        <v>50</v>
      </c>
      <c r="L1575">
        <v>63</v>
      </c>
      <c r="M1575">
        <v>78</v>
      </c>
      <c r="N1575" t="str">
        <f t="shared" si="74"/>
        <v>Medium Cost</v>
      </c>
      <c r="O1575">
        <v>13.58</v>
      </c>
      <c r="P1575" t="s">
        <v>23</v>
      </c>
      <c r="Q1575" t="s">
        <v>58</v>
      </c>
      <c r="R1575" t="s">
        <v>44</v>
      </c>
      <c r="S1575" t="s">
        <v>536</v>
      </c>
      <c r="T1575" t="s">
        <v>37</v>
      </c>
      <c r="U1575">
        <v>61</v>
      </c>
      <c r="V1575">
        <v>4.2</v>
      </c>
      <c r="W1575" t="s">
        <v>28</v>
      </c>
      <c r="X1575" t="s">
        <v>68</v>
      </c>
    </row>
    <row r="1576" spans="1:24" x14ac:dyDescent="0.3">
      <c r="A1576" t="s">
        <v>2852</v>
      </c>
      <c r="B1576" t="s">
        <v>20</v>
      </c>
      <c r="C1576" t="s">
        <v>21</v>
      </c>
      <c r="D1576" t="str">
        <f t="shared" si="72"/>
        <v>Afternoon</v>
      </c>
      <c r="E1576">
        <f>HOUR(EV_Data[[#This Row],[Charging Start Time]])</f>
        <v>14</v>
      </c>
      <c r="F1576" s="1">
        <v>44992.583333333336</v>
      </c>
      <c r="G1576" s="1">
        <v>44992.615972222222</v>
      </c>
      <c r="H1576">
        <v>47</v>
      </c>
      <c r="I1576">
        <v>42.89</v>
      </c>
      <c r="J1576" t="str">
        <f t="shared" si="73"/>
        <v>Medium</v>
      </c>
      <c r="K1576" t="s">
        <v>22</v>
      </c>
      <c r="L1576">
        <v>15</v>
      </c>
      <c r="M1576">
        <v>30</v>
      </c>
      <c r="N1576" t="str">
        <f t="shared" si="74"/>
        <v>Medium Cost</v>
      </c>
      <c r="O1576">
        <v>13.88</v>
      </c>
      <c r="P1576" t="s">
        <v>51</v>
      </c>
      <c r="Q1576" t="s">
        <v>58</v>
      </c>
      <c r="R1576" t="s">
        <v>56</v>
      </c>
      <c r="S1576" t="s">
        <v>1110</v>
      </c>
      <c r="T1576" t="s">
        <v>27</v>
      </c>
      <c r="U1576">
        <v>69</v>
      </c>
      <c r="V1576">
        <v>1.7</v>
      </c>
      <c r="W1576" t="s">
        <v>38</v>
      </c>
      <c r="X1576" t="s">
        <v>39</v>
      </c>
    </row>
    <row r="1577" spans="1:24" x14ac:dyDescent="0.3">
      <c r="A1577" t="s">
        <v>2853</v>
      </c>
      <c r="B1577" t="s">
        <v>20</v>
      </c>
      <c r="C1577" t="s">
        <v>21</v>
      </c>
      <c r="D1577" t="str">
        <f t="shared" si="72"/>
        <v>Afternoon</v>
      </c>
      <c r="E1577">
        <f>HOUR(EV_Data[[#This Row],[Charging Start Time]])</f>
        <v>15</v>
      </c>
      <c r="F1577" s="1">
        <v>44992.625</v>
      </c>
      <c r="G1577" s="1">
        <v>44992.657638888893</v>
      </c>
      <c r="H1577">
        <v>47</v>
      </c>
      <c r="I1577">
        <v>29.93</v>
      </c>
      <c r="J1577" t="str">
        <f t="shared" si="73"/>
        <v>Medium</v>
      </c>
      <c r="K1577" t="s">
        <v>69</v>
      </c>
      <c r="L1577">
        <v>57</v>
      </c>
      <c r="M1577">
        <v>79</v>
      </c>
      <c r="N1577" t="str">
        <f t="shared" si="74"/>
        <v>Medium Cost</v>
      </c>
      <c r="O1577">
        <v>13.39</v>
      </c>
      <c r="P1577" t="s">
        <v>51</v>
      </c>
      <c r="Q1577" t="s">
        <v>34</v>
      </c>
      <c r="R1577" t="s">
        <v>44</v>
      </c>
      <c r="S1577" t="s">
        <v>1015</v>
      </c>
      <c r="T1577" t="s">
        <v>60</v>
      </c>
      <c r="U1577">
        <v>100</v>
      </c>
      <c r="V1577">
        <v>4.4000000000000004</v>
      </c>
      <c r="W1577" t="s">
        <v>28</v>
      </c>
      <c r="X1577" t="s">
        <v>68</v>
      </c>
    </row>
    <row r="1578" spans="1:24" x14ac:dyDescent="0.3">
      <c r="A1578" t="s">
        <v>2854</v>
      </c>
      <c r="B1578" t="s">
        <v>126</v>
      </c>
      <c r="C1578" t="s">
        <v>31</v>
      </c>
      <c r="D1578" t="str">
        <f t="shared" si="72"/>
        <v>Afternoon</v>
      </c>
      <c r="E1578">
        <f>HOUR(EV_Data[[#This Row],[Charging Start Time]])</f>
        <v>16</v>
      </c>
      <c r="F1578" s="1">
        <v>44992.666666666664</v>
      </c>
      <c r="G1578" s="1">
        <v>44992.71597222222</v>
      </c>
      <c r="H1578">
        <v>71</v>
      </c>
      <c r="I1578">
        <v>19.23</v>
      </c>
      <c r="J1578" t="str">
        <f t="shared" si="73"/>
        <v>Low</v>
      </c>
      <c r="K1578" t="s">
        <v>32</v>
      </c>
      <c r="L1578">
        <v>49</v>
      </c>
      <c r="M1578">
        <v>70</v>
      </c>
      <c r="N1578" t="str">
        <f t="shared" si="74"/>
        <v>Low Cost</v>
      </c>
      <c r="O1578">
        <v>5.36</v>
      </c>
      <c r="P1578" t="s">
        <v>33</v>
      </c>
      <c r="Q1578" t="s">
        <v>24</v>
      </c>
      <c r="R1578" t="s">
        <v>25</v>
      </c>
      <c r="S1578" t="s">
        <v>1111</v>
      </c>
      <c r="T1578" t="s">
        <v>60</v>
      </c>
      <c r="U1578">
        <v>34</v>
      </c>
      <c r="V1578">
        <v>1.1000000000000001</v>
      </c>
      <c r="W1578" t="s">
        <v>47</v>
      </c>
      <c r="X1578" t="s">
        <v>29</v>
      </c>
    </row>
    <row r="1579" spans="1:24" x14ac:dyDescent="0.3">
      <c r="A1579" t="s">
        <v>2855</v>
      </c>
      <c r="B1579" t="s">
        <v>40</v>
      </c>
      <c r="C1579" t="s">
        <v>41</v>
      </c>
      <c r="D1579" t="str">
        <f t="shared" si="72"/>
        <v>Evening</v>
      </c>
      <c r="E1579">
        <f>HOUR(EV_Data[[#This Row],[Charging Start Time]])</f>
        <v>17</v>
      </c>
      <c r="F1579" s="1">
        <v>44992.708333333336</v>
      </c>
      <c r="G1579" s="1">
        <v>44992.742361111108</v>
      </c>
      <c r="H1579">
        <v>49</v>
      </c>
      <c r="I1579">
        <v>41.29</v>
      </c>
      <c r="J1579" t="str">
        <f t="shared" si="73"/>
        <v>Medium</v>
      </c>
      <c r="K1579" t="s">
        <v>50</v>
      </c>
      <c r="L1579">
        <v>42</v>
      </c>
      <c r="M1579">
        <v>79</v>
      </c>
      <c r="N1579" t="str">
        <f t="shared" si="74"/>
        <v>Medium Cost</v>
      </c>
      <c r="O1579">
        <v>8.9</v>
      </c>
      <c r="P1579" t="s">
        <v>33</v>
      </c>
      <c r="Q1579" t="s">
        <v>34</v>
      </c>
      <c r="R1579" t="s">
        <v>44</v>
      </c>
      <c r="S1579" t="s">
        <v>1112</v>
      </c>
      <c r="T1579" t="s">
        <v>27</v>
      </c>
      <c r="U1579">
        <v>67</v>
      </c>
      <c r="V1579">
        <v>4</v>
      </c>
      <c r="W1579" t="s">
        <v>47</v>
      </c>
      <c r="X1579" t="s">
        <v>29</v>
      </c>
    </row>
    <row r="1580" spans="1:24" x14ac:dyDescent="0.3">
      <c r="A1580" t="s">
        <v>2856</v>
      </c>
      <c r="B1580" t="s">
        <v>71</v>
      </c>
      <c r="C1580" t="s">
        <v>72</v>
      </c>
      <c r="D1580" t="str">
        <f t="shared" si="72"/>
        <v>Evening</v>
      </c>
      <c r="E1580">
        <f>HOUR(EV_Data[[#This Row],[Charging Start Time]])</f>
        <v>18</v>
      </c>
      <c r="F1580" s="1">
        <v>44992.75</v>
      </c>
      <c r="G1580" s="1">
        <v>44992.787499999999</v>
      </c>
      <c r="H1580">
        <v>54</v>
      </c>
      <c r="I1580">
        <v>40.78</v>
      </c>
      <c r="J1580" t="str">
        <f t="shared" si="73"/>
        <v>Medium</v>
      </c>
      <c r="K1580" t="s">
        <v>22</v>
      </c>
      <c r="L1580">
        <v>67</v>
      </c>
      <c r="M1580">
        <v>100</v>
      </c>
      <c r="N1580" t="str">
        <f t="shared" si="74"/>
        <v>High Cost</v>
      </c>
      <c r="O1580">
        <v>19.010000000000002</v>
      </c>
      <c r="P1580" t="s">
        <v>23</v>
      </c>
      <c r="Q1580" t="s">
        <v>24</v>
      </c>
      <c r="R1580" t="s">
        <v>25</v>
      </c>
      <c r="S1580" t="s">
        <v>95</v>
      </c>
      <c r="T1580" t="s">
        <v>46</v>
      </c>
      <c r="U1580">
        <v>80</v>
      </c>
      <c r="V1580">
        <v>3</v>
      </c>
      <c r="W1580" t="s">
        <v>47</v>
      </c>
      <c r="X1580" t="s">
        <v>29</v>
      </c>
    </row>
    <row r="1581" spans="1:24" x14ac:dyDescent="0.3">
      <c r="A1581" t="s">
        <v>2857</v>
      </c>
      <c r="B1581" t="s">
        <v>77</v>
      </c>
      <c r="C1581" t="s">
        <v>78</v>
      </c>
      <c r="D1581" t="str">
        <f t="shared" si="72"/>
        <v>Evening</v>
      </c>
      <c r="E1581">
        <f>HOUR(EV_Data[[#This Row],[Charging Start Time]])</f>
        <v>19</v>
      </c>
      <c r="F1581" s="1">
        <v>44992.791666666664</v>
      </c>
      <c r="G1581" s="1">
        <v>44992.813888888893</v>
      </c>
      <c r="H1581">
        <v>32</v>
      </c>
      <c r="I1581">
        <v>13.23</v>
      </c>
      <c r="J1581" t="str">
        <f t="shared" si="73"/>
        <v>Low</v>
      </c>
      <c r="K1581" t="s">
        <v>55</v>
      </c>
      <c r="L1581">
        <v>13</v>
      </c>
      <c r="M1581">
        <v>38</v>
      </c>
      <c r="N1581" t="str">
        <f t="shared" si="74"/>
        <v>Low Cost</v>
      </c>
      <c r="O1581">
        <v>3.42</v>
      </c>
      <c r="P1581" t="s">
        <v>43</v>
      </c>
      <c r="Q1581" t="s">
        <v>24</v>
      </c>
      <c r="R1581" t="s">
        <v>35</v>
      </c>
      <c r="S1581" t="s">
        <v>1113</v>
      </c>
      <c r="T1581" t="s">
        <v>60</v>
      </c>
      <c r="U1581">
        <v>96</v>
      </c>
      <c r="V1581">
        <v>1.6</v>
      </c>
      <c r="W1581" t="s">
        <v>38</v>
      </c>
      <c r="X1581" t="s">
        <v>39</v>
      </c>
    </row>
    <row r="1582" spans="1:24" x14ac:dyDescent="0.3">
      <c r="A1582" t="s">
        <v>2858</v>
      </c>
      <c r="B1582" t="s">
        <v>30</v>
      </c>
      <c r="C1582" t="s">
        <v>102</v>
      </c>
      <c r="D1582" t="str">
        <f t="shared" si="72"/>
        <v>Evening</v>
      </c>
      <c r="E1582">
        <f>HOUR(EV_Data[[#This Row],[Charging Start Time]])</f>
        <v>20</v>
      </c>
      <c r="F1582" s="1">
        <v>44992.833333333336</v>
      </c>
      <c r="G1582" s="1">
        <v>44992.861805555563</v>
      </c>
      <c r="H1582">
        <v>41</v>
      </c>
      <c r="I1582">
        <v>36.56</v>
      </c>
      <c r="J1582" t="str">
        <f t="shared" si="73"/>
        <v>Medium</v>
      </c>
      <c r="K1582" t="s">
        <v>55</v>
      </c>
      <c r="L1582">
        <v>15</v>
      </c>
      <c r="M1582">
        <v>31</v>
      </c>
      <c r="N1582" t="str">
        <f t="shared" si="74"/>
        <v>Medium Cost</v>
      </c>
      <c r="O1582">
        <v>10.87</v>
      </c>
      <c r="P1582" t="s">
        <v>64</v>
      </c>
      <c r="Q1582" t="s">
        <v>34</v>
      </c>
      <c r="R1582" t="s">
        <v>56</v>
      </c>
      <c r="S1582" t="s">
        <v>1022</v>
      </c>
      <c r="T1582" t="s">
        <v>46</v>
      </c>
      <c r="U1582">
        <v>3</v>
      </c>
      <c r="V1582">
        <v>3</v>
      </c>
      <c r="W1582" t="s">
        <v>38</v>
      </c>
      <c r="X1582" t="s">
        <v>83</v>
      </c>
    </row>
    <row r="1583" spans="1:24" x14ac:dyDescent="0.3">
      <c r="A1583" t="s">
        <v>2859</v>
      </c>
      <c r="B1583" t="s">
        <v>30</v>
      </c>
      <c r="C1583" t="s">
        <v>102</v>
      </c>
      <c r="D1583" t="str">
        <f t="shared" si="72"/>
        <v>Evening</v>
      </c>
      <c r="E1583">
        <f>HOUR(EV_Data[[#This Row],[Charging Start Time]])</f>
        <v>21</v>
      </c>
      <c r="F1583" s="1">
        <v>44992.875</v>
      </c>
      <c r="G1583" s="1">
        <v>44992.920138888891</v>
      </c>
      <c r="H1583">
        <v>65</v>
      </c>
      <c r="I1583">
        <v>8.68</v>
      </c>
      <c r="J1583" t="str">
        <f t="shared" si="73"/>
        <v>Low</v>
      </c>
      <c r="K1583" t="s">
        <v>32</v>
      </c>
      <c r="L1583">
        <v>69</v>
      </c>
      <c r="M1583">
        <v>90</v>
      </c>
      <c r="N1583" t="str">
        <f t="shared" si="74"/>
        <v>Low Cost</v>
      </c>
      <c r="O1583">
        <v>2.25</v>
      </c>
      <c r="P1583" t="s">
        <v>43</v>
      </c>
      <c r="Q1583" t="s">
        <v>24</v>
      </c>
      <c r="R1583" t="s">
        <v>35</v>
      </c>
      <c r="S1583" t="s">
        <v>1114</v>
      </c>
      <c r="T1583" t="s">
        <v>60</v>
      </c>
      <c r="U1583">
        <v>84</v>
      </c>
      <c r="V1583">
        <v>3.7</v>
      </c>
      <c r="W1583" t="s">
        <v>47</v>
      </c>
      <c r="X1583" t="s">
        <v>29</v>
      </c>
    </row>
    <row r="1584" spans="1:24" x14ac:dyDescent="0.3">
      <c r="A1584" t="s">
        <v>2860</v>
      </c>
      <c r="B1584" t="s">
        <v>20</v>
      </c>
      <c r="C1584" t="s">
        <v>21</v>
      </c>
      <c r="D1584" t="str">
        <f t="shared" si="72"/>
        <v>Evening</v>
      </c>
      <c r="E1584">
        <f>HOUR(EV_Data[[#This Row],[Charging Start Time]])</f>
        <v>22</v>
      </c>
      <c r="F1584" s="1">
        <v>44992.916666666664</v>
      </c>
      <c r="G1584" s="1">
        <v>44992.959722222222</v>
      </c>
      <c r="H1584">
        <v>62</v>
      </c>
      <c r="I1584">
        <v>31.64</v>
      </c>
      <c r="J1584" t="str">
        <f t="shared" si="73"/>
        <v>Medium</v>
      </c>
      <c r="K1584" t="s">
        <v>69</v>
      </c>
      <c r="L1584">
        <v>27</v>
      </c>
      <c r="M1584">
        <v>55</v>
      </c>
      <c r="N1584" t="str">
        <f t="shared" si="74"/>
        <v>Medium Cost</v>
      </c>
      <c r="O1584">
        <v>9.3699999999999992</v>
      </c>
      <c r="P1584" t="s">
        <v>33</v>
      </c>
      <c r="Q1584" t="s">
        <v>24</v>
      </c>
      <c r="R1584" t="s">
        <v>56</v>
      </c>
      <c r="S1584" t="s">
        <v>1112</v>
      </c>
      <c r="T1584" t="s">
        <v>37</v>
      </c>
      <c r="U1584">
        <v>30</v>
      </c>
      <c r="V1584">
        <v>4</v>
      </c>
      <c r="W1584" t="s">
        <v>28</v>
      </c>
      <c r="X1584" t="s">
        <v>68</v>
      </c>
    </row>
    <row r="1585" spans="1:24" x14ac:dyDescent="0.3">
      <c r="A1585" t="s">
        <v>2861</v>
      </c>
      <c r="B1585" t="s">
        <v>20</v>
      </c>
      <c r="C1585" t="s">
        <v>21</v>
      </c>
      <c r="D1585" t="str">
        <f t="shared" si="72"/>
        <v>Evening</v>
      </c>
      <c r="E1585">
        <f>HOUR(EV_Data[[#This Row],[Charging Start Time]])</f>
        <v>23</v>
      </c>
      <c r="F1585" s="1">
        <v>44992.958333333336</v>
      </c>
      <c r="G1585" s="1">
        <v>44992.990277777782</v>
      </c>
      <c r="H1585">
        <v>46</v>
      </c>
      <c r="I1585">
        <v>49.78</v>
      </c>
      <c r="J1585" t="str">
        <f t="shared" si="73"/>
        <v>Medium</v>
      </c>
      <c r="K1585" t="s">
        <v>22</v>
      </c>
      <c r="L1585">
        <v>8</v>
      </c>
      <c r="M1585">
        <v>28</v>
      </c>
      <c r="N1585" t="str">
        <f t="shared" si="74"/>
        <v>High Cost</v>
      </c>
      <c r="O1585">
        <v>20.13</v>
      </c>
      <c r="P1585" t="s">
        <v>51</v>
      </c>
      <c r="Q1585" t="s">
        <v>24</v>
      </c>
      <c r="R1585" t="s">
        <v>44</v>
      </c>
      <c r="S1585" t="s">
        <v>1074</v>
      </c>
      <c r="T1585" t="s">
        <v>27</v>
      </c>
      <c r="U1585">
        <v>85</v>
      </c>
      <c r="V1585">
        <v>2.2999999999999998</v>
      </c>
      <c r="W1585" t="s">
        <v>28</v>
      </c>
      <c r="X1585" t="s">
        <v>68</v>
      </c>
    </row>
    <row r="1586" spans="1:24" x14ac:dyDescent="0.3">
      <c r="A1586" t="s">
        <v>2862</v>
      </c>
      <c r="B1586" t="s">
        <v>126</v>
      </c>
      <c r="C1586" t="s">
        <v>31</v>
      </c>
      <c r="D1586" t="str">
        <f t="shared" si="72"/>
        <v>Morning</v>
      </c>
      <c r="E1586">
        <f>HOUR(EV_Data[[#This Row],[Charging Start Time]])</f>
        <v>0</v>
      </c>
      <c r="F1586" s="1">
        <v>44993</v>
      </c>
      <c r="G1586" s="1">
        <v>44993.04791666667</v>
      </c>
      <c r="H1586">
        <v>69</v>
      </c>
      <c r="I1586">
        <v>21.38</v>
      </c>
      <c r="J1586" t="str">
        <f t="shared" si="73"/>
        <v>Medium</v>
      </c>
      <c r="K1586" t="s">
        <v>55</v>
      </c>
      <c r="L1586">
        <v>31</v>
      </c>
      <c r="M1586">
        <v>43</v>
      </c>
      <c r="N1586" t="str">
        <f t="shared" si="74"/>
        <v>Low Cost</v>
      </c>
      <c r="O1586">
        <v>4.3600000000000003</v>
      </c>
      <c r="P1586" t="s">
        <v>23</v>
      </c>
      <c r="Q1586" t="s">
        <v>58</v>
      </c>
      <c r="R1586" t="s">
        <v>25</v>
      </c>
      <c r="S1586" t="s">
        <v>271</v>
      </c>
      <c r="T1586" t="s">
        <v>27</v>
      </c>
      <c r="U1586">
        <v>20</v>
      </c>
      <c r="V1586">
        <v>2.9</v>
      </c>
      <c r="W1586" t="s">
        <v>38</v>
      </c>
      <c r="X1586" t="s">
        <v>39</v>
      </c>
    </row>
    <row r="1587" spans="1:24" x14ac:dyDescent="0.3">
      <c r="A1587" t="s">
        <v>2863</v>
      </c>
      <c r="B1587" t="s">
        <v>126</v>
      </c>
      <c r="C1587" t="s">
        <v>31</v>
      </c>
      <c r="D1587" t="str">
        <f t="shared" si="72"/>
        <v>Morning</v>
      </c>
      <c r="E1587">
        <f>HOUR(EV_Data[[#This Row],[Charging Start Time]])</f>
        <v>1</v>
      </c>
      <c r="F1587" s="1">
        <v>44993.041666666664</v>
      </c>
      <c r="G1587" s="1">
        <v>44993.100694444453</v>
      </c>
      <c r="H1587">
        <v>85</v>
      </c>
      <c r="I1587">
        <v>44.78</v>
      </c>
      <c r="J1587" t="str">
        <f t="shared" si="73"/>
        <v>Medium</v>
      </c>
      <c r="K1587" t="s">
        <v>55</v>
      </c>
      <c r="L1587">
        <v>32</v>
      </c>
      <c r="M1587">
        <v>62</v>
      </c>
      <c r="N1587" t="str">
        <f t="shared" si="74"/>
        <v>Medium Cost</v>
      </c>
      <c r="O1587">
        <v>15.61</v>
      </c>
      <c r="P1587" t="s">
        <v>43</v>
      </c>
      <c r="Q1587" t="s">
        <v>34</v>
      </c>
      <c r="R1587" t="s">
        <v>35</v>
      </c>
      <c r="S1587" t="s">
        <v>910</v>
      </c>
      <c r="T1587" t="s">
        <v>60</v>
      </c>
      <c r="U1587">
        <v>14</v>
      </c>
      <c r="V1587">
        <v>3.5</v>
      </c>
      <c r="W1587" t="s">
        <v>28</v>
      </c>
      <c r="X1587" t="s">
        <v>68</v>
      </c>
    </row>
    <row r="1588" spans="1:24" x14ac:dyDescent="0.3">
      <c r="A1588" t="s">
        <v>2864</v>
      </c>
      <c r="B1588" t="s">
        <v>126</v>
      </c>
      <c r="C1588" t="s">
        <v>31</v>
      </c>
      <c r="D1588" t="str">
        <f t="shared" si="72"/>
        <v>Morning</v>
      </c>
      <c r="E1588">
        <f>HOUR(EV_Data[[#This Row],[Charging Start Time]])</f>
        <v>2</v>
      </c>
      <c r="F1588" s="1">
        <v>44993.083333333336</v>
      </c>
      <c r="G1588" s="1">
        <v>44993.121527777781</v>
      </c>
      <c r="H1588">
        <v>55</v>
      </c>
      <c r="I1588">
        <v>7.38</v>
      </c>
      <c r="J1588" t="str">
        <f t="shared" si="73"/>
        <v>Low</v>
      </c>
      <c r="K1588" t="s">
        <v>50</v>
      </c>
      <c r="L1588">
        <v>67</v>
      </c>
      <c r="M1588">
        <v>92</v>
      </c>
      <c r="N1588" t="str">
        <f t="shared" si="74"/>
        <v>Low Cost</v>
      </c>
      <c r="O1588">
        <v>2.95</v>
      </c>
      <c r="P1588" t="s">
        <v>51</v>
      </c>
      <c r="Q1588" t="s">
        <v>24</v>
      </c>
      <c r="R1588" t="s">
        <v>44</v>
      </c>
      <c r="S1588" t="s">
        <v>572</v>
      </c>
      <c r="T1588" t="s">
        <v>27</v>
      </c>
      <c r="U1588">
        <v>48</v>
      </c>
      <c r="V1588">
        <v>1.4</v>
      </c>
      <c r="W1588" t="s">
        <v>38</v>
      </c>
      <c r="X1588" t="s">
        <v>39</v>
      </c>
    </row>
    <row r="1589" spans="1:24" x14ac:dyDescent="0.3">
      <c r="A1589" t="s">
        <v>2865</v>
      </c>
      <c r="B1589" t="s">
        <v>40</v>
      </c>
      <c r="C1589" t="s">
        <v>41</v>
      </c>
      <c r="D1589" t="str">
        <f t="shared" si="72"/>
        <v>Morning</v>
      </c>
      <c r="E1589">
        <f>HOUR(EV_Data[[#This Row],[Charging Start Time]])</f>
        <v>3</v>
      </c>
      <c r="F1589" s="1">
        <v>44993.125</v>
      </c>
      <c r="G1589" s="1">
        <v>44993.17291666667</v>
      </c>
      <c r="H1589">
        <v>69</v>
      </c>
      <c r="I1589">
        <v>34.61</v>
      </c>
      <c r="J1589" t="str">
        <f t="shared" si="73"/>
        <v>Medium</v>
      </c>
      <c r="K1589" t="s">
        <v>69</v>
      </c>
      <c r="L1589">
        <v>16</v>
      </c>
      <c r="M1589">
        <v>49</v>
      </c>
      <c r="N1589" t="str">
        <f t="shared" si="74"/>
        <v>Medium Cost</v>
      </c>
      <c r="O1589">
        <v>9.2200000000000006</v>
      </c>
      <c r="P1589" t="s">
        <v>33</v>
      </c>
      <c r="Q1589" t="s">
        <v>34</v>
      </c>
      <c r="R1589" t="s">
        <v>56</v>
      </c>
      <c r="S1589" t="s">
        <v>192</v>
      </c>
      <c r="T1589" t="s">
        <v>60</v>
      </c>
      <c r="U1589">
        <v>94</v>
      </c>
      <c r="V1589">
        <v>2.7</v>
      </c>
      <c r="W1589" t="s">
        <v>28</v>
      </c>
      <c r="X1589" t="s">
        <v>68</v>
      </c>
    </row>
    <row r="1590" spans="1:24" x14ac:dyDescent="0.3">
      <c r="A1590" t="s">
        <v>2866</v>
      </c>
      <c r="B1590" t="s">
        <v>30</v>
      </c>
      <c r="C1590" t="s">
        <v>102</v>
      </c>
      <c r="D1590" t="str">
        <f t="shared" si="72"/>
        <v>Morning</v>
      </c>
      <c r="E1590">
        <f>HOUR(EV_Data[[#This Row],[Charging Start Time]])</f>
        <v>4</v>
      </c>
      <c r="F1590" s="1">
        <v>44993.166666666664</v>
      </c>
      <c r="G1590" s="1">
        <v>44993.211111111108</v>
      </c>
      <c r="H1590">
        <v>64</v>
      </c>
      <c r="I1590">
        <v>9.44</v>
      </c>
      <c r="J1590" t="str">
        <f t="shared" si="73"/>
        <v>Low</v>
      </c>
      <c r="K1590" t="s">
        <v>50</v>
      </c>
      <c r="L1590">
        <v>38</v>
      </c>
      <c r="M1590">
        <v>71</v>
      </c>
      <c r="N1590" t="str">
        <f t="shared" si="74"/>
        <v>Low Cost</v>
      </c>
      <c r="O1590">
        <v>2.77</v>
      </c>
      <c r="P1590" t="s">
        <v>23</v>
      </c>
      <c r="Q1590" t="s">
        <v>48</v>
      </c>
      <c r="R1590" t="s">
        <v>56</v>
      </c>
      <c r="S1590" t="s">
        <v>1115</v>
      </c>
      <c r="T1590" t="s">
        <v>37</v>
      </c>
      <c r="U1590">
        <v>36</v>
      </c>
      <c r="V1590">
        <v>1</v>
      </c>
      <c r="W1590" t="s">
        <v>38</v>
      </c>
      <c r="X1590" t="s">
        <v>62</v>
      </c>
    </row>
    <row r="1591" spans="1:24" x14ac:dyDescent="0.3">
      <c r="A1591" t="s">
        <v>2867</v>
      </c>
      <c r="B1591" t="s">
        <v>126</v>
      </c>
      <c r="C1591" t="s">
        <v>31</v>
      </c>
      <c r="D1591" t="str">
        <f t="shared" si="72"/>
        <v>Morning</v>
      </c>
      <c r="E1591">
        <f>HOUR(EV_Data[[#This Row],[Charging Start Time]])</f>
        <v>5</v>
      </c>
      <c r="F1591" s="1">
        <v>44993.208333333336</v>
      </c>
      <c r="G1591" s="1">
        <v>44993.243055555547</v>
      </c>
      <c r="H1591">
        <v>50</v>
      </c>
      <c r="I1591">
        <v>41.36</v>
      </c>
      <c r="J1591" t="str">
        <f t="shared" si="73"/>
        <v>Medium</v>
      </c>
      <c r="K1591" t="s">
        <v>22</v>
      </c>
      <c r="L1591">
        <v>11</v>
      </c>
      <c r="M1591">
        <v>46</v>
      </c>
      <c r="N1591" t="str">
        <f t="shared" si="74"/>
        <v>High Cost</v>
      </c>
      <c r="O1591">
        <v>18.13</v>
      </c>
      <c r="P1591" t="s">
        <v>51</v>
      </c>
      <c r="Q1591" t="s">
        <v>24</v>
      </c>
      <c r="R1591" t="s">
        <v>56</v>
      </c>
      <c r="S1591" t="s">
        <v>1048</v>
      </c>
      <c r="T1591" t="s">
        <v>27</v>
      </c>
      <c r="U1591">
        <v>44</v>
      </c>
      <c r="V1591">
        <v>4.2</v>
      </c>
      <c r="W1591" t="s">
        <v>47</v>
      </c>
      <c r="X1591" t="s">
        <v>29</v>
      </c>
    </row>
    <row r="1592" spans="1:24" x14ac:dyDescent="0.3">
      <c r="A1592" t="s">
        <v>2868</v>
      </c>
      <c r="B1592" t="s">
        <v>30</v>
      </c>
      <c r="C1592" t="s">
        <v>102</v>
      </c>
      <c r="D1592" t="str">
        <f t="shared" si="72"/>
        <v>Morning</v>
      </c>
      <c r="E1592">
        <f>HOUR(EV_Data[[#This Row],[Charging Start Time]])</f>
        <v>6</v>
      </c>
      <c r="F1592" s="1">
        <v>44993.25</v>
      </c>
      <c r="G1592" s="1">
        <v>44993.291666666657</v>
      </c>
      <c r="H1592">
        <v>60</v>
      </c>
      <c r="I1592">
        <v>46.32</v>
      </c>
      <c r="J1592" t="str">
        <f t="shared" si="73"/>
        <v>Medium</v>
      </c>
      <c r="K1592" t="s">
        <v>50</v>
      </c>
      <c r="L1592">
        <v>57</v>
      </c>
      <c r="M1592">
        <v>68</v>
      </c>
      <c r="N1592" t="str">
        <f t="shared" si="74"/>
        <v>High Cost</v>
      </c>
      <c r="O1592">
        <v>22.57</v>
      </c>
      <c r="P1592" t="s">
        <v>33</v>
      </c>
      <c r="Q1592" t="s">
        <v>24</v>
      </c>
      <c r="R1592" t="s">
        <v>44</v>
      </c>
      <c r="S1592" t="s">
        <v>1116</v>
      </c>
      <c r="T1592" t="s">
        <v>60</v>
      </c>
      <c r="U1592">
        <v>71</v>
      </c>
      <c r="V1592">
        <v>1.6</v>
      </c>
      <c r="W1592" t="s">
        <v>28</v>
      </c>
      <c r="X1592" t="s">
        <v>68</v>
      </c>
    </row>
    <row r="1593" spans="1:24" x14ac:dyDescent="0.3">
      <c r="A1593" t="s">
        <v>2869</v>
      </c>
      <c r="B1593" t="s">
        <v>53</v>
      </c>
      <c r="C1593" t="s">
        <v>54</v>
      </c>
      <c r="D1593" t="str">
        <f t="shared" si="72"/>
        <v>Morning</v>
      </c>
      <c r="E1593">
        <f>HOUR(EV_Data[[#This Row],[Charging Start Time]])</f>
        <v>7</v>
      </c>
      <c r="F1593" s="1">
        <v>44993.291666666664</v>
      </c>
      <c r="G1593" s="1">
        <v>44993.367361111108</v>
      </c>
      <c r="H1593">
        <v>109</v>
      </c>
      <c r="I1593">
        <v>48.49</v>
      </c>
      <c r="J1593" t="str">
        <f t="shared" si="73"/>
        <v>Medium</v>
      </c>
      <c r="K1593" t="s">
        <v>32</v>
      </c>
      <c r="L1593">
        <v>16</v>
      </c>
      <c r="M1593">
        <v>36</v>
      </c>
      <c r="N1593" t="str">
        <f t="shared" si="74"/>
        <v>High Cost</v>
      </c>
      <c r="O1593">
        <v>18.32</v>
      </c>
      <c r="P1593" t="s">
        <v>43</v>
      </c>
      <c r="Q1593" t="s">
        <v>34</v>
      </c>
      <c r="R1593" t="s">
        <v>44</v>
      </c>
      <c r="S1593" t="s">
        <v>376</v>
      </c>
      <c r="T1593" t="s">
        <v>27</v>
      </c>
      <c r="U1593">
        <v>51</v>
      </c>
      <c r="V1593">
        <v>2.7</v>
      </c>
      <c r="W1593" t="s">
        <v>28</v>
      </c>
      <c r="X1593" t="s">
        <v>68</v>
      </c>
    </row>
    <row r="1594" spans="1:24" x14ac:dyDescent="0.3">
      <c r="A1594" t="s">
        <v>2870</v>
      </c>
      <c r="B1594" t="s">
        <v>40</v>
      </c>
      <c r="C1594" t="s">
        <v>41</v>
      </c>
      <c r="D1594" t="str">
        <f t="shared" si="72"/>
        <v>Morning</v>
      </c>
      <c r="E1594">
        <f>HOUR(EV_Data[[#This Row],[Charging Start Time]])</f>
        <v>8</v>
      </c>
      <c r="F1594" s="1">
        <v>44993.333333333336</v>
      </c>
      <c r="G1594" s="1">
        <v>44993.372916666667</v>
      </c>
      <c r="H1594">
        <v>57</v>
      </c>
      <c r="I1594">
        <v>43.36</v>
      </c>
      <c r="J1594" t="str">
        <f t="shared" si="73"/>
        <v>Medium</v>
      </c>
      <c r="K1594" t="s">
        <v>42</v>
      </c>
      <c r="L1594">
        <v>58</v>
      </c>
      <c r="M1594">
        <v>84</v>
      </c>
      <c r="N1594" t="str">
        <f t="shared" si="74"/>
        <v>Medium Cost</v>
      </c>
      <c r="O1594">
        <v>14.06</v>
      </c>
      <c r="P1594" t="s">
        <v>23</v>
      </c>
      <c r="Q1594" t="s">
        <v>34</v>
      </c>
      <c r="R1594" t="s">
        <v>56</v>
      </c>
      <c r="S1594" t="s">
        <v>571</v>
      </c>
      <c r="T1594" t="s">
        <v>60</v>
      </c>
      <c r="U1594">
        <v>28</v>
      </c>
      <c r="V1594">
        <v>3.8</v>
      </c>
      <c r="W1594" t="s">
        <v>28</v>
      </c>
      <c r="X1594" t="s">
        <v>68</v>
      </c>
    </row>
    <row r="1595" spans="1:24" x14ac:dyDescent="0.3">
      <c r="A1595" t="s">
        <v>2871</v>
      </c>
      <c r="B1595" t="s">
        <v>92</v>
      </c>
      <c r="C1595" t="s">
        <v>93</v>
      </c>
      <c r="D1595" t="str">
        <f t="shared" si="72"/>
        <v>Morning</v>
      </c>
      <c r="E1595">
        <f>HOUR(EV_Data[[#This Row],[Charging Start Time]])</f>
        <v>9</v>
      </c>
      <c r="F1595" s="1">
        <v>44993.375</v>
      </c>
      <c r="G1595" s="1">
        <v>44993.451388888891</v>
      </c>
      <c r="H1595">
        <v>110</v>
      </c>
      <c r="I1595">
        <v>45.96</v>
      </c>
      <c r="J1595" t="str">
        <f t="shared" si="73"/>
        <v>Medium</v>
      </c>
      <c r="K1595" t="s">
        <v>55</v>
      </c>
      <c r="L1595">
        <v>36</v>
      </c>
      <c r="M1595">
        <v>65</v>
      </c>
      <c r="N1595" t="str">
        <f t="shared" si="74"/>
        <v>High Cost</v>
      </c>
      <c r="O1595">
        <v>22.16</v>
      </c>
      <c r="P1595" t="s">
        <v>64</v>
      </c>
      <c r="Q1595" t="s">
        <v>34</v>
      </c>
      <c r="R1595" t="s">
        <v>35</v>
      </c>
      <c r="S1595" t="s">
        <v>838</v>
      </c>
      <c r="T1595" t="s">
        <v>37</v>
      </c>
      <c r="U1595">
        <v>54</v>
      </c>
      <c r="V1595">
        <v>2.4</v>
      </c>
      <c r="W1595" t="s">
        <v>28</v>
      </c>
      <c r="X1595" t="s">
        <v>68</v>
      </c>
    </row>
    <row r="1596" spans="1:24" x14ac:dyDescent="0.3">
      <c r="A1596" t="s">
        <v>2872</v>
      </c>
      <c r="B1596" t="s">
        <v>92</v>
      </c>
      <c r="C1596" t="s">
        <v>93</v>
      </c>
      <c r="D1596" t="str">
        <f t="shared" si="72"/>
        <v>Morning</v>
      </c>
      <c r="E1596">
        <f>HOUR(EV_Data[[#This Row],[Charging Start Time]])</f>
        <v>10</v>
      </c>
      <c r="F1596" s="1">
        <v>44993.416666666664</v>
      </c>
      <c r="G1596" s="1">
        <v>44993.463194444441</v>
      </c>
      <c r="H1596">
        <v>67</v>
      </c>
      <c r="I1596">
        <v>8.48</v>
      </c>
      <c r="J1596" t="str">
        <f t="shared" si="73"/>
        <v>Low</v>
      </c>
      <c r="K1596" t="s">
        <v>50</v>
      </c>
      <c r="L1596">
        <v>39</v>
      </c>
      <c r="M1596">
        <v>77</v>
      </c>
      <c r="N1596" t="str">
        <f t="shared" si="74"/>
        <v>Low Cost</v>
      </c>
      <c r="O1596">
        <v>2.0099999999999998</v>
      </c>
      <c r="P1596" t="s">
        <v>51</v>
      </c>
      <c r="Q1596" t="s">
        <v>34</v>
      </c>
      <c r="R1596" t="s">
        <v>35</v>
      </c>
      <c r="S1596" t="s">
        <v>1117</v>
      </c>
      <c r="T1596" t="s">
        <v>27</v>
      </c>
      <c r="U1596">
        <v>79</v>
      </c>
      <c r="V1596">
        <v>2.1</v>
      </c>
      <c r="W1596" t="s">
        <v>28</v>
      </c>
      <c r="X1596" t="s">
        <v>68</v>
      </c>
    </row>
    <row r="1597" spans="1:24" x14ac:dyDescent="0.3">
      <c r="A1597" t="s">
        <v>2873</v>
      </c>
      <c r="B1597" t="s">
        <v>20</v>
      </c>
      <c r="C1597" t="s">
        <v>21</v>
      </c>
      <c r="D1597" t="str">
        <f t="shared" si="72"/>
        <v>Morning</v>
      </c>
      <c r="E1597">
        <f>HOUR(EV_Data[[#This Row],[Charging Start Time]])</f>
        <v>11</v>
      </c>
      <c r="F1597" s="1">
        <v>44993.458333333336</v>
      </c>
      <c r="G1597" s="1">
        <v>44993.482638888891</v>
      </c>
      <c r="H1597">
        <v>35</v>
      </c>
      <c r="I1597">
        <v>18.52</v>
      </c>
      <c r="J1597" t="str">
        <f t="shared" si="73"/>
        <v>Low</v>
      </c>
      <c r="K1597" t="s">
        <v>42</v>
      </c>
      <c r="L1597">
        <v>26</v>
      </c>
      <c r="M1597">
        <v>39</v>
      </c>
      <c r="N1597" t="str">
        <f t="shared" si="74"/>
        <v>Medium Cost</v>
      </c>
      <c r="O1597">
        <v>8.89</v>
      </c>
      <c r="P1597" t="s">
        <v>64</v>
      </c>
      <c r="Q1597" t="s">
        <v>34</v>
      </c>
      <c r="R1597" t="s">
        <v>25</v>
      </c>
      <c r="S1597" t="s">
        <v>349</v>
      </c>
      <c r="T1597" t="s">
        <v>27</v>
      </c>
      <c r="U1597">
        <v>3</v>
      </c>
      <c r="V1597">
        <v>4.2</v>
      </c>
      <c r="W1597" t="s">
        <v>47</v>
      </c>
      <c r="X1597" t="s">
        <v>29</v>
      </c>
    </row>
    <row r="1598" spans="1:24" x14ac:dyDescent="0.3">
      <c r="A1598" t="s">
        <v>2874</v>
      </c>
      <c r="B1598" t="s">
        <v>71</v>
      </c>
      <c r="C1598" t="s">
        <v>72</v>
      </c>
      <c r="D1598" t="str">
        <f t="shared" si="72"/>
        <v>Afternoon</v>
      </c>
      <c r="E1598">
        <f>HOUR(EV_Data[[#This Row],[Charging Start Time]])</f>
        <v>12</v>
      </c>
      <c r="F1598" s="1">
        <v>44993.5</v>
      </c>
      <c r="G1598" s="1">
        <v>44993.542361111111</v>
      </c>
      <c r="H1598">
        <v>61</v>
      </c>
      <c r="I1598">
        <v>39.17</v>
      </c>
      <c r="J1598" t="str">
        <f t="shared" si="73"/>
        <v>Medium</v>
      </c>
      <c r="K1598" t="s">
        <v>50</v>
      </c>
      <c r="L1598">
        <v>7</v>
      </c>
      <c r="M1598">
        <v>33</v>
      </c>
      <c r="N1598" t="str">
        <f t="shared" si="74"/>
        <v>Medium Cost</v>
      </c>
      <c r="O1598">
        <v>11.29</v>
      </c>
      <c r="P1598" t="s">
        <v>51</v>
      </c>
      <c r="Q1598" t="s">
        <v>24</v>
      </c>
      <c r="R1598" t="s">
        <v>56</v>
      </c>
      <c r="S1598" t="s">
        <v>1118</v>
      </c>
      <c r="T1598" t="s">
        <v>46</v>
      </c>
      <c r="U1598">
        <v>6</v>
      </c>
      <c r="V1598">
        <v>1.3</v>
      </c>
      <c r="W1598" t="s">
        <v>28</v>
      </c>
      <c r="X1598" t="s">
        <v>68</v>
      </c>
    </row>
    <row r="1599" spans="1:24" x14ac:dyDescent="0.3">
      <c r="A1599" t="s">
        <v>2875</v>
      </c>
      <c r="B1599" t="s">
        <v>71</v>
      </c>
      <c r="C1599" t="s">
        <v>72</v>
      </c>
      <c r="D1599" t="str">
        <f t="shared" si="72"/>
        <v>Afternoon</v>
      </c>
      <c r="E1599">
        <f>HOUR(EV_Data[[#This Row],[Charging Start Time]])</f>
        <v>13</v>
      </c>
      <c r="F1599" s="1">
        <v>44993.541666666664</v>
      </c>
      <c r="G1599" s="1">
        <v>44993.581250000003</v>
      </c>
      <c r="H1599">
        <v>57</v>
      </c>
      <c r="I1599">
        <v>23.45</v>
      </c>
      <c r="J1599" t="str">
        <f t="shared" si="73"/>
        <v>Medium</v>
      </c>
      <c r="K1599" t="s">
        <v>42</v>
      </c>
      <c r="L1599">
        <v>16</v>
      </c>
      <c r="M1599">
        <v>42</v>
      </c>
      <c r="N1599" t="str">
        <f t="shared" si="74"/>
        <v>Low Cost</v>
      </c>
      <c r="O1599">
        <v>5.37</v>
      </c>
      <c r="P1599" t="s">
        <v>23</v>
      </c>
      <c r="Q1599" t="s">
        <v>24</v>
      </c>
      <c r="R1599" t="s">
        <v>25</v>
      </c>
      <c r="S1599" t="s">
        <v>1119</v>
      </c>
      <c r="T1599" t="s">
        <v>46</v>
      </c>
      <c r="U1599">
        <v>4</v>
      </c>
      <c r="V1599">
        <v>4.4000000000000004</v>
      </c>
      <c r="W1599" t="s">
        <v>47</v>
      </c>
      <c r="X1599" t="s">
        <v>29</v>
      </c>
    </row>
    <row r="1600" spans="1:24" x14ac:dyDescent="0.3">
      <c r="A1600" t="s">
        <v>2876</v>
      </c>
      <c r="B1600" t="s">
        <v>20</v>
      </c>
      <c r="C1600" t="s">
        <v>21</v>
      </c>
      <c r="D1600" t="str">
        <f t="shared" si="72"/>
        <v>Afternoon</v>
      </c>
      <c r="E1600">
        <f>HOUR(EV_Data[[#This Row],[Charging Start Time]])</f>
        <v>14</v>
      </c>
      <c r="F1600" s="1">
        <v>44993.583333333336</v>
      </c>
      <c r="G1600" s="1">
        <v>44993.615277777782</v>
      </c>
      <c r="H1600">
        <v>46</v>
      </c>
      <c r="I1600">
        <v>17.54</v>
      </c>
      <c r="J1600" t="str">
        <f t="shared" si="73"/>
        <v>Low</v>
      </c>
      <c r="K1600" t="s">
        <v>55</v>
      </c>
      <c r="L1600">
        <v>36</v>
      </c>
      <c r="M1600">
        <v>69</v>
      </c>
      <c r="N1600" t="str">
        <f t="shared" si="74"/>
        <v>Low Cost</v>
      </c>
      <c r="O1600">
        <v>7.73</v>
      </c>
      <c r="P1600" t="s">
        <v>23</v>
      </c>
      <c r="Q1600" t="s">
        <v>48</v>
      </c>
      <c r="R1600" t="s">
        <v>56</v>
      </c>
      <c r="S1600" t="s">
        <v>118</v>
      </c>
      <c r="T1600" t="s">
        <v>60</v>
      </c>
      <c r="U1600">
        <v>35</v>
      </c>
      <c r="V1600">
        <v>4.5999999999999996</v>
      </c>
      <c r="W1600" t="s">
        <v>38</v>
      </c>
      <c r="X1600" t="s">
        <v>39</v>
      </c>
    </row>
    <row r="1601" spans="1:24" x14ac:dyDescent="0.3">
      <c r="A1601" t="s">
        <v>2877</v>
      </c>
      <c r="B1601" t="s">
        <v>126</v>
      </c>
      <c r="C1601" t="s">
        <v>31</v>
      </c>
      <c r="D1601" t="str">
        <f t="shared" si="72"/>
        <v>Afternoon</v>
      </c>
      <c r="E1601">
        <f>HOUR(EV_Data[[#This Row],[Charging Start Time]])</f>
        <v>15</v>
      </c>
      <c r="F1601" s="1">
        <v>44993.625</v>
      </c>
      <c r="G1601" s="1">
        <v>44993.672222222223</v>
      </c>
      <c r="H1601">
        <v>68</v>
      </c>
      <c r="I1601">
        <v>29.42</v>
      </c>
      <c r="J1601" t="str">
        <f t="shared" si="73"/>
        <v>Medium</v>
      </c>
      <c r="K1601" t="s">
        <v>42</v>
      </c>
      <c r="L1601">
        <v>62</v>
      </c>
      <c r="M1601">
        <v>76</v>
      </c>
      <c r="N1601" t="str">
        <f t="shared" si="74"/>
        <v>Medium Cost</v>
      </c>
      <c r="O1601">
        <v>13.1</v>
      </c>
      <c r="P1601" t="s">
        <v>51</v>
      </c>
      <c r="Q1601" t="s">
        <v>24</v>
      </c>
      <c r="R1601" t="s">
        <v>35</v>
      </c>
      <c r="S1601" t="s">
        <v>398</v>
      </c>
      <c r="T1601" t="s">
        <v>27</v>
      </c>
      <c r="U1601">
        <v>80</v>
      </c>
      <c r="V1601">
        <v>4.2</v>
      </c>
      <c r="W1601" t="s">
        <v>47</v>
      </c>
      <c r="X1601" t="s">
        <v>29</v>
      </c>
    </row>
    <row r="1602" spans="1:24" x14ac:dyDescent="0.3">
      <c r="A1602" t="s">
        <v>2878</v>
      </c>
      <c r="B1602" t="s">
        <v>53</v>
      </c>
      <c r="C1602" t="s">
        <v>54</v>
      </c>
      <c r="D1602" t="str">
        <f t="shared" ref="D1602:D1665" si="75">IF(E1602&lt;12,"Morning",IF(E1602&lt;17,"Afternoon","Evening"))</f>
        <v>Afternoon</v>
      </c>
      <c r="E1602">
        <f>HOUR(EV_Data[[#This Row],[Charging Start Time]])</f>
        <v>16</v>
      </c>
      <c r="F1602" s="1">
        <v>44993.666666666664</v>
      </c>
      <c r="G1602" s="1">
        <v>44993.706944444442</v>
      </c>
      <c r="H1602">
        <v>58</v>
      </c>
      <c r="I1602">
        <v>9.0500000000000007</v>
      </c>
      <c r="J1602" t="str">
        <f t="shared" ref="J1602:J1665" si="76">IF(I1602&lt;20,"Low",IF(I1602&lt;50,"Medium","High"))</f>
        <v>Low</v>
      </c>
      <c r="K1602" t="s">
        <v>32</v>
      </c>
      <c r="L1602">
        <v>36</v>
      </c>
      <c r="M1602">
        <v>62</v>
      </c>
      <c r="N1602" t="str">
        <f t="shared" ref="N1602:N1665" si="77">IF(O1602&lt;8,"Low Cost",IF(O1602&lt;17,"Medium Cost","High Cost"))</f>
        <v>Low Cost</v>
      </c>
      <c r="O1602">
        <v>2.13</v>
      </c>
      <c r="P1602" t="s">
        <v>23</v>
      </c>
      <c r="Q1602" t="s">
        <v>48</v>
      </c>
      <c r="R1602" t="s">
        <v>25</v>
      </c>
      <c r="S1602" t="s">
        <v>1120</v>
      </c>
      <c r="T1602" t="s">
        <v>60</v>
      </c>
      <c r="U1602">
        <v>80</v>
      </c>
      <c r="V1602">
        <v>3.5</v>
      </c>
      <c r="W1602" t="s">
        <v>47</v>
      </c>
      <c r="X1602" t="s">
        <v>29</v>
      </c>
    </row>
    <row r="1603" spans="1:24" x14ac:dyDescent="0.3">
      <c r="A1603" t="s">
        <v>2879</v>
      </c>
      <c r="B1603" t="s">
        <v>53</v>
      </c>
      <c r="C1603" t="s">
        <v>54</v>
      </c>
      <c r="D1603" t="str">
        <f t="shared" si="75"/>
        <v>Evening</v>
      </c>
      <c r="E1603">
        <f>HOUR(EV_Data[[#This Row],[Charging Start Time]])</f>
        <v>17</v>
      </c>
      <c r="F1603" s="1">
        <v>44993.708333333336</v>
      </c>
      <c r="G1603" s="1">
        <v>44993.76458333333</v>
      </c>
      <c r="H1603">
        <v>81</v>
      </c>
      <c r="I1603">
        <v>20.22</v>
      </c>
      <c r="J1603" t="str">
        <f t="shared" si="76"/>
        <v>Medium</v>
      </c>
      <c r="K1603" t="s">
        <v>22</v>
      </c>
      <c r="L1603">
        <v>35</v>
      </c>
      <c r="M1603">
        <v>48</v>
      </c>
      <c r="N1603" t="str">
        <f t="shared" si="77"/>
        <v>Low Cost</v>
      </c>
      <c r="O1603">
        <v>6.26</v>
      </c>
      <c r="P1603" t="s">
        <v>23</v>
      </c>
      <c r="Q1603" t="s">
        <v>24</v>
      </c>
      <c r="R1603" t="s">
        <v>35</v>
      </c>
      <c r="S1603" t="s">
        <v>850</v>
      </c>
      <c r="T1603" t="s">
        <v>46</v>
      </c>
      <c r="U1603">
        <v>36</v>
      </c>
      <c r="V1603">
        <v>1.7</v>
      </c>
      <c r="W1603" t="s">
        <v>28</v>
      </c>
      <c r="X1603" t="s">
        <v>68</v>
      </c>
    </row>
    <row r="1604" spans="1:24" x14ac:dyDescent="0.3">
      <c r="A1604" t="s">
        <v>2880</v>
      </c>
      <c r="B1604" t="s">
        <v>77</v>
      </c>
      <c r="C1604" t="s">
        <v>78</v>
      </c>
      <c r="D1604" t="str">
        <f t="shared" si="75"/>
        <v>Evening</v>
      </c>
      <c r="E1604">
        <f>HOUR(EV_Data[[#This Row],[Charging Start Time]])</f>
        <v>18</v>
      </c>
      <c r="F1604" s="1">
        <v>44993.75</v>
      </c>
      <c r="G1604" s="1">
        <v>44993.771527777782</v>
      </c>
      <c r="H1604">
        <v>31</v>
      </c>
      <c r="I1604">
        <v>41.15</v>
      </c>
      <c r="J1604" t="str">
        <f t="shared" si="76"/>
        <v>Medium</v>
      </c>
      <c r="K1604" t="s">
        <v>42</v>
      </c>
      <c r="L1604">
        <v>46</v>
      </c>
      <c r="M1604">
        <v>66</v>
      </c>
      <c r="N1604" t="str">
        <f t="shared" si="77"/>
        <v>Medium Cost</v>
      </c>
      <c r="O1604">
        <v>12.24</v>
      </c>
      <c r="P1604" t="s">
        <v>33</v>
      </c>
      <c r="Q1604" t="s">
        <v>34</v>
      </c>
      <c r="R1604" t="s">
        <v>44</v>
      </c>
      <c r="S1604" t="s">
        <v>184</v>
      </c>
      <c r="T1604" t="s">
        <v>37</v>
      </c>
      <c r="U1604">
        <v>84</v>
      </c>
      <c r="V1604">
        <v>3.1</v>
      </c>
      <c r="W1604" t="s">
        <v>28</v>
      </c>
      <c r="X1604" t="s">
        <v>68</v>
      </c>
    </row>
    <row r="1605" spans="1:24" x14ac:dyDescent="0.3">
      <c r="A1605" t="s">
        <v>2881</v>
      </c>
      <c r="B1605" t="s">
        <v>126</v>
      </c>
      <c r="C1605" t="s">
        <v>31</v>
      </c>
      <c r="D1605" t="str">
        <f t="shared" si="75"/>
        <v>Evening</v>
      </c>
      <c r="E1605">
        <f>HOUR(EV_Data[[#This Row],[Charging Start Time]])</f>
        <v>19</v>
      </c>
      <c r="F1605" s="1">
        <v>44993.791666666664</v>
      </c>
      <c r="G1605" s="1">
        <v>44993.820138888892</v>
      </c>
      <c r="H1605">
        <v>41</v>
      </c>
      <c r="I1605">
        <v>21.86</v>
      </c>
      <c r="J1605" t="str">
        <f t="shared" si="76"/>
        <v>Medium</v>
      </c>
      <c r="K1605" t="s">
        <v>50</v>
      </c>
      <c r="L1605">
        <v>51</v>
      </c>
      <c r="M1605">
        <v>87</v>
      </c>
      <c r="N1605" t="str">
        <f t="shared" si="77"/>
        <v>Medium Cost</v>
      </c>
      <c r="O1605">
        <v>9.07</v>
      </c>
      <c r="P1605" t="s">
        <v>33</v>
      </c>
      <c r="Q1605" t="s">
        <v>58</v>
      </c>
      <c r="R1605" t="s">
        <v>44</v>
      </c>
      <c r="S1605" t="s">
        <v>133</v>
      </c>
      <c r="T1605" t="s">
        <v>46</v>
      </c>
      <c r="U1605">
        <v>14</v>
      </c>
      <c r="V1605">
        <v>4</v>
      </c>
      <c r="W1605" t="s">
        <v>38</v>
      </c>
      <c r="X1605" t="s">
        <v>85</v>
      </c>
    </row>
    <row r="1606" spans="1:24" x14ac:dyDescent="0.3">
      <c r="A1606" t="s">
        <v>2882</v>
      </c>
      <c r="B1606" t="s">
        <v>71</v>
      </c>
      <c r="C1606" t="s">
        <v>72</v>
      </c>
      <c r="D1606" t="str">
        <f t="shared" si="75"/>
        <v>Evening</v>
      </c>
      <c r="E1606">
        <f>HOUR(EV_Data[[#This Row],[Charging Start Time]])</f>
        <v>20</v>
      </c>
      <c r="F1606" s="1">
        <v>44993.833333333336</v>
      </c>
      <c r="G1606" s="1">
        <v>44993.885416666657</v>
      </c>
      <c r="H1606">
        <v>75</v>
      </c>
      <c r="I1606">
        <v>49.4</v>
      </c>
      <c r="J1606" t="str">
        <f t="shared" si="76"/>
        <v>Medium</v>
      </c>
      <c r="K1606" t="s">
        <v>22</v>
      </c>
      <c r="L1606">
        <v>44</v>
      </c>
      <c r="M1606">
        <v>81</v>
      </c>
      <c r="N1606" t="str">
        <f t="shared" si="77"/>
        <v>Medium Cost</v>
      </c>
      <c r="O1606">
        <v>11.5</v>
      </c>
      <c r="P1606" t="s">
        <v>23</v>
      </c>
      <c r="Q1606" t="s">
        <v>48</v>
      </c>
      <c r="R1606" t="s">
        <v>35</v>
      </c>
      <c r="S1606" t="s">
        <v>1121</v>
      </c>
      <c r="T1606" t="s">
        <v>46</v>
      </c>
      <c r="U1606">
        <v>4</v>
      </c>
      <c r="V1606">
        <v>2.2999999999999998</v>
      </c>
      <c r="W1606" t="s">
        <v>28</v>
      </c>
      <c r="X1606" t="s">
        <v>68</v>
      </c>
    </row>
    <row r="1607" spans="1:24" x14ac:dyDescent="0.3">
      <c r="A1607" t="s">
        <v>2883</v>
      </c>
      <c r="B1607" t="s">
        <v>40</v>
      </c>
      <c r="C1607" t="s">
        <v>41</v>
      </c>
      <c r="D1607" t="str">
        <f t="shared" si="75"/>
        <v>Evening</v>
      </c>
      <c r="E1607">
        <f>HOUR(EV_Data[[#This Row],[Charging Start Time]])</f>
        <v>21</v>
      </c>
      <c r="F1607" s="1">
        <v>44993.875</v>
      </c>
      <c r="G1607" s="1">
        <v>44993.925694444442</v>
      </c>
      <c r="H1607">
        <v>73</v>
      </c>
      <c r="I1607">
        <v>32.229999999999997</v>
      </c>
      <c r="J1607" t="str">
        <f t="shared" si="76"/>
        <v>Medium</v>
      </c>
      <c r="K1607" t="s">
        <v>55</v>
      </c>
      <c r="L1607">
        <v>16</v>
      </c>
      <c r="M1607">
        <v>51</v>
      </c>
      <c r="N1607" t="str">
        <f t="shared" si="77"/>
        <v>Medium Cost</v>
      </c>
      <c r="O1607">
        <v>9.3000000000000007</v>
      </c>
      <c r="P1607" t="s">
        <v>33</v>
      </c>
      <c r="Q1607" t="s">
        <v>48</v>
      </c>
      <c r="R1607" t="s">
        <v>44</v>
      </c>
      <c r="S1607" t="s">
        <v>541</v>
      </c>
      <c r="T1607" t="s">
        <v>37</v>
      </c>
      <c r="U1607">
        <v>70</v>
      </c>
      <c r="V1607">
        <v>2.7</v>
      </c>
      <c r="W1607" t="s">
        <v>47</v>
      </c>
      <c r="X1607" t="s">
        <v>29</v>
      </c>
    </row>
    <row r="1608" spans="1:24" x14ac:dyDescent="0.3">
      <c r="A1608" t="s">
        <v>2884</v>
      </c>
      <c r="B1608" t="s">
        <v>77</v>
      </c>
      <c r="C1608" t="s">
        <v>78</v>
      </c>
      <c r="D1608" t="str">
        <f t="shared" si="75"/>
        <v>Evening</v>
      </c>
      <c r="E1608">
        <f>HOUR(EV_Data[[#This Row],[Charging Start Time]])</f>
        <v>22</v>
      </c>
      <c r="F1608" s="1">
        <v>44993.916666666664</v>
      </c>
      <c r="G1608" s="1">
        <v>44993.978472222218</v>
      </c>
      <c r="H1608">
        <v>89</v>
      </c>
      <c r="I1608">
        <v>18.14</v>
      </c>
      <c r="J1608" t="str">
        <f t="shared" si="76"/>
        <v>Low</v>
      </c>
      <c r="K1608" t="s">
        <v>55</v>
      </c>
      <c r="L1608">
        <v>20</v>
      </c>
      <c r="M1608">
        <v>49</v>
      </c>
      <c r="N1608" t="str">
        <f t="shared" si="77"/>
        <v>Low Cost</v>
      </c>
      <c r="O1608">
        <v>7.25</v>
      </c>
      <c r="P1608" t="s">
        <v>23</v>
      </c>
      <c r="Q1608" t="s">
        <v>34</v>
      </c>
      <c r="R1608" t="s">
        <v>56</v>
      </c>
      <c r="S1608" t="s">
        <v>91</v>
      </c>
      <c r="T1608" t="s">
        <v>60</v>
      </c>
      <c r="U1608">
        <v>69</v>
      </c>
      <c r="V1608">
        <v>1.8</v>
      </c>
      <c r="W1608" t="s">
        <v>38</v>
      </c>
      <c r="X1608" t="s">
        <v>85</v>
      </c>
    </row>
    <row r="1609" spans="1:24" x14ac:dyDescent="0.3">
      <c r="A1609" t="s">
        <v>2885</v>
      </c>
      <c r="B1609" t="s">
        <v>53</v>
      </c>
      <c r="C1609" t="s">
        <v>54</v>
      </c>
      <c r="D1609" t="str">
        <f t="shared" si="75"/>
        <v>Evening</v>
      </c>
      <c r="E1609">
        <f>HOUR(EV_Data[[#This Row],[Charging Start Time]])</f>
        <v>23</v>
      </c>
      <c r="F1609" s="1">
        <v>44993.958333333336</v>
      </c>
      <c r="G1609" s="1">
        <v>44993.999305555553</v>
      </c>
      <c r="H1609">
        <v>59</v>
      </c>
      <c r="I1609">
        <v>46.48</v>
      </c>
      <c r="J1609" t="str">
        <f t="shared" si="76"/>
        <v>Medium</v>
      </c>
      <c r="K1609" t="s">
        <v>55</v>
      </c>
      <c r="L1609">
        <v>27</v>
      </c>
      <c r="M1609">
        <v>51</v>
      </c>
      <c r="N1609" t="str">
        <f t="shared" si="77"/>
        <v>Medium Cost</v>
      </c>
      <c r="O1609">
        <v>15.13</v>
      </c>
      <c r="P1609" t="s">
        <v>64</v>
      </c>
      <c r="Q1609" t="s">
        <v>34</v>
      </c>
      <c r="R1609" t="s">
        <v>25</v>
      </c>
      <c r="S1609" t="s">
        <v>1054</v>
      </c>
      <c r="T1609" t="s">
        <v>60</v>
      </c>
      <c r="U1609">
        <v>92</v>
      </c>
      <c r="V1609">
        <v>4.2</v>
      </c>
      <c r="W1609" t="s">
        <v>38</v>
      </c>
      <c r="X1609" t="s">
        <v>83</v>
      </c>
    </row>
    <row r="1610" spans="1:24" x14ac:dyDescent="0.3">
      <c r="A1610" t="s">
        <v>2886</v>
      </c>
      <c r="B1610" t="s">
        <v>77</v>
      </c>
      <c r="C1610" t="s">
        <v>78</v>
      </c>
      <c r="D1610" t="str">
        <f t="shared" si="75"/>
        <v>Morning</v>
      </c>
      <c r="E1610">
        <f>HOUR(EV_Data[[#This Row],[Charging Start Time]])</f>
        <v>0</v>
      </c>
      <c r="F1610" s="1">
        <v>44994</v>
      </c>
      <c r="G1610" s="1">
        <v>44994.07708333333</v>
      </c>
      <c r="H1610">
        <v>111</v>
      </c>
      <c r="I1610">
        <v>44.49</v>
      </c>
      <c r="J1610" t="str">
        <f t="shared" si="76"/>
        <v>Medium</v>
      </c>
      <c r="K1610" t="s">
        <v>50</v>
      </c>
      <c r="L1610">
        <v>35</v>
      </c>
      <c r="M1610">
        <v>71</v>
      </c>
      <c r="N1610" t="str">
        <f t="shared" si="77"/>
        <v>Medium Cost</v>
      </c>
      <c r="O1610">
        <v>14.82</v>
      </c>
      <c r="P1610" t="s">
        <v>43</v>
      </c>
      <c r="Q1610" t="s">
        <v>34</v>
      </c>
      <c r="R1610" t="s">
        <v>35</v>
      </c>
      <c r="S1610" t="s">
        <v>1122</v>
      </c>
      <c r="T1610" t="s">
        <v>37</v>
      </c>
      <c r="U1610">
        <v>81</v>
      </c>
      <c r="V1610">
        <v>4.0999999999999996</v>
      </c>
      <c r="W1610" t="s">
        <v>38</v>
      </c>
      <c r="X1610" t="s">
        <v>83</v>
      </c>
    </row>
    <row r="1611" spans="1:24" x14ac:dyDescent="0.3">
      <c r="A1611" t="s">
        <v>2887</v>
      </c>
      <c r="B1611" t="s">
        <v>30</v>
      </c>
      <c r="C1611" t="s">
        <v>102</v>
      </c>
      <c r="D1611" t="str">
        <f t="shared" si="75"/>
        <v>Morning</v>
      </c>
      <c r="E1611">
        <f>HOUR(EV_Data[[#This Row],[Charging Start Time]])</f>
        <v>1</v>
      </c>
      <c r="F1611" s="1">
        <v>44994.041666666664</v>
      </c>
      <c r="G1611" s="1">
        <v>44994.072916666657</v>
      </c>
      <c r="H1611">
        <v>45</v>
      </c>
      <c r="I1611">
        <v>49.23</v>
      </c>
      <c r="J1611" t="str">
        <f t="shared" si="76"/>
        <v>Medium</v>
      </c>
      <c r="K1611" t="s">
        <v>50</v>
      </c>
      <c r="L1611">
        <v>31</v>
      </c>
      <c r="M1611">
        <v>43</v>
      </c>
      <c r="N1611" t="str">
        <f t="shared" si="77"/>
        <v>High Cost</v>
      </c>
      <c r="O1611">
        <v>17.899999999999999</v>
      </c>
      <c r="P1611" t="s">
        <v>43</v>
      </c>
      <c r="Q1611" t="s">
        <v>34</v>
      </c>
      <c r="R1611" t="s">
        <v>35</v>
      </c>
      <c r="S1611" t="s">
        <v>344</v>
      </c>
      <c r="T1611" t="s">
        <v>46</v>
      </c>
      <c r="U1611">
        <v>44</v>
      </c>
      <c r="V1611">
        <v>4.8</v>
      </c>
      <c r="W1611" t="s">
        <v>28</v>
      </c>
      <c r="X1611" t="s">
        <v>68</v>
      </c>
    </row>
    <row r="1612" spans="1:24" x14ac:dyDescent="0.3">
      <c r="A1612" t="s">
        <v>2888</v>
      </c>
      <c r="B1612" t="s">
        <v>71</v>
      </c>
      <c r="C1612" t="s">
        <v>72</v>
      </c>
      <c r="D1612" t="str">
        <f t="shared" si="75"/>
        <v>Morning</v>
      </c>
      <c r="E1612">
        <f>HOUR(EV_Data[[#This Row],[Charging Start Time]])</f>
        <v>2</v>
      </c>
      <c r="F1612" s="1">
        <v>44994.083333333336</v>
      </c>
      <c r="G1612" s="1">
        <v>44994.105555555558</v>
      </c>
      <c r="H1612">
        <v>32</v>
      </c>
      <c r="I1612">
        <v>16.510000000000002</v>
      </c>
      <c r="J1612" t="str">
        <f t="shared" si="76"/>
        <v>Low</v>
      </c>
      <c r="K1612" t="s">
        <v>22</v>
      </c>
      <c r="L1612">
        <v>48</v>
      </c>
      <c r="M1612">
        <v>61</v>
      </c>
      <c r="N1612" t="str">
        <f t="shared" si="77"/>
        <v>Medium Cost</v>
      </c>
      <c r="O1612">
        <v>8.1999999999999993</v>
      </c>
      <c r="P1612" t="s">
        <v>23</v>
      </c>
      <c r="Q1612" t="s">
        <v>24</v>
      </c>
      <c r="R1612" t="s">
        <v>44</v>
      </c>
      <c r="S1612" t="s">
        <v>240</v>
      </c>
      <c r="T1612" t="s">
        <v>60</v>
      </c>
      <c r="U1612">
        <v>93</v>
      </c>
      <c r="V1612">
        <v>3.8</v>
      </c>
      <c r="W1612" t="s">
        <v>47</v>
      </c>
      <c r="X1612" t="s">
        <v>29</v>
      </c>
    </row>
    <row r="1613" spans="1:24" x14ac:dyDescent="0.3">
      <c r="A1613" t="s">
        <v>2889</v>
      </c>
      <c r="B1613" t="s">
        <v>126</v>
      </c>
      <c r="C1613" t="s">
        <v>31</v>
      </c>
      <c r="D1613" t="str">
        <f t="shared" si="75"/>
        <v>Morning</v>
      </c>
      <c r="E1613">
        <f>HOUR(EV_Data[[#This Row],[Charging Start Time]])</f>
        <v>3</v>
      </c>
      <c r="F1613" s="1">
        <v>44994.125</v>
      </c>
      <c r="G1613" s="1">
        <v>44994.179861111108</v>
      </c>
      <c r="H1613">
        <v>79</v>
      </c>
      <c r="I1613">
        <v>45.15</v>
      </c>
      <c r="J1613" t="str">
        <f t="shared" si="76"/>
        <v>Medium</v>
      </c>
      <c r="K1613" t="s">
        <v>50</v>
      </c>
      <c r="L1613">
        <v>47</v>
      </c>
      <c r="M1613">
        <v>66</v>
      </c>
      <c r="N1613" t="str">
        <f t="shared" si="77"/>
        <v>Medium Cost</v>
      </c>
      <c r="O1613">
        <v>15.7</v>
      </c>
      <c r="P1613" t="s">
        <v>33</v>
      </c>
      <c r="Q1613" t="s">
        <v>58</v>
      </c>
      <c r="R1613" t="s">
        <v>35</v>
      </c>
      <c r="S1613" t="s">
        <v>808</v>
      </c>
      <c r="T1613" t="s">
        <v>46</v>
      </c>
      <c r="U1613">
        <v>53</v>
      </c>
      <c r="V1613">
        <v>2.2000000000000002</v>
      </c>
      <c r="W1613" t="s">
        <v>38</v>
      </c>
    </row>
    <row r="1614" spans="1:24" x14ac:dyDescent="0.3">
      <c r="A1614" t="s">
        <v>2890</v>
      </c>
      <c r="B1614" t="s">
        <v>77</v>
      </c>
      <c r="C1614" t="s">
        <v>78</v>
      </c>
      <c r="D1614" t="str">
        <f t="shared" si="75"/>
        <v>Morning</v>
      </c>
      <c r="E1614">
        <f>HOUR(EV_Data[[#This Row],[Charging Start Time]])</f>
        <v>4</v>
      </c>
      <c r="F1614" s="1">
        <v>44994.166666666664</v>
      </c>
      <c r="G1614" s="1">
        <v>44994.188194444447</v>
      </c>
      <c r="H1614">
        <v>31</v>
      </c>
      <c r="I1614">
        <v>19.62</v>
      </c>
      <c r="J1614" t="str">
        <f t="shared" si="76"/>
        <v>Low</v>
      </c>
      <c r="K1614" t="s">
        <v>42</v>
      </c>
      <c r="L1614">
        <v>70</v>
      </c>
      <c r="M1614">
        <v>92</v>
      </c>
      <c r="N1614" t="str">
        <f t="shared" si="77"/>
        <v>Medium Cost</v>
      </c>
      <c r="O1614">
        <v>8.7100000000000009</v>
      </c>
      <c r="P1614" t="s">
        <v>43</v>
      </c>
      <c r="Q1614" t="s">
        <v>34</v>
      </c>
      <c r="R1614" t="s">
        <v>56</v>
      </c>
      <c r="S1614" t="s">
        <v>1123</v>
      </c>
      <c r="T1614" t="s">
        <v>27</v>
      </c>
      <c r="U1614">
        <v>32</v>
      </c>
      <c r="V1614">
        <v>2.5</v>
      </c>
      <c r="W1614" t="s">
        <v>38</v>
      </c>
      <c r="X1614" t="s">
        <v>85</v>
      </c>
    </row>
    <row r="1615" spans="1:24" x14ac:dyDescent="0.3">
      <c r="A1615" t="s">
        <v>2891</v>
      </c>
      <c r="B1615" t="s">
        <v>20</v>
      </c>
      <c r="C1615" t="s">
        <v>21</v>
      </c>
      <c r="D1615" t="str">
        <f t="shared" si="75"/>
        <v>Morning</v>
      </c>
      <c r="E1615">
        <f>HOUR(EV_Data[[#This Row],[Charging Start Time]])</f>
        <v>5</v>
      </c>
      <c r="F1615" s="1">
        <v>44994.208333333336</v>
      </c>
      <c r="G1615" s="1">
        <v>44994.255555555559</v>
      </c>
      <c r="H1615">
        <v>68</v>
      </c>
      <c r="I1615">
        <v>40.07</v>
      </c>
      <c r="J1615" t="str">
        <f t="shared" si="76"/>
        <v>Medium</v>
      </c>
      <c r="K1615" t="s">
        <v>42</v>
      </c>
      <c r="L1615">
        <v>35</v>
      </c>
      <c r="M1615">
        <v>46</v>
      </c>
      <c r="N1615" t="str">
        <f t="shared" si="77"/>
        <v>Medium Cost</v>
      </c>
      <c r="O1615">
        <v>9.6199999999999992</v>
      </c>
      <c r="P1615" t="s">
        <v>51</v>
      </c>
      <c r="Q1615" t="s">
        <v>58</v>
      </c>
      <c r="R1615" t="s">
        <v>35</v>
      </c>
      <c r="S1615" t="s">
        <v>1124</v>
      </c>
      <c r="T1615" t="s">
        <v>46</v>
      </c>
      <c r="U1615">
        <v>76</v>
      </c>
      <c r="V1615">
        <v>4.8</v>
      </c>
      <c r="W1615" t="s">
        <v>28</v>
      </c>
      <c r="X1615" t="s">
        <v>68</v>
      </c>
    </row>
    <row r="1616" spans="1:24" x14ac:dyDescent="0.3">
      <c r="A1616" t="s">
        <v>2892</v>
      </c>
      <c r="B1616" t="s">
        <v>126</v>
      </c>
      <c r="C1616" t="s">
        <v>31</v>
      </c>
      <c r="D1616" t="str">
        <f t="shared" si="75"/>
        <v>Morning</v>
      </c>
      <c r="E1616">
        <f>HOUR(EV_Data[[#This Row],[Charging Start Time]])</f>
        <v>6</v>
      </c>
      <c r="F1616" s="1">
        <v>44994.25</v>
      </c>
      <c r="G1616" s="1">
        <v>44994.306944444441</v>
      </c>
      <c r="H1616">
        <v>82</v>
      </c>
      <c r="I1616">
        <v>30.5</v>
      </c>
      <c r="J1616" t="str">
        <f t="shared" si="76"/>
        <v>Medium</v>
      </c>
      <c r="K1616" t="s">
        <v>42</v>
      </c>
      <c r="L1616">
        <v>42</v>
      </c>
      <c r="M1616">
        <v>59</v>
      </c>
      <c r="N1616" t="str">
        <f t="shared" si="77"/>
        <v>Medium Cost</v>
      </c>
      <c r="O1616">
        <v>13.74</v>
      </c>
      <c r="P1616" t="s">
        <v>43</v>
      </c>
      <c r="Q1616" t="s">
        <v>24</v>
      </c>
      <c r="R1616" t="s">
        <v>56</v>
      </c>
      <c r="S1616" t="s">
        <v>605</v>
      </c>
      <c r="T1616" t="s">
        <v>60</v>
      </c>
      <c r="U1616">
        <v>95</v>
      </c>
      <c r="V1616">
        <v>2.4</v>
      </c>
      <c r="W1616" t="s">
        <v>47</v>
      </c>
      <c r="X1616" t="s">
        <v>29</v>
      </c>
    </row>
    <row r="1617" spans="1:24" x14ac:dyDescent="0.3">
      <c r="A1617" t="s">
        <v>2893</v>
      </c>
      <c r="B1617" t="s">
        <v>40</v>
      </c>
      <c r="C1617" t="s">
        <v>41</v>
      </c>
      <c r="D1617" t="str">
        <f t="shared" si="75"/>
        <v>Morning</v>
      </c>
      <c r="E1617">
        <f>HOUR(EV_Data[[#This Row],[Charging Start Time]])</f>
        <v>7</v>
      </c>
      <c r="F1617" s="1">
        <v>44994.291666666664</v>
      </c>
      <c r="G1617" s="1">
        <v>44994.322222222218</v>
      </c>
      <c r="H1617">
        <v>44</v>
      </c>
      <c r="I1617">
        <v>28.76</v>
      </c>
      <c r="J1617" t="str">
        <f t="shared" si="76"/>
        <v>Medium</v>
      </c>
      <c r="K1617" t="s">
        <v>32</v>
      </c>
      <c r="L1617">
        <v>14</v>
      </c>
      <c r="M1617">
        <v>31</v>
      </c>
      <c r="N1617" t="str">
        <f t="shared" si="77"/>
        <v>Low Cost</v>
      </c>
      <c r="O1617">
        <v>6.8</v>
      </c>
      <c r="P1617" t="s">
        <v>64</v>
      </c>
      <c r="Q1617" t="s">
        <v>24</v>
      </c>
      <c r="R1617" t="s">
        <v>35</v>
      </c>
      <c r="S1617" t="s">
        <v>1125</v>
      </c>
      <c r="T1617" t="s">
        <v>46</v>
      </c>
      <c r="U1617">
        <v>57</v>
      </c>
      <c r="V1617">
        <v>2.1</v>
      </c>
      <c r="W1617" t="s">
        <v>38</v>
      </c>
      <c r="X1617" t="s">
        <v>83</v>
      </c>
    </row>
    <row r="1618" spans="1:24" x14ac:dyDescent="0.3">
      <c r="A1618" t="s">
        <v>2894</v>
      </c>
      <c r="B1618" t="s">
        <v>53</v>
      </c>
      <c r="C1618" t="s">
        <v>54</v>
      </c>
      <c r="D1618" t="str">
        <f t="shared" si="75"/>
        <v>Morning</v>
      </c>
      <c r="E1618">
        <f>HOUR(EV_Data[[#This Row],[Charging Start Time]])</f>
        <v>8</v>
      </c>
      <c r="F1618" s="1">
        <v>44994.333333333336</v>
      </c>
      <c r="G1618" s="1">
        <v>44994.38958333333</v>
      </c>
      <c r="H1618">
        <v>81</v>
      </c>
      <c r="I1618">
        <v>18.46</v>
      </c>
      <c r="J1618" t="str">
        <f t="shared" si="76"/>
        <v>Low</v>
      </c>
      <c r="K1618" t="s">
        <v>22</v>
      </c>
      <c r="L1618">
        <v>31</v>
      </c>
      <c r="M1618">
        <v>63</v>
      </c>
      <c r="N1618" t="str">
        <f t="shared" si="77"/>
        <v>Low Cost</v>
      </c>
      <c r="O1618">
        <v>5.46</v>
      </c>
      <c r="P1618" t="s">
        <v>33</v>
      </c>
      <c r="Q1618" t="s">
        <v>34</v>
      </c>
      <c r="R1618" t="s">
        <v>56</v>
      </c>
      <c r="S1618" t="s">
        <v>1126</v>
      </c>
      <c r="T1618" t="s">
        <v>46</v>
      </c>
      <c r="U1618">
        <v>69</v>
      </c>
      <c r="V1618">
        <v>2.9</v>
      </c>
      <c r="W1618" t="s">
        <v>28</v>
      </c>
      <c r="X1618" t="s">
        <v>68</v>
      </c>
    </row>
    <row r="1619" spans="1:24" x14ac:dyDescent="0.3">
      <c r="A1619" t="s">
        <v>2895</v>
      </c>
      <c r="B1619" t="s">
        <v>40</v>
      </c>
      <c r="C1619" t="s">
        <v>41</v>
      </c>
      <c r="D1619" t="str">
        <f t="shared" si="75"/>
        <v>Morning</v>
      </c>
      <c r="E1619">
        <f>HOUR(EV_Data[[#This Row],[Charging Start Time]])</f>
        <v>9</v>
      </c>
      <c r="F1619" s="1">
        <v>44994.375</v>
      </c>
      <c r="G1619" s="1">
        <v>44994.406944444447</v>
      </c>
      <c r="H1619">
        <v>46</v>
      </c>
      <c r="I1619">
        <v>42.14</v>
      </c>
      <c r="J1619" t="str">
        <f t="shared" si="76"/>
        <v>Medium</v>
      </c>
      <c r="K1619" t="s">
        <v>50</v>
      </c>
      <c r="L1619">
        <v>62</v>
      </c>
      <c r="M1619">
        <v>76</v>
      </c>
      <c r="N1619" t="str">
        <f t="shared" si="77"/>
        <v>Medium Cost</v>
      </c>
      <c r="O1619">
        <v>11.63</v>
      </c>
      <c r="P1619" t="s">
        <v>51</v>
      </c>
      <c r="Q1619" t="s">
        <v>34</v>
      </c>
      <c r="R1619" t="s">
        <v>25</v>
      </c>
      <c r="S1619" t="s">
        <v>768</v>
      </c>
      <c r="T1619" t="s">
        <v>27</v>
      </c>
      <c r="U1619">
        <v>61</v>
      </c>
      <c r="V1619">
        <v>1.2</v>
      </c>
      <c r="W1619" t="s">
        <v>28</v>
      </c>
      <c r="X1619" t="s">
        <v>68</v>
      </c>
    </row>
    <row r="1620" spans="1:24" x14ac:dyDescent="0.3">
      <c r="A1620" t="s">
        <v>2896</v>
      </c>
      <c r="B1620" t="s">
        <v>20</v>
      </c>
      <c r="C1620" t="s">
        <v>21</v>
      </c>
      <c r="D1620" t="str">
        <f t="shared" si="75"/>
        <v>Morning</v>
      </c>
      <c r="E1620">
        <f>HOUR(EV_Data[[#This Row],[Charging Start Time]])</f>
        <v>10</v>
      </c>
      <c r="F1620" s="1">
        <v>44994.416666666664</v>
      </c>
      <c r="G1620" s="1">
        <v>44994.436805555553</v>
      </c>
      <c r="H1620">
        <v>29</v>
      </c>
      <c r="I1620">
        <v>20.98</v>
      </c>
      <c r="J1620" t="str">
        <f t="shared" si="76"/>
        <v>Medium</v>
      </c>
      <c r="K1620" t="s">
        <v>42</v>
      </c>
      <c r="L1620">
        <v>40</v>
      </c>
      <c r="M1620">
        <v>65</v>
      </c>
      <c r="N1620" t="str">
        <f t="shared" si="77"/>
        <v>Low Cost</v>
      </c>
      <c r="O1620">
        <v>4.2</v>
      </c>
      <c r="P1620" t="s">
        <v>64</v>
      </c>
      <c r="Q1620" t="s">
        <v>48</v>
      </c>
      <c r="R1620" t="s">
        <v>35</v>
      </c>
      <c r="S1620" t="s">
        <v>503</v>
      </c>
      <c r="T1620" t="s">
        <v>27</v>
      </c>
      <c r="U1620">
        <v>76</v>
      </c>
      <c r="V1620">
        <v>2.9</v>
      </c>
      <c r="W1620" t="s">
        <v>38</v>
      </c>
      <c r="X1620" t="s">
        <v>83</v>
      </c>
    </row>
    <row r="1621" spans="1:24" x14ac:dyDescent="0.3">
      <c r="A1621" t="s">
        <v>2897</v>
      </c>
      <c r="B1621" t="s">
        <v>20</v>
      </c>
      <c r="C1621" t="s">
        <v>21</v>
      </c>
      <c r="D1621" t="str">
        <f t="shared" si="75"/>
        <v>Morning</v>
      </c>
      <c r="E1621">
        <f>HOUR(EV_Data[[#This Row],[Charging Start Time]])</f>
        <v>11</v>
      </c>
      <c r="F1621" s="1">
        <v>44994.458333333336</v>
      </c>
      <c r="G1621" s="1">
        <v>44994.513194444437</v>
      </c>
      <c r="H1621">
        <v>79</v>
      </c>
      <c r="I1621">
        <v>47.79</v>
      </c>
      <c r="J1621" t="str">
        <f t="shared" si="76"/>
        <v>Medium</v>
      </c>
      <c r="K1621" t="s">
        <v>22</v>
      </c>
      <c r="L1621">
        <v>51</v>
      </c>
      <c r="M1621">
        <v>82</v>
      </c>
      <c r="N1621" t="str">
        <f t="shared" si="77"/>
        <v>Medium Cost</v>
      </c>
      <c r="O1621">
        <v>12.36</v>
      </c>
      <c r="P1621" t="s">
        <v>23</v>
      </c>
      <c r="Q1621" t="s">
        <v>34</v>
      </c>
      <c r="R1621" t="s">
        <v>25</v>
      </c>
      <c r="S1621" t="s">
        <v>241</v>
      </c>
      <c r="T1621" t="s">
        <v>27</v>
      </c>
      <c r="U1621">
        <v>24</v>
      </c>
      <c r="V1621">
        <v>4.2</v>
      </c>
      <c r="W1621" t="s">
        <v>47</v>
      </c>
      <c r="X1621" t="s">
        <v>29</v>
      </c>
    </row>
    <row r="1622" spans="1:24" x14ac:dyDescent="0.3">
      <c r="A1622" t="s">
        <v>2898</v>
      </c>
      <c r="B1622" t="s">
        <v>77</v>
      </c>
      <c r="C1622" t="s">
        <v>78</v>
      </c>
      <c r="D1622" t="str">
        <f t="shared" si="75"/>
        <v>Afternoon</v>
      </c>
      <c r="E1622">
        <f>HOUR(EV_Data[[#This Row],[Charging Start Time]])</f>
        <v>12</v>
      </c>
      <c r="F1622" s="1">
        <v>44994.5</v>
      </c>
      <c r="G1622" s="1">
        <v>44994.540277777778</v>
      </c>
      <c r="H1622">
        <v>58</v>
      </c>
      <c r="I1622">
        <v>37.380000000000003</v>
      </c>
      <c r="J1622" t="str">
        <f t="shared" si="76"/>
        <v>Medium</v>
      </c>
      <c r="K1622" t="s">
        <v>22</v>
      </c>
      <c r="L1622">
        <v>28</v>
      </c>
      <c r="M1622">
        <v>40</v>
      </c>
      <c r="N1622" t="str">
        <f t="shared" si="77"/>
        <v>High Cost</v>
      </c>
      <c r="O1622">
        <v>17.12</v>
      </c>
      <c r="P1622" t="s">
        <v>23</v>
      </c>
      <c r="Q1622" t="s">
        <v>34</v>
      </c>
      <c r="R1622" t="s">
        <v>44</v>
      </c>
      <c r="S1622" t="s">
        <v>348</v>
      </c>
      <c r="T1622" t="s">
        <v>60</v>
      </c>
      <c r="U1622">
        <v>7</v>
      </c>
      <c r="V1622">
        <v>2.7</v>
      </c>
      <c r="W1622" t="s">
        <v>28</v>
      </c>
      <c r="X1622" t="s">
        <v>68</v>
      </c>
    </row>
    <row r="1623" spans="1:24" x14ac:dyDescent="0.3">
      <c r="A1623" t="s">
        <v>2899</v>
      </c>
      <c r="B1623" t="s">
        <v>40</v>
      </c>
      <c r="C1623" t="s">
        <v>41</v>
      </c>
      <c r="D1623" t="str">
        <f t="shared" si="75"/>
        <v>Afternoon</v>
      </c>
      <c r="E1623">
        <f>HOUR(EV_Data[[#This Row],[Charging Start Time]])</f>
        <v>13</v>
      </c>
      <c r="F1623" s="1">
        <v>44994.541666666664</v>
      </c>
      <c r="G1623" s="1">
        <v>44994.575694444437</v>
      </c>
      <c r="H1623">
        <v>49</v>
      </c>
      <c r="I1623">
        <v>19.559999999999999</v>
      </c>
      <c r="J1623" t="str">
        <f t="shared" si="76"/>
        <v>Low</v>
      </c>
      <c r="K1623" t="s">
        <v>50</v>
      </c>
      <c r="L1623">
        <v>7</v>
      </c>
      <c r="M1623">
        <v>43</v>
      </c>
      <c r="N1623" t="str">
        <f t="shared" si="77"/>
        <v>Low Cost</v>
      </c>
      <c r="O1623">
        <v>6.4</v>
      </c>
      <c r="P1623" t="s">
        <v>64</v>
      </c>
      <c r="Q1623" t="s">
        <v>58</v>
      </c>
      <c r="R1623" t="s">
        <v>35</v>
      </c>
      <c r="S1623" t="s">
        <v>478</v>
      </c>
      <c r="T1623" t="s">
        <v>27</v>
      </c>
      <c r="U1623">
        <v>83</v>
      </c>
      <c r="V1623">
        <v>4.0999999999999996</v>
      </c>
      <c r="W1623" t="s">
        <v>28</v>
      </c>
      <c r="X1623" t="s">
        <v>68</v>
      </c>
    </row>
    <row r="1624" spans="1:24" x14ac:dyDescent="0.3">
      <c r="A1624" t="s">
        <v>2900</v>
      </c>
      <c r="B1624" t="s">
        <v>71</v>
      </c>
      <c r="C1624" t="s">
        <v>72</v>
      </c>
      <c r="D1624" t="str">
        <f t="shared" si="75"/>
        <v>Afternoon</v>
      </c>
      <c r="E1624">
        <f>HOUR(EV_Data[[#This Row],[Charging Start Time]])</f>
        <v>14</v>
      </c>
      <c r="F1624" s="1">
        <v>44994.583333333336</v>
      </c>
      <c r="G1624" s="1">
        <v>44994.615277777782</v>
      </c>
      <c r="H1624">
        <v>46</v>
      </c>
      <c r="I1624">
        <v>39.56</v>
      </c>
      <c r="J1624" t="str">
        <f t="shared" si="76"/>
        <v>Medium</v>
      </c>
      <c r="K1624" t="s">
        <v>22</v>
      </c>
      <c r="L1624">
        <v>31</v>
      </c>
      <c r="M1624">
        <v>48</v>
      </c>
      <c r="N1624" t="str">
        <f t="shared" si="77"/>
        <v>Medium Cost</v>
      </c>
      <c r="O1624">
        <v>11.29</v>
      </c>
      <c r="P1624" t="s">
        <v>33</v>
      </c>
      <c r="Q1624" t="s">
        <v>24</v>
      </c>
      <c r="R1624" t="s">
        <v>25</v>
      </c>
      <c r="S1624" t="s">
        <v>1127</v>
      </c>
      <c r="T1624" t="s">
        <v>60</v>
      </c>
      <c r="U1624">
        <v>52</v>
      </c>
      <c r="V1624">
        <v>2</v>
      </c>
      <c r="W1624" t="s">
        <v>38</v>
      </c>
      <c r="X1624" t="s">
        <v>39</v>
      </c>
    </row>
    <row r="1625" spans="1:24" x14ac:dyDescent="0.3">
      <c r="A1625" t="s">
        <v>2901</v>
      </c>
      <c r="B1625" t="s">
        <v>92</v>
      </c>
      <c r="C1625" t="s">
        <v>93</v>
      </c>
      <c r="D1625" t="str">
        <f t="shared" si="75"/>
        <v>Afternoon</v>
      </c>
      <c r="E1625">
        <f>HOUR(EV_Data[[#This Row],[Charging Start Time]])</f>
        <v>15</v>
      </c>
      <c r="F1625" s="1">
        <v>44994.625</v>
      </c>
      <c r="G1625" s="1">
        <v>44994.664583333331</v>
      </c>
      <c r="H1625">
        <v>57</v>
      </c>
      <c r="I1625">
        <v>41.88</v>
      </c>
      <c r="J1625" t="str">
        <f t="shared" si="76"/>
        <v>Medium</v>
      </c>
      <c r="K1625" t="s">
        <v>50</v>
      </c>
      <c r="L1625">
        <v>65</v>
      </c>
      <c r="M1625">
        <v>92</v>
      </c>
      <c r="N1625" t="str">
        <f t="shared" si="77"/>
        <v>Medium Cost</v>
      </c>
      <c r="O1625">
        <v>15.14</v>
      </c>
      <c r="P1625" t="s">
        <v>43</v>
      </c>
      <c r="Q1625" t="s">
        <v>24</v>
      </c>
      <c r="R1625" t="s">
        <v>56</v>
      </c>
      <c r="S1625" t="s">
        <v>247</v>
      </c>
      <c r="T1625" t="s">
        <v>37</v>
      </c>
      <c r="U1625">
        <v>69</v>
      </c>
      <c r="V1625">
        <v>2.2999999999999998</v>
      </c>
      <c r="W1625" t="s">
        <v>47</v>
      </c>
      <c r="X1625" t="s">
        <v>29</v>
      </c>
    </row>
    <row r="1626" spans="1:24" x14ac:dyDescent="0.3">
      <c r="A1626" t="s">
        <v>2902</v>
      </c>
      <c r="B1626" t="s">
        <v>40</v>
      </c>
      <c r="C1626" t="s">
        <v>41</v>
      </c>
      <c r="D1626" t="str">
        <f t="shared" si="75"/>
        <v>Afternoon</v>
      </c>
      <c r="E1626">
        <f>HOUR(EV_Data[[#This Row],[Charging Start Time]])</f>
        <v>16</v>
      </c>
      <c r="F1626" s="1">
        <v>44994.666666666664</v>
      </c>
      <c r="G1626" s="1">
        <v>44994.667361111111</v>
      </c>
      <c r="H1626">
        <v>1</v>
      </c>
      <c r="I1626">
        <v>31.42</v>
      </c>
      <c r="J1626" t="str">
        <f t="shared" si="76"/>
        <v>Medium</v>
      </c>
      <c r="K1626" t="s">
        <v>22</v>
      </c>
      <c r="L1626">
        <v>47</v>
      </c>
      <c r="M1626">
        <v>81</v>
      </c>
      <c r="N1626" t="str">
        <f t="shared" si="77"/>
        <v>Medium Cost</v>
      </c>
      <c r="O1626">
        <v>10.23</v>
      </c>
      <c r="P1626" t="s">
        <v>33</v>
      </c>
      <c r="Q1626" t="s">
        <v>48</v>
      </c>
      <c r="R1626" t="s">
        <v>56</v>
      </c>
      <c r="S1626" t="s">
        <v>815</v>
      </c>
      <c r="T1626" t="s">
        <v>37</v>
      </c>
      <c r="U1626">
        <v>46</v>
      </c>
      <c r="V1626">
        <v>4.0999999999999996</v>
      </c>
      <c r="W1626" t="s">
        <v>28</v>
      </c>
      <c r="X1626" t="s">
        <v>68</v>
      </c>
    </row>
    <row r="1627" spans="1:24" x14ac:dyDescent="0.3">
      <c r="A1627" t="s">
        <v>2903</v>
      </c>
      <c r="B1627" t="s">
        <v>77</v>
      </c>
      <c r="C1627" t="s">
        <v>78</v>
      </c>
      <c r="D1627" t="str">
        <f t="shared" si="75"/>
        <v>Evening</v>
      </c>
      <c r="E1627">
        <f>HOUR(EV_Data[[#This Row],[Charging Start Time]])</f>
        <v>17</v>
      </c>
      <c r="F1627" s="1">
        <v>44994.708333333336</v>
      </c>
      <c r="G1627" s="1">
        <v>44994.756249999999</v>
      </c>
      <c r="H1627">
        <v>69</v>
      </c>
      <c r="I1627">
        <v>7.97</v>
      </c>
      <c r="J1627" t="str">
        <f t="shared" si="76"/>
        <v>Low</v>
      </c>
      <c r="K1627" t="s">
        <v>22</v>
      </c>
      <c r="L1627">
        <v>17</v>
      </c>
      <c r="M1627">
        <v>47</v>
      </c>
      <c r="N1627" t="str">
        <f t="shared" si="77"/>
        <v>Low Cost</v>
      </c>
      <c r="O1627">
        <v>3.68</v>
      </c>
      <c r="P1627" t="s">
        <v>64</v>
      </c>
      <c r="Q1627" t="s">
        <v>48</v>
      </c>
      <c r="R1627" t="s">
        <v>25</v>
      </c>
      <c r="S1627" t="s">
        <v>1128</v>
      </c>
      <c r="T1627" t="s">
        <v>27</v>
      </c>
      <c r="U1627">
        <v>60</v>
      </c>
      <c r="V1627">
        <v>3.8</v>
      </c>
      <c r="W1627" t="s">
        <v>28</v>
      </c>
      <c r="X1627" t="s">
        <v>68</v>
      </c>
    </row>
    <row r="1628" spans="1:24" x14ac:dyDescent="0.3">
      <c r="A1628" t="s">
        <v>2904</v>
      </c>
      <c r="B1628" t="s">
        <v>20</v>
      </c>
      <c r="C1628" t="s">
        <v>21</v>
      </c>
      <c r="D1628" t="str">
        <f t="shared" si="75"/>
        <v>Evening</v>
      </c>
      <c r="E1628">
        <f>HOUR(EV_Data[[#This Row],[Charging Start Time]])</f>
        <v>18</v>
      </c>
      <c r="F1628" s="1">
        <v>44994.75</v>
      </c>
      <c r="G1628" s="1">
        <v>44994.750694444447</v>
      </c>
      <c r="H1628">
        <v>1</v>
      </c>
      <c r="I1628">
        <v>21.56</v>
      </c>
      <c r="J1628" t="str">
        <f t="shared" si="76"/>
        <v>Medium</v>
      </c>
      <c r="K1628" t="s">
        <v>50</v>
      </c>
      <c r="L1628">
        <v>68</v>
      </c>
      <c r="M1628">
        <v>100</v>
      </c>
      <c r="N1628" t="str">
        <f t="shared" si="77"/>
        <v>Low Cost</v>
      </c>
      <c r="O1628">
        <v>5.98</v>
      </c>
      <c r="P1628" t="s">
        <v>33</v>
      </c>
      <c r="Q1628" t="s">
        <v>34</v>
      </c>
      <c r="R1628" t="s">
        <v>35</v>
      </c>
      <c r="S1628" t="s">
        <v>1129</v>
      </c>
      <c r="T1628" t="s">
        <v>27</v>
      </c>
      <c r="U1628">
        <v>57</v>
      </c>
      <c r="V1628">
        <v>3.1</v>
      </c>
      <c r="W1628" t="s">
        <v>47</v>
      </c>
      <c r="X1628" t="s">
        <v>29</v>
      </c>
    </row>
    <row r="1629" spans="1:24" x14ac:dyDescent="0.3">
      <c r="A1629" t="s">
        <v>2905</v>
      </c>
      <c r="B1629" t="s">
        <v>77</v>
      </c>
      <c r="C1629" t="s">
        <v>78</v>
      </c>
      <c r="D1629" t="str">
        <f t="shared" si="75"/>
        <v>Evening</v>
      </c>
      <c r="E1629">
        <f>HOUR(EV_Data[[#This Row],[Charging Start Time]])</f>
        <v>19</v>
      </c>
      <c r="F1629" s="1">
        <v>44994.791666666664</v>
      </c>
      <c r="G1629" s="1">
        <v>44994.828472222223</v>
      </c>
      <c r="H1629">
        <v>53</v>
      </c>
      <c r="I1629">
        <v>30.16</v>
      </c>
      <c r="J1629" t="str">
        <f t="shared" si="76"/>
        <v>Medium</v>
      </c>
      <c r="K1629" t="s">
        <v>50</v>
      </c>
      <c r="L1629">
        <v>62</v>
      </c>
      <c r="M1629">
        <v>81</v>
      </c>
      <c r="N1629" t="str">
        <f t="shared" si="77"/>
        <v>Medium Cost</v>
      </c>
      <c r="O1629">
        <v>8.77</v>
      </c>
      <c r="P1629" t="s">
        <v>64</v>
      </c>
      <c r="Q1629" t="s">
        <v>34</v>
      </c>
      <c r="R1629" t="s">
        <v>35</v>
      </c>
      <c r="S1629" t="s">
        <v>466</v>
      </c>
      <c r="T1629" t="s">
        <v>27</v>
      </c>
      <c r="U1629">
        <v>81</v>
      </c>
      <c r="V1629">
        <v>3.6</v>
      </c>
      <c r="W1629" t="s">
        <v>28</v>
      </c>
      <c r="X1629" t="s">
        <v>68</v>
      </c>
    </row>
    <row r="1630" spans="1:24" x14ac:dyDescent="0.3">
      <c r="A1630" t="s">
        <v>2906</v>
      </c>
      <c r="B1630" t="s">
        <v>126</v>
      </c>
      <c r="C1630" t="s">
        <v>31</v>
      </c>
      <c r="D1630" t="str">
        <f t="shared" si="75"/>
        <v>Evening</v>
      </c>
      <c r="E1630">
        <f>HOUR(EV_Data[[#This Row],[Charging Start Time]])</f>
        <v>20</v>
      </c>
      <c r="F1630" s="1">
        <v>44994.833333333336</v>
      </c>
      <c r="G1630" s="1">
        <v>44994.853472222218</v>
      </c>
      <c r="H1630">
        <v>29</v>
      </c>
      <c r="I1630">
        <v>26.99</v>
      </c>
      <c r="J1630" t="str">
        <f t="shared" si="76"/>
        <v>Medium</v>
      </c>
      <c r="K1630" t="s">
        <v>32</v>
      </c>
      <c r="L1630">
        <v>47</v>
      </c>
      <c r="M1630">
        <v>61</v>
      </c>
      <c r="N1630" t="str">
        <f t="shared" si="77"/>
        <v>Low Cost</v>
      </c>
      <c r="O1630">
        <v>7.43</v>
      </c>
      <c r="P1630" t="s">
        <v>51</v>
      </c>
      <c r="Q1630" t="s">
        <v>24</v>
      </c>
      <c r="R1630" t="s">
        <v>25</v>
      </c>
      <c r="S1630" t="s">
        <v>1130</v>
      </c>
      <c r="T1630" t="s">
        <v>60</v>
      </c>
      <c r="U1630">
        <v>51</v>
      </c>
      <c r="V1630">
        <v>1.6</v>
      </c>
      <c r="W1630" t="s">
        <v>28</v>
      </c>
      <c r="X1630" t="s">
        <v>68</v>
      </c>
    </row>
    <row r="1631" spans="1:24" x14ac:dyDescent="0.3">
      <c r="A1631" t="s">
        <v>2907</v>
      </c>
      <c r="B1631" t="s">
        <v>40</v>
      </c>
      <c r="C1631" t="s">
        <v>41</v>
      </c>
      <c r="D1631" t="str">
        <f t="shared" si="75"/>
        <v>Evening</v>
      </c>
      <c r="E1631">
        <f>HOUR(EV_Data[[#This Row],[Charging Start Time]])</f>
        <v>21</v>
      </c>
      <c r="F1631" s="1">
        <v>44994.875</v>
      </c>
      <c r="G1631" s="1">
        <v>44994.902083333327</v>
      </c>
      <c r="H1631">
        <v>39</v>
      </c>
      <c r="I1631">
        <v>31.13</v>
      </c>
      <c r="J1631" t="str">
        <f t="shared" si="76"/>
        <v>Medium</v>
      </c>
      <c r="K1631" t="s">
        <v>32</v>
      </c>
      <c r="L1631">
        <v>73</v>
      </c>
      <c r="M1631">
        <v>86</v>
      </c>
      <c r="N1631" t="str">
        <f t="shared" si="77"/>
        <v>Medium Cost</v>
      </c>
      <c r="O1631">
        <v>8.19</v>
      </c>
      <c r="P1631" t="s">
        <v>43</v>
      </c>
      <c r="Q1631" t="s">
        <v>24</v>
      </c>
      <c r="R1631" t="s">
        <v>44</v>
      </c>
      <c r="S1631" t="s">
        <v>36</v>
      </c>
      <c r="T1631" t="s">
        <v>37</v>
      </c>
      <c r="U1631">
        <v>65</v>
      </c>
      <c r="V1631">
        <v>3.1</v>
      </c>
      <c r="W1631" t="s">
        <v>47</v>
      </c>
      <c r="X1631" t="s">
        <v>29</v>
      </c>
    </row>
    <row r="1632" spans="1:24" x14ac:dyDescent="0.3">
      <c r="A1632" t="s">
        <v>2908</v>
      </c>
      <c r="B1632" t="s">
        <v>20</v>
      </c>
      <c r="C1632" t="s">
        <v>21</v>
      </c>
      <c r="D1632" t="str">
        <f t="shared" si="75"/>
        <v>Evening</v>
      </c>
      <c r="E1632">
        <f>HOUR(EV_Data[[#This Row],[Charging Start Time]])</f>
        <v>22</v>
      </c>
      <c r="F1632" s="1">
        <v>44994.916666666664</v>
      </c>
      <c r="G1632" s="1">
        <v>44994.923611111109</v>
      </c>
      <c r="H1632">
        <v>10</v>
      </c>
      <c r="I1632">
        <v>43.15</v>
      </c>
      <c r="J1632" t="str">
        <f t="shared" si="76"/>
        <v>Medium</v>
      </c>
      <c r="K1632" t="s">
        <v>42</v>
      </c>
      <c r="L1632">
        <v>57</v>
      </c>
      <c r="M1632">
        <v>80</v>
      </c>
      <c r="N1632" t="str">
        <f t="shared" si="77"/>
        <v>Medium Cost</v>
      </c>
      <c r="O1632">
        <v>11.99</v>
      </c>
      <c r="P1632" t="s">
        <v>43</v>
      </c>
      <c r="Q1632" t="s">
        <v>58</v>
      </c>
      <c r="R1632" t="s">
        <v>25</v>
      </c>
      <c r="S1632" t="s">
        <v>1131</v>
      </c>
      <c r="T1632" t="s">
        <v>60</v>
      </c>
      <c r="U1632">
        <v>30</v>
      </c>
      <c r="V1632">
        <v>1.2</v>
      </c>
      <c r="W1632" t="s">
        <v>47</v>
      </c>
      <c r="X1632" t="s">
        <v>29</v>
      </c>
    </row>
    <row r="1633" spans="1:24" x14ac:dyDescent="0.3">
      <c r="A1633" t="s">
        <v>2909</v>
      </c>
      <c r="B1633" t="s">
        <v>20</v>
      </c>
      <c r="C1633" t="s">
        <v>21</v>
      </c>
      <c r="D1633" t="str">
        <f t="shared" si="75"/>
        <v>Evening</v>
      </c>
      <c r="E1633">
        <f>HOUR(EV_Data[[#This Row],[Charging Start Time]])</f>
        <v>23</v>
      </c>
      <c r="F1633" s="1">
        <v>44994.958333333336</v>
      </c>
      <c r="G1633" s="1">
        <v>44994.988194444442</v>
      </c>
      <c r="H1633">
        <v>43</v>
      </c>
      <c r="I1633">
        <v>18.190000000000001</v>
      </c>
      <c r="J1633" t="str">
        <f t="shared" si="76"/>
        <v>Low</v>
      </c>
      <c r="K1633" t="s">
        <v>55</v>
      </c>
      <c r="L1633">
        <v>8</v>
      </c>
      <c r="M1633">
        <v>24</v>
      </c>
      <c r="N1633" t="str">
        <f t="shared" si="77"/>
        <v>Low Cost</v>
      </c>
      <c r="O1633">
        <v>6.19</v>
      </c>
      <c r="P1633" t="s">
        <v>43</v>
      </c>
      <c r="Q1633" t="s">
        <v>48</v>
      </c>
      <c r="R1633" t="s">
        <v>56</v>
      </c>
      <c r="S1633" t="s">
        <v>445</v>
      </c>
      <c r="T1633" t="s">
        <v>37</v>
      </c>
      <c r="U1633">
        <v>78</v>
      </c>
      <c r="V1633">
        <v>4.5</v>
      </c>
      <c r="W1633" t="s">
        <v>28</v>
      </c>
      <c r="X1633" t="s">
        <v>68</v>
      </c>
    </row>
    <row r="1634" spans="1:24" x14ac:dyDescent="0.3">
      <c r="A1634" t="s">
        <v>2910</v>
      </c>
      <c r="B1634" t="s">
        <v>53</v>
      </c>
      <c r="C1634" t="s">
        <v>54</v>
      </c>
      <c r="D1634" t="str">
        <f t="shared" si="75"/>
        <v>Morning</v>
      </c>
      <c r="E1634">
        <f>HOUR(EV_Data[[#This Row],[Charging Start Time]])</f>
        <v>0</v>
      </c>
      <c r="F1634" s="1">
        <v>44995</v>
      </c>
      <c r="G1634" s="1">
        <v>44995.019444444442</v>
      </c>
      <c r="H1634">
        <v>28</v>
      </c>
      <c r="I1634">
        <v>34.93</v>
      </c>
      <c r="J1634" t="str">
        <f t="shared" si="76"/>
        <v>Medium</v>
      </c>
      <c r="K1634" t="s">
        <v>22</v>
      </c>
      <c r="L1634">
        <v>49</v>
      </c>
      <c r="M1634">
        <v>80</v>
      </c>
      <c r="N1634" t="str">
        <f t="shared" si="77"/>
        <v>Medium Cost</v>
      </c>
      <c r="O1634">
        <v>14.98</v>
      </c>
      <c r="P1634" t="s">
        <v>23</v>
      </c>
      <c r="Q1634" t="s">
        <v>58</v>
      </c>
      <c r="R1634" t="s">
        <v>25</v>
      </c>
      <c r="S1634" t="s">
        <v>1132</v>
      </c>
      <c r="T1634" t="s">
        <v>46</v>
      </c>
      <c r="U1634">
        <v>5</v>
      </c>
      <c r="V1634">
        <v>4</v>
      </c>
      <c r="W1634" t="s">
        <v>47</v>
      </c>
      <c r="X1634" t="s">
        <v>29</v>
      </c>
    </row>
    <row r="1635" spans="1:24" x14ac:dyDescent="0.3">
      <c r="A1635" t="s">
        <v>2911</v>
      </c>
      <c r="B1635" t="s">
        <v>20</v>
      </c>
      <c r="C1635" t="s">
        <v>21</v>
      </c>
      <c r="D1635" t="str">
        <f t="shared" si="75"/>
        <v>Morning</v>
      </c>
      <c r="E1635">
        <f>HOUR(EV_Data[[#This Row],[Charging Start Time]])</f>
        <v>1</v>
      </c>
      <c r="F1635" s="1">
        <v>44995.041666666664</v>
      </c>
      <c r="G1635" s="1">
        <v>44995.068749999999</v>
      </c>
      <c r="H1635">
        <v>39</v>
      </c>
      <c r="I1635">
        <v>9.2799999999999994</v>
      </c>
      <c r="J1635" t="str">
        <f t="shared" si="76"/>
        <v>Low</v>
      </c>
      <c r="K1635" t="s">
        <v>50</v>
      </c>
      <c r="L1635">
        <v>38</v>
      </c>
      <c r="M1635">
        <v>52</v>
      </c>
      <c r="N1635" t="str">
        <f t="shared" si="77"/>
        <v>Low Cost</v>
      </c>
      <c r="O1635">
        <v>2.23</v>
      </c>
      <c r="P1635" t="s">
        <v>33</v>
      </c>
      <c r="Q1635" t="s">
        <v>58</v>
      </c>
      <c r="R1635" t="s">
        <v>35</v>
      </c>
      <c r="S1635" t="s">
        <v>646</v>
      </c>
      <c r="T1635" t="s">
        <v>46</v>
      </c>
      <c r="U1635">
        <v>64</v>
      </c>
      <c r="V1635">
        <v>1.2</v>
      </c>
      <c r="W1635" t="s">
        <v>28</v>
      </c>
      <c r="X1635" t="s">
        <v>68</v>
      </c>
    </row>
    <row r="1636" spans="1:24" x14ac:dyDescent="0.3">
      <c r="A1636" t="s">
        <v>2912</v>
      </c>
      <c r="B1636" t="s">
        <v>92</v>
      </c>
      <c r="C1636" t="s">
        <v>93</v>
      </c>
      <c r="D1636" t="str">
        <f t="shared" si="75"/>
        <v>Morning</v>
      </c>
      <c r="E1636">
        <f>HOUR(EV_Data[[#This Row],[Charging Start Time]])</f>
        <v>2</v>
      </c>
      <c r="F1636" s="1">
        <v>44995.083333333336</v>
      </c>
      <c r="G1636" s="1">
        <v>44995.128472222219</v>
      </c>
      <c r="H1636">
        <v>65</v>
      </c>
      <c r="I1636">
        <v>20.74</v>
      </c>
      <c r="J1636" t="str">
        <f t="shared" si="76"/>
        <v>Medium</v>
      </c>
      <c r="K1636" t="s">
        <v>50</v>
      </c>
      <c r="L1636">
        <v>57</v>
      </c>
      <c r="M1636">
        <v>93</v>
      </c>
      <c r="N1636" t="str">
        <f t="shared" si="77"/>
        <v>Low Cost</v>
      </c>
      <c r="O1636">
        <v>5.97</v>
      </c>
      <c r="P1636" t="s">
        <v>33</v>
      </c>
      <c r="Q1636" t="s">
        <v>34</v>
      </c>
      <c r="R1636" t="s">
        <v>25</v>
      </c>
      <c r="S1636" t="s">
        <v>933</v>
      </c>
      <c r="T1636" t="s">
        <v>46</v>
      </c>
      <c r="U1636">
        <v>31</v>
      </c>
      <c r="V1636">
        <v>2.4</v>
      </c>
      <c r="W1636" t="s">
        <v>28</v>
      </c>
      <c r="X1636" t="s">
        <v>68</v>
      </c>
    </row>
    <row r="1637" spans="1:24" x14ac:dyDescent="0.3">
      <c r="A1637" t="s">
        <v>2913</v>
      </c>
      <c r="B1637" t="s">
        <v>40</v>
      </c>
      <c r="C1637" t="s">
        <v>41</v>
      </c>
      <c r="D1637" t="str">
        <f t="shared" si="75"/>
        <v>Morning</v>
      </c>
      <c r="E1637">
        <f>HOUR(EV_Data[[#This Row],[Charging Start Time]])</f>
        <v>3</v>
      </c>
      <c r="F1637" s="1">
        <v>44995.125</v>
      </c>
      <c r="G1637" s="1">
        <v>44995.175694444442</v>
      </c>
      <c r="H1637">
        <v>73</v>
      </c>
      <c r="I1637">
        <v>8.34</v>
      </c>
      <c r="J1637" t="str">
        <f t="shared" si="76"/>
        <v>Low</v>
      </c>
      <c r="K1637" t="s">
        <v>42</v>
      </c>
      <c r="L1637">
        <v>19</v>
      </c>
      <c r="M1637">
        <v>50</v>
      </c>
      <c r="N1637" t="str">
        <f t="shared" si="77"/>
        <v>Low Cost</v>
      </c>
      <c r="O1637">
        <v>2.46</v>
      </c>
      <c r="P1637" t="s">
        <v>64</v>
      </c>
      <c r="Q1637" t="s">
        <v>24</v>
      </c>
      <c r="R1637" t="s">
        <v>44</v>
      </c>
      <c r="S1637" t="s">
        <v>564</v>
      </c>
      <c r="T1637" t="s">
        <v>60</v>
      </c>
      <c r="U1637">
        <v>20</v>
      </c>
      <c r="V1637">
        <v>1.8</v>
      </c>
      <c r="W1637" t="s">
        <v>28</v>
      </c>
      <c r="X1637" t="s">
        <v>68</v>
      </c>
    </row>
    <row r="1638" spans="1:24" x14ac:dyDescent="0.3">
      <c r="A1638" t="s">
        <v>2914</v>
      </c>
      <c r="B1638" t="s">
        <v>20</v>
      </c>
      <c r="C1638" t="s">
        <v>21</v>
      </c>
      <c r="D1638" t="str">
        <f t="shared" si="75"/>
        <v>Morning</v>
      </c>
      <c r="E1638">
        <f>HOUR(EV_Data[[#This Row],[Charging Start Time]])</f>
        <v>4</v>
      </c>
      <c r="F1638" s="1">
        <v>44995.166666666664</v>
      </c>
      <c r="G1638" s="1">
        <v>44995.244444444441</v>
      </c>
      <c r="H1638">
        <v>112</v>
      </c>
      <c r="I1638">
        <v>6.29</v>
      </c>
      <c r="J1638" t="str">
        <f t="shared" si="76"/>
        <v>Low</v>
      </c>
      <c r="K1638" t="s">
        <v>69</v>
      </c>
      <c r="L1638">
        <v>10</v>
      </c>
      <c r="M1638">
        <v>48</v>
      </c>
      <c r="N1638" t="str">
        <f t="shared" si="77"/>
        <v>Low Cost</v>
      </c>
      <c r="O1638">
        <v>1.45</v>
      </c>
      <c r="P1638" t="s">
        <v>43</v>
      </c>
      <c r="Q1638" t="s">
        <v>58</v>
      </c>
      <c r="R1638" t="s">
        <v>25</v>
      </c>
      <c r="S1638" t="s">
        <v>190</v>
      </c>
      <c r="T1638" t="s">
        <v>60</v>
      </c>
      <c r="U1638">
        <v>80</v>
      </c>
      <c r="V1638">
        <v>2.7</v>
      </c>
      <c r="W1638" t="s">
        <v>28</v>
      </c>
      <c r="X1638" t="s">
        <v>68</v>
      </c>
    </row>
    <row r="1639" spans="1:24" x14ac:dyDescent="0.3">
      <c r="A1639" t="s">
        <v>2915</v>
      </c>
      <c r="B1639" t="s">
        <v>92</v>
      </c>
      <c r="C1639" t="s">
        <v>93</v>
      </c>
      <c r="D1639" t="str">
        <f t="shared" si="75"/>
        <v>Morning</v>
      </c>
      <c r="E1639">
        <f>HOUR(EV_Data[[#This Row],[Charging Start Time]])</f>
        <v>5</v>
      </c>
      <c r="F1639" s="1">
        <v>44995.208333333336</v>
      </c>
      <c r="G1639" s="1">
        <v>44995.227083333331</v>
      </c>
      <c r="H1639">
        <v>27</v>
      </c>
      <c r="I1639">
        <v>47.84</v>
      </c>
      <c r="J1639" t="str">
        <f t="shared" si="76"/>
        <v>Medium</v>
      </c>
      <c r="K1639" t="s">
        <v>32</v>
      </c>
      <c r="L1639">
        <v>78</v>
      </c>
      <c r="M1639">
        <v>100</v>
      </c>
      <c r="N1639" t="str">
        <f t="shared" si="77"/>
        <v>High Cost</v>
      </c>
      <c r="O1639">
        <v>20.83</v>
      </c>
      <c r="P1639" t="s">
        <v>51</v>
      </c>
      <c r="Q1639" t="s">
        <v>48</v>
      </c>
      <c r="R1639" t="s">
        <v>25</v>
      </c>
      <c r="S1639" t="s">
        <v>688</v>
      </c>
      <c r="T1639" t="s">
        <v>27</v>
      </c>
      <c r="U1639">
        <v>45</v>
      </c>
      <c r="V1639">
        <v>3.6</v>
      </c>
      <c r="W1639" t="s">
        <v>38</v>
      </c>
    </row>
    <row r="1640" spans="1:24" x14ac:dyDescent="0.3">
      <c r="A1640" t="s">
        <v>2916</v>
      </c>
      <c r="B1640" t="s">
        <v>30</v>
      </c>
      <c r="C1640" t="s">
        <v>102</v>
      </c>
      <c r="D1640" t="str">
        <f t="shared" si="75"/>
        <v>Morning</v>
      </c>
      <c r="E1640">
        <f>HOUR(EV_Data[[#This Row],[Charging Start Time]])</f>
        <v>6</v>
      </c>
      <c r="F1640" s="1">
        <v>44995.25</v>
      </c>
      <c r="G1640" s="1">
        <v>44995.277083333327</v>
      </c>
      <c r="H1640">
        <v>39</v>
      </c>
      <c r="I1640">
        <v>15.75</v>
      </c>
      <c r="J1640" t="str">
        <f t="shared" si="76"/>
        <v>Low</v>
      </c>
      <c r="K1640" t="s">
        <v>50</v>
      </c>
      <c r="L1640">
        <v>35</v>
      </c>
      <c r="M1640">
        <v>60</v>
      </c>
      <c r="N1640" t="str">
        <f t="shared" si="77"/>
        <v>Low Cost</v>
      </c>
      <c r="O1640">
        <v>7.41</v>
      </c>
      <c r="P1640" t="s">
        <v>33</v>
      </c>
      <c r="Q1640" t="s">
        <v>48</v>
      </c>
      <c r="R1640" t="s">
        <v>25</v>
      </c>
      <c r="S1640" t="s">
        <v>166</v>
      </c>
      <c r="T1640" t="s">
        <v>27</v>
      </c>
      <c r="U1640">
        <v>6</v>
      </c>
      <c r="V1640">
        <v>4.5999999999999996</v>
      </c>
      <c r="W1640" t="s">
        <v>38</v>
      </c>
    </row>
    <row r="1641" spans="1:24" x14ac:dyDescent="0.3">
      <c r="A1641" t="s">
        <v>2917</v>
      </c>
      <c r="B1641" t="s">
        <v>53</v>
      </c>
      <c r="C1641" t="s">
        <v>54</v>
      </c>
      <c r="D1641" t="str">
        <f t="shared" si="75"/>
        <v>Morning</v>
      </c>
      <c r="E1641">
        <f>HOUR(EV_Data[[#This Row],[Charging Start Time]])</f>
        <v>7</v>
      </c>
      <c r="F1641" s="1">
        <v>44995.291666666664</v>
      </c>
      <c r="G1641" s="1">
        <v>44995.321527777778</v>
      </c>
      <c r="H1641">
        <v>43</v>
      </c>
      <c r="I1641">
        <v>5.07</v>
      </c>
      <c r="J1641" t="str">
        <f t="shared" si="76"/>
        <v>Low</v>
      </c>
      <c r="K1641" t="s">
        <v>69</v>
      </c>
      <c r="L1641">
        <v>8</v>
      </c>
      <c r="M1641">
        <v>29</v>
      </c>
      <c r="N1641" t="str">
        <f t="shared" si="77"/>
        <v>Low Cost</v>
      </c>
      <c r="O1641">
        <v>2.09</v>
      </c>
      <c r="P1641" t="s">
        <v>23</v>
      </c>
      <c r="Q1641" t="s">
        <v>48</v>
      </c>
      <c r="R1641" t="s">
        <v>56</v>
      </c>
      <c r="S1641" t="s">
        <v>972</v>
      </c>
      <c r="T1641" t="s">
        <v>60</v>
      </c>
      <c r="U1641">
        <v>84</v>
      </c>
      <c r="V1641">
        <v>3.9</v>
      </c>
      <c r="W1641" t="s">
        <v>38</v>
      </c>
      <c r="X1641" t="s">
        <v>39</v>
      </c>
    </row>
    <row r="1642" spans="1:24" x14ac:dyDescent="0.3">
      <c r="A1642" t="s">
        <v>2918</v>
      </c>
      <c r="B1642" t="s">
        <v>71</v>
      </c>
      <c r="C1642" t="s">
        <v>72</v>
      </c>
      <c r="D1642" t="str">
        <f t="shared" si="75"/>
        <v>Morning</v>
      </c>
      <c r="E1642">
        <f>HOUR(EV_Data[[#This Row],[Charging Start Time]])</f>
        <v>8</v>
      </c>
      <c r="F1642" s="1">
        <v>44995.333333333336</v>
      </c>
      <c r="G1642" s="1">
        <v>44995.38958333333</v>
      </c>
      <c r="H1642">
        <v>81</v>
      </c>
      <c r="I1642">
        <v>25.35</v>
      </c>
      <c r="J1642" t="str">
        <f t="shared" si="76"/>
        <v>Medium</v>
      </c>
      <c r="K1642" t="s">
        <v>42</v>
      </c>
      <c r="L1642">
        <v>30</v>
      </c>
      <c r="M1642">
        <v>49</v>
      </c>
      <c r="N1642" t="str">
        <f t="shared" si="77"/>
        <v>Low Cost</v>
      </c>
      <c r="O1642">
        <v>6.77</v>
      </c>
      <c r="P1642" t="s">
        <v>33</v>
      </c>
      <c r="Q1642" t="s">
        <v>34</v>
      </c>
      <c r="R1642" t="s">
        <v>35</v>
      </c>
      <c r="S1642" t="s">
        <v>390</v>
      </c>
      <c r="T1642" t="s">
        <v>27</v>
      </c>
      <c r="U1642">
        <v>91</v>
      </c>
      <c r="V1642">
        <v>2.2999999999999998</v>
      </c>
      <c r="W1642" t="s">
        <v>38</v>
      </c>
      <c r="X1642" t="s">
        <v>39</v>
      </c>
    </row>
    <row r="1643" spans="1:24" x14ac:dyDescent="0.3">
      <c r="A1643" t="s">
        <v>2919</v>
      </c>
      <c r="B1643" t="s">
        <v>92</v>
      </c>
      <c r="C1643" t="s">
        <v>93</v>
      </c>
      <c r="D1643" t="str">
        <f t="shared" si="75"/>
        <v>Morning</v>
      </c>
      <c r="E1643">
        <f>HOUR(EV_Data[[#This Row],[Charging Start Time]])</f>
        <v>9</v>
      </c>
      <c r="F1643" s="1">
        <v>44995.375</v>
      </c>
      <c r="G1643" s="1">
        <v>44995.413888888892</v>
      </c>
      <c r="H1643">
        <v>56</v>
      </c>
      <c r="I1643">
        <v>8.5299999999999994</v>
      </c>
      <c r="J1643" t="str">
        <f t="shared" si="76"/>
        <v>Low</v>
      </c>
      <c r="K1643" t="s">
        <v>42</v>
      </c>
      <c r="L1643">
        <v>12</v>
      </c>
      <c r="M1643">
        <v>52</v>
      </c>
      <c r="N1643" t="str">
        <f t="shared" si="77"/>
        <v>Low Cost</v>
      </c>
      <c r="O1643">
        <v>4.08</v>
      </c>
      <c r="P1643" t="s">
        <v>23</v>
      </c>
      <c r="Q1643" t="s">
        <v>58</v>
      </c>
      <c r="R1643" t="s">
        <v>35</v>
      </c>
      <c r="S1643" t="s">
        <v>670</v>
      </c>
      <c r="T1643" t="s">
        <v>46</v>
      </c>
      <c r="U1643">
        <v>70</v>
      </c>
      <c r="V1643">
        <v>3.8</v>
      </c>
      <c r="W1643" t="s">
        <v>28</v>
      </c>
      <c r="X1643" t="s">
        <v>68</v>
      </c>
    </row>
    <row r="1644" spans="1:24" x14ac:dyDescent="0.3">
      <c r="A1644" t="s">
        <v>2920</v>
      </c>
      <c r="B1644" t="s">
        <v>92</v>
      </c>
      <c r="C1644" t="s">
        <v>93</v>
      </c>
      <c r="D1644" t="str">
        <f t="shared" si="75"/>
        <v>Morning</v>
      </c>
      <c r="E1644">
        <f>HOUR(EV_Data[[#This Row],[Charging Start Time]])</f>
        <v>10</v>
      </c>
      <c r="F1644" s="1">
        <v>44995.416666666664</v>
      </c>
      <c r="G1644" s="1">
        <v>44995.417361111111</v>
      </c>
      <c r="H1644">
        <v>1</v>
      </c>
      <c r="I1644">
        <v>25.62</v>
      </c>
      <c r="J1644" t="str">
        <f t="shared" si="76"/>
        <v>Medium</v>
      </c>
      <c r="K1644" t="s">
        <v>42</v>
      </c>
      <c r="L1644">
        <v>21</v>
      </c>
      <c r="M1644">
        <v>56</v>
      </c>
      <c r="N1644" t="str">
        <f t="shared" si="77"/>
        <v>Low Cost</v>
      </c>
      <c r="O1644">
        <v>5.4</v>
      </c>
      <c r="P1644" t="s">
        <v>64</v>
      </c>
      <c r="Q1644" t="s">
        <v>24</v>
      </c>
      <c r="R1644" t="s">
        <v>35</v>
      </c>
      <c r="S1644" t="s">
        <v>1133</v>
      </c>
      <c r="T1644" t="s">
        <v>46</v>
      </c>
      <c r="U1644">
        <v>49</v>
      </c>
      <c r="V1644">
        <v>3.6</v>
      </c>
      <c r="W1644" t="s">
        <v>28</v>
      </c>
      <c r="X1644" t="s">
        <v>68</v>
      </c>
    </row>
    <row r="1645" spans="1:24" x14ac:dyDescent="0.3">
      <c r="A1645" t="s">
        <v>2921</v>
      </c>
      <c r="B1645" t="s">
        <v>71</v>
      </c>
      <c r="C1645" t="s">
        <v>72</v>
      </c>
      <c r="D1645" t="str">
        <f t="shared" si="75"/>
        <v>Morning</v>
      </c>
      <c r="E1645">
        <f>HOUR(EV_Data[[#This Row],[Charging Start Time]])</f>
        <v>11</v>
      </c>
      <c r="F1645" s="1">
        <v>44995.458333333336</v>
      </c>
      <c r="G1645" s="1">
        <v>44995.527083333327</v>
      </c>
      <c r="H1645">
        <v>99</v>
      </c>
      <c r="I1645">
        <v>40.65</v>
      </c>
      <c r="J1645" t="str">
        <f t="shared" si="76"/>
        <v>Medium</v>
      </c>
      <c r="K1645" t="s">
        <v>32</v>
      </c>
      <c r="L1645">
        <v>51</v>
      </c>
      <c r="M1645">
        <v>69</v>
      </c>
      <c r="N1645" t="str">
        <f t="shared" si="77"/>
        <v>Medium Cost</v>
      </c>
      <c r="O1645">
        <v>11.29</v>
      </c>
      <c r="P1645" t="s">
        <v>33</v>
      </c>
      <c r="Q1645" t="s">
        <v>48</v>
      </c>
      <c r="R1645" t="s">
        <v>56</v>
      </c>
      <c r="S1645" t="s">
        <v>196</v>
      </c>
      <c r="T1645" t="s">
        <v>27</v>
      </c>
      <c r="U1645">
        <v>5</v>
      </c>
      <c r="V1645">
        <v>1.5</v>
      </c>
      <c r="W1645" t="s">
        <v>47</v>
      </c>
      <c r="X1645" t="s">
        <v>29</v>
      </c>
    </row>
    <row r="1646" spans="1:24" x14ac:dyDescent="0.3">
      <c r="A1646" t="s">
        <v>2922</v>
      </c>
      <c r="B1646" t="s">
        <v>20</v>
      </c>
      <c r="C1646" t="s">
        <v>21</v>
      </c>
      <c r="D1646" t="str">
        <f t="shared" si="75"/>
        <v>Afternoon</v>
      </c>
      <c r="E1646">
        <f>HOUR(EV_Data[[#This Row],[Charging Start Time]])</f>
        <v>12</v>
      </c>
      <c r="F1646" s="1">
        <v>44995.5</v>
      </c>
      <c r="G1646" s="1">
        <v>44995.533333333333</v>
      </c>
      <c r="H1646">
        <v>48</v>
      </c>
      <c r="I1646">
        <v>17.079999999999998</v>
      </c>
      <c r="J1646" t="str">
        <f t="shared" si="76"/>
        <v>Low</v>
      </c>
      <c r="K1646" t="s">
        <v>55</v>
      </c>
      <c r="L1646">
        <v>77</v>
      </c>
      <c r="M1646">
        <v>100</v>
      </c>
      <c r="N1646" t="str">
        <f t="shared" si="77"/>
        <v>Low Cost</v>
      </c>
      <c r="O1646">
        <v>3.6</v>
      </c>
      <c r="P1646" t="s">
        <v>64</v>
      </c>
      <c r="Q1646" t="s">
        <v>34</v>
      </c>
      <c r="R1646" t="s">
        <v>35</v>
      </c>
      <c r="S1646" t="s">
        <v>1134</v>
      </c>
      <c r="T1646" t="s">
        <v>27</v>
      </c>
      <c r="U1646">
        <v>74</v>
      </c>
      <c r="V1646">
        <v>3</v>
      </c>
      <c r="W1646" t="s">
        <v>28</v>
      </c>
      <c r="X1646" t="s">
        <v>68</v>
      </c>
    </row>
    <row r="1647" spans="1:24" x14ac:dyDescent="0.3">
      <c r="A1647" t="s">
        <v>2923</v>
      </c>
      <c r="B1647" t="s">
        <v>40</v>
      </c>
      <c r="C1647" t="s">
        <v>41</v>
      </c>
      <c r="D1647" t="str">
        <f t="shared" si="75"/>
        <v>Afternoon</v>
      </c>
      <c r="E1647">
        <f>HOUR(EV_Data[[#This Row],[Charging Start Time]])</f>
        <v>13</v>
      </c>
      <c r="F1647" s="1">
        <v>44995.541666666664</v>
      </c>
      <c r="G1647" s="1">
        <v>44995.577777777777</v>
      </c>
      <c r="H1647">
        <v>52</v>
      </c>
      <c r="I1647">
        <v>36.479999999999997</v>
      </c>
      <c r="J1647" t="str">
        <f t="shared" si="76"/>
        <v>Medium</v>
      </c>
      <c r="K1647" t="s">
        <v>69</v>
      </c>
      <c r="L1647">
        <v>56</v>
      </c>
      <c r="M1647">
        <v>76</v>
      </c>
      <c r="N1647" t="str">
        <f t="shared" si="77"/>
        <v>Medium Cost</v>
      </c>
      <c r="O1647">
        <v>8.6999999999999993</v>
      </c>
      <c r="P1647" t="s">
        <v>64</v>
      </c>
      <c r="Q1647" t="s">
        <v>58</v>
      </c>
      <c r="R1647" t="s">
        <v>25</v>
      </c>
      <c r="S1647" t="s">
        <v>1135</v>
      </c>
      <c r="T1647" t="s">
        <v>60</v>
      </c>
      <c r="U1647">
        <v>30</v>
      </c>
      <c r="V1647">
        <v>3.6</v>
      </c>
      <c r="W1647" t="s">
        <v>47</v>
      </c>
      <c r="X1647" t="s">
        <v>29</v>
      </c>
    </row>
    <row r="1648" spans="1:24" x14ac:dyDescent="0.3">
      <c r="A1648" t="s">
        <v>2924</v>
      </c>
      <c r="B1648" t="s">
        <v>71</v>
      </c>
      <c r="C1648" t="s">
        <v>72</v>
      </c>
      <c r="D1648" t="str">
        <f t="shared" si="75"/>
        <v>Afternoon</v>
      </c>
      <c r="E1648">
        <f>HOUR(EV_Data[[#This Row],[Charging Start Time]])</f>
        <v>14</v>
      </c>
      <c r="F1648" s="1">
        <v>44995.583333333336</v>
      </c>
      <c r="G1648" s="1">
        <v>44995.665972222218</v>
      </c>
      <c r="H1648">
        <v>119</v>
      </c>
      <c r="I1648">
        <v>48.11</v>
      </c>
      <c r="J1648" t="str">
        <f t="shared" si="76"/>
        <v>Medium</v>
      </c>
      <c r="K1648" t="s">
        <v>32</v>
      </c>
      <c r="L1648">
        <v>19</v>
      </c>
      <c r="M1648">
        <v>47</v>
      </c>
      <c r="N1648" t="str">
        <f t="shared" si="77"/>
        <v>Medium Cost</v>
      </c>
      <c r="O1648">
        <v>10.62</v>
      </c>
      <c r="P1648" t="s">
        <v>51</v>
      </c>
      <c r="Q1648" t="s">
        <v>24</v>
      </c>
      <c r="R1648" t="s">
        <v>25</v>
      </c>
      <c r="S1648" t="s">
        <v>598</v>
      </c>
      <c r="T1648" t="s">
        <v>27</v>
      </c>
      <c r="U1648">
        <v>89</v>
      </c>
      <c r="V1648">
        <v>4.4000000000000004</v>
      </c>
      <c r="W1648" t="s">
        <v>47</v>
      </c>
      <c r="X1648" t="s">
        <v>29</v>
      </c>
    </row>
    <row r="1649" spans="1:24" x14ac:dyDescent="0.3">
      <c r="A1649" t="s">
        <v>2925</v>
      </c>
      <c r="B1649" t="s">
        <v>30</v>
      </c>
      <c r="C1649" t="s">
        <v>102</v>
      </c>
      <c r="D1649" t="str">
        <f t="shared" si="75"/>
        <v>Afternoon</v>
      </c>
      <c r="E1649">
        <f>HOUR(EV_Data[[#This Row],[Charging Start Time]])</f>
        <v>15</v>
      </c>
      <c r="F1649" s="1">
        <v>44995.625</v>
      </c>
      <c r="G1649" s="1">
        <v>44995.697222222218</v>
      </c>
      <c r="H1649">
        <v>104</v>
      </c>
      <c r="I1649">
        <v>21.6</v>
      </c>
      <c r="J1649" t="str">
        <f t="shared" si="76"/>
        <v>Medium</v>
      </c>
      <c r="K1649" t="s">
        <v>55</v>
      </c>
      <c r="L1649">
        <v>69</v>
      </c>
      <c r="M1649">
        <v>85</v>
      </c>
      <c r="N1649" t="str">
        <f t="shared" si="77"/>
        <v>Medium Cost</v>
      </c>
      <c r="O1649">
        <v>8.57</v>
      </c>
      <c r="P1649" t="s">
        <v>33</v>
      </c>
      <c r="Q1649" t="s">
        <v>48</v>
      </c>
      <c r="R1649" t="s">
        <v>56</v>
      </c>
      <c r="S1649" t="s">
        <v>1136</v>
      </c>
      <c r="T1649" t="s">
        <v>37</v>
      </c>
      <c r="U1649">
        <v>16</v>
      </c>
      <c r="V1649">
        <v>4</v>
      </c>
      <c r="W1649" t="s">
        <v>47</v>
      </c>
      <c r="X1649" t="s">
        <v>29</v>
      </c>
    </row>
    <row r="1650" spans="1:24" x14ac:dyDescent="0.3">
      <c r="A1650" t="s">
        <v>2926</v>
      </c>
      <c r="B1650" t="s">
        <v>126</v>
      </c>
      <c r="C1650" t="s">
        <v>31</v>
      </c>
      <c r="D1650" t="str">
        <f t="shared" si="75"/>
        <v>Afternoon</v>
      </c>
      <c r="E1650">
        <f>HOUR(EV_Data[[#This Row],[Charging Start Time]])</f>
        <v>16</v>
      </c>
      <c r="F1650" s="1">
        <v>44995.666666666664</v>
      </c>
      <c r="G1650" s="1">
        <v>44995.749305555553</v>
      </c>
      <c r="H1650">
        <v>119</v>
      </c>
      <c r="I1650">
        <v>14.83</v>
      </c>
      <c r="J1650" t="str">
        <f t="shared" si="76"/>
        <v>Low</v>
      </c>
      <c r="K1650" t="s">
        <v>32</v>
      </c>
      <c r="L1650">
        <v>77</v>
      </c>
      <c r="M1650">
        <v>100</v>
      </c>
      <c r="N1650" t="str">
        <f t="shared" si="77"/>
        <v>Low Cost</v>
      </c>
      <c r="O1650">
        <v>6.81</v>
      </c>
      <c r="P1650" t="s">
        <v>64</v>
      </c>
      <c r="Q1650" t="s">
        <v>24</v>
      </c>
      <c r="R1650" t="s">
        <v>35</v>
      </c>
      <c r="S1650" t="s">
        <v>269</v>
      </c>
      <c r="T1650" t="s">
        <v>37</v>
      </c>
      <c r="U1650">
        <v>19</v>
      </c>
      <c r="V1650">
        <v>2.2999999999999998</v>
      </c>
      <c r="W1650" t="s">
        <v>47</v>
      </c>
      <c r="X1650" t="s">
        <v>29</v>
      </c>
    </row>
    <row r="1651" spans="1:24" x14ac:dyDescent="0.3">
      <c r="A1651" t="s">
        <v>2927</v>
      </c>
      <c r="B1651" t="s">
        <v>20</v>
      </c>
      <c r="C1651" t="s">
        <v>21</v>
      </c>
      <c r="D1651" t="str">
        <f t="shared" si="75"/>
        <v>Evening</v>
      </c>
      <c r="E1651">
        <f>HOUR(EV_Data[[#This Row],[Charging Start Time]])</f>
        <v>17</v>
      </c>
      <c r="F1651" s="1">
        <v>44995.708333333336</v>
      </c>
      <c r="G1651" s="1">
        <v>44995.732638888891</v>
      </c>
      <c r="H1651">
        <v>35</v>
      </c>
      <c r="I1651">
        <v>42.95</v>
      </c>
      <c r="J1651" t="str">
        <f t="shared" si="76"/>
        <v>Medium</v>
      </c>
      <c r="K1651" t="s">
        <v>55</v>
      </c>
      <c r="L1651">
        <v>5</v>
      </c>
      <c r="M1651">
        <v>18</v>
      </c>
      <c r="N1651" t="str">
        <f t="shared" si="77"/>
        <v>Medium Cost</v>
      </c>
      <c r="O1651">
        <v>14.02</v>
      </c>
      <c r="P1651" t="s">
        <v>43</v>
      </c>
      <c r="Q1651" t="s">
        <v>34</v>
      </c>
      <c r="R1651" t="s">
        <v>56</v>
      </c>
      <c r="S1651" t="s">
        <v>959</v>
      </c>
      <c r="T1651" t="s">
        <v>27</v>
      </c>
      <c r="U1651">
        <v>43</v>
      </c>
      <c r="V1651">
        <v>2.6</v>
      </c>
      <c r="W1651" t="s">
        <v>28</v>
      </c>
      <c r="X1651" t="s">
        <v>68</v>
      </c>
    </row>
    <row r="1652" spans="1:24" x14ac:dyDescent="0.3">
      <c r="A1652" t="s">
        <v>2928</v>
      </c>
      <c r="B1652" t="s">
        <v>77</v>
      </c>
      <c r="C1652" t="s">
        <v>78</v>
      </c>
      <c r="D1652" t="str">
        <f t="shared" si="75"/>
        <v>Evening</v>
      </c>
      <c r="E1652">
        <f>HOUR(EV_Data[[#This Row],[Charging Start Time]])</f>
        <v>18</v>
      </c>
      <c r="F1652" s="1">
        <v>44995.75</v>
      </c>
      <c r="G1652" s="1">
        <v>44995.78125</v>
      </c>
      <c r="H1652">
        <v>45</v>
      </c>
      <c r="I1652">
        <v>33.700000000000003</v>
      </c>
      <c r="J1652" t="str">
        <f t="shared" si="76"/>
        <v>Medium</v>
      </c>
      <c r="K1652" t="s">
        <v>32</v>
      </c>
      <c r="L1652">
        <v>70</v>
      </c>
      <c r="M1652">
        <v>97</v>
      </c>
      <c r="N1652" t="str">
        <f t="shared" si="77"/>
        <v>Medium Cost</v>
      </c>
      <c r="O1652">
        <v>15.3</v>
      </c>
      <c r="P1652" t="s">
        <v>33</v>
      </c>
      <c r="Q1652" t="s">
        <v>34</v>
      </c>
      <c r="R1652" t="s">
        <v>35</v>
      </c>
      <c r="S1652" t="s">
        <v>1137</v>
      </c>
      <c r="T1652" t="s">
        <v>27</v>
      </c>
      <c r="U1652">
        <v>99</v>
      </c>
      <c r="V1652">
        <v>3.7</v>
      </c>
      <c r="W1652" t="s">
        <v>38</v>
      </c>
      <c r="X1652" t="s">
        <v>39</v>
      </c>
    </row>
    <row r="1653" spans="1:24" x14ac:dyDescent="0.3">
      <c r="A1653" t="s">
        <v>2929</v>
      </c>
      <c r="B1653" t="s">
        <v>77</v>
      </c>
      <c r="C1653" t="s">
        <v>78</v>
      </c>
      <c r="D1653" t="str">
        <f t="shared" si="75"/>
        <v>Evening</v>
      </c>
      <c r="E1653">
        <f>HOUR(EV_Data[[#This Row],[Charging Start Time]])</f>
        <v>19</v>
      </c>
      <c r="F1653" s="1">
        <v>44995.791666666664</v>
      </c>
      <c r="G1653" s="1">
        <v>44995.866666666669</v>
      </c>
      <c r="H1653">
        <v>108</v>
      </c>
      <c r="I1653">
        <v>12.8</v>
      </c>
      <c r="J1653" t="str">
        <f t="shared" si="76"/>
        <v>Low</v>
      </c>
      <c r="K1653" t="s">
        <v>32</v>
      </c>
      <c r="L1653">
        <v>30</v>
      </c>
      <c r="M1653">
        <v>40</v>
      </c>
      <c r="N1653" t="str">
        <f t="shared" si="77"/>
        <v>Low Cost</v>
      </c>
      <c r="O1653">
        <v>2.76</v>
      </c>
      <c r="P1653" t="s">
        <v>33</v>
      </c>
      <c r="Q1653" t="s">
        <v>48</v>
      </c>
      <c r="R1653" t="s">
        <v>35</v>
      </c>
      <c r="S1653" t="s">
        <v>703</v>
      </c>
      <c r="T1653" t="s">
        <v>60</v>
      </c>
      <c r="U1653">
        <v>59</v>
      </c>
      <c r="V1653">
        <v>2.6</v>
      </c>
      <c r="W1653" t="s">
        <v>47</v>
      </c>
      <c r="X1653" t="s">
        <v>29</v>
      </c>
    </row>
    <row r="1654" spans="1:24" x14ac:dyDescent="0.3">
      <c r="A1654" t="s">
        <v>2930</v>
      </c>
      <c r="B1654" t="s">
        <v>40</v>
      </c>
      <c r="C1654" t="s">
        <v>41</v>
      </c>
      <c r="D1654" t="str">
        <f t="shared" si="75"/>
        <v>Evening</v>
      </c>
      <c r="E1654">
        <f>HOUR(EV_Data[[#This Row],[Charging Start Time]])</f>
        <v>20</v>
      </c>
      <c r="F1654" s="1">
        <v>44995.833333333336</v>
      </c>
      <c r="G1654" s="1">
        <v>44995.87222222222</v>
      </c>
      <c r="H1654">
        <v>56</v>
      </c>
      <c r="I1654">
        <v>45.96</v>
      </c>
      <c r="J1654" t="str">
        <f t="shared" si="76"/>
        <v>Medium</v>
      </c>
      <c r="K1654" t="s">
        <v>50</v>
      </c>
      <c r="L1654">
        <v>61</v>
      </c>
      <c r="M1654">
        <v>78</v>
      </c>
      <c r="N1654" t="str">
        <f t="shared" si="77"/>
        <v>Medium Cost</v>
      </c>
      <c r="O1654">
        <v>14.06</v>
      </c>
      <c r="P1654" t="s">
        <v>23</v>
      </c>
      <c r="Q1654" t="s">
        <v>34</v>
      </c>
      <c r="R1654" t="s">
        <v>44</v>
      </c>
      <c r="S1654" t="s">
        <v>1138</v>
      </c>
      <c r="T1654" t="s">
        <v>27</v>
      </c>
      <c r="U1654">
        <v>80</v>
      </c>
      <c r="V1654">
        <v>3.3</v>
      </c>
      <c r="W1654" t="s">
        <v>28</v>
      </c>
      <c r="X1654" t="s">
        <v>68</v>
      </c>
    </row>
    <row r="1655" spans="1:24" x14ac:dyDescent="0.3">
      <c r="A1655" t="s">
        <v>2931</v>
      </c>
      <c r="B1655" t="s">
        <v>30</v>
      </c>
      <c r="C1655" t="s">
        <v>102</v>
      </c>
      <c r="D1655" t="str">
        <f t="shared" si="75"/>
        <v>Evening</v>
      </c>
      <c r="E1655">
        <f>HOUR(EV_Data[[#This Row],[Charging Start Time]])</f>
        <v>21</v>
      </c>
      <c r="F1655" s="1">
        <v>44995.875</v>
      </c>
      <c r="G1655" s="1">
        <v>44995.88958333333</v>
      </c>
      <c r="H1655">
        <v>21</v>
      </c>
      <c r="I1655">
        <v>21.3</v>
      </c>
      <c r="J1655" t="str">
        <f t="shared" si="76"/>
        <v>Medium</v>
      </c>
      <c r="K1655" t="s">
        <v>50</v>
      </c>
      <c r="L1655">
        <v>72</v>
      </c>
      <c r="M1655">
        <v>100</v>
      </c>
      <c r="N1655" t="str">
        <f t="shared" si="77"/>
        <v>Medium Cost</v>
      </c>
      <c r="O1655">
        <v>9.7200000000000006</v>
      </c>
      <c r="P1655" t="s">
        <v>23</v>
      </c>
      <c r="Q1655" t="s">
        <v>34</v>
      </c>
      <c r="R1655" t="s">
        <v>35</v>
      </c>
      <c r="S1655" t="s">
        <v>469</v>
      </c>
      <c r="T1655" t="s">
        <v>60</v>
      </c>
      <c r="U1655">
        <v>55</v>
      </c>
      <c r="V1655">
        <v>2.7</v>
      </c>
      <c r="W1655" t="s">
        <v>38</v>
      </c>
      <c r="X1655" t="s">
        <v>62</v>
      </c>
    </row>
    <row r="1656" spans="1:24" x14ac:dyDescent="0.3">
      <c r="A1656" t="s">
        <v>2932</v>
      </c>
      <c r="B1656" t="s">
        <v>92</v>
      </c>
      <c r="C1656" t="s">
        <v>93</v>
      </c>
      <c r="D1656" t="str">
        <f t="shared" si="75"/>
        <v>Evening</v>
      </c>
      <c r="E1656">
        <f>HOUR(EV_Data[[#This Row],[Charging Start Time]])</f>
        <v>22</v>
      </c>
      <c r="F1656" s="1">
        <v>44995.916666666664</v>
      </c>
      <c r="G1656" s="1">
        <v>44995.947222222218</v>
      </c>
      <c r="H1656">
        <v>44</v>
      </c>
      <c r="I1656">
        <v>28.84</v>
      </c>
      <c r="J1656" t="str">
        <f t="shared" si="76"/>
        <v>Medium</v>
      </c>
      <c r="K1656" t="s">
        <v>22</v>
      </c>
      <c r="L1656">
        <v>53</v>
      </c>
      <c r="M1656">
        <v>89</v>
      </c>
      <c r="N1656" t="str">
        <f t="shared" si="77"/>
        <v>Medium Cost</v>
      </c>
      <c r="O1656">
        <v>12.9</v>
      </c>
      <c r="P1656" t="s">
        <v>51</v>
      </c>
      <c r="Q1656" t="s">
        <v>24</v>
      </c>
      <c r="R1656" t="s">
        <v>44</v>
      </c>
      <c r="S1656" t="s">
        <v>134</v>
      </c>
      <c r="T1656" t="s">
        <v>27</v>
      </c>
      <c r="U1656">
        <v>2</v>
      </c>
      <c r="V1656">
        <v>2.5</v>
      </c>
      <c r="W1656" t="s">
        <v>47</v>
      </c>
      <c r="X1656" t="s">
        <v>29</v>
      </c>
    </row>
    <row r="1657" spans="1:24" x14ac:dyDescent="0.3">
      <c r="A1657" t="s">
        <v>2933</v>
      </c>
      <c r="B1657" t="s">
        <v>20</v>
      </c>
      <c r="C1657" t="s">
        <v>21</v>
      </c>
      <c r="D1657" t="str">
        <f t="shared" si="75"/>
        <v>Evening</v>
      </c>
      <c r="E1657">
        <f>HOUR(EV_Data[[#This Row],[Charging Start Time]])</f>
        <v>23</v>
      </c>
      <c r="F1657" s="1">
        <v>44995.958333333336</v>
      </c>
      <c r="G1657" s="1">
        <v>44995.968055555553</v>
      </c>
      <c r="H1657">
        <v>14</v>
      </c>
      <c r="I1657">
        <v>32.880000000000003</v>
      </c>
      <c r="J1657" t="str">
        <f t="shared" si="76"/>
        <v>Medium</v>
      </c>
      <c r="K1657" t="s">
        <v>50</v>
      </c>
      <c r="L1657">
        <v>40</v>
      </c>
      <c r="M1657">
        <v>62</v>
      </c>
      <c r="N1657" t="str">
        <f t="shared" si="77"/>
        <v>Medium Cost</v>
      </c>
      <c r="O1657">
        <v>9.84</v>
      </c>
      <c r="P1657" t="s">
        <v>64</v>
      </c>
      <c r="Q1657" t="s">
        <v>34</v>
      </c>
      <c r="R1657" t="s">
        <v>35</v>
      </c>
      <c r="S1657" t="s">
        <v>1128</v>
      </c>
      <c r="T1657" t="s">
        <v>60</v>
      </c>
      <c r="U1657">
        <v>69</v>
      </c>
      <c r="V1657">
        <v>2.4</v>
      </c>
      <c r="W1657" t="s">
        <v>47</v>
      </c>
      <c r="X1657" t="s">
        <v>29</v>
      </c>
    </row>
    <row r="1658" spans="1:24" x14ac:dyDescent="0.3">
      <c r="A1658" t="s">
        <v>2934</v>
      </c>
      <c r="B1658" t="s">
        <v>30</v>
      </c>
      <c r="C1658" t="s">
        <v>102</v>
      </c>
      <c r="D1658" t="str">
        <f t="shared" si="75"/>
        <v>Morning</v>
      </c>
      <c r="E1658">
        <f>HOUR(EV_Data[[#This Row],[Charging Start Time]])</f>
        <v>0</v>
      </c>
      <c r="F1658" s="1">
        <v>44996</v>
      </c>
      <c r="G1658" s="1">
        <v>44996.050694444442</v>
      </c>
      <c r="H1658">
        <v>73</v>
      </c>
      <c r="I1658">
        <v>36.79</v>
      </c>
      <c r="J1658" t="str">
        <f t="shared" si="76"/>
        <v>Medium</v>
      </c>
      <c r="K1658" t="s">
        <v>42</v>
      </c>
      <c r="L1658">
        <v>68</v>
      </c>
      <c r="M1658">
        <v>86</v>
      </c>
      <c r="N1658" t="str">
        <f t="shared" si="77"/>
        <v>Medium Cost</v>
      </c>
      <c r="O1658">
        <v>16.760000000000002</v>
      </c>
      <c r="P1658" t="s">
        <v>23</v>
      </c>
      <c r="Q1658" t="s">
        <v>24</v>
      </c>
      <c r="R1658" t="s">
        <v>44</v>
      </c>
      <c r="S1658" t="s">
        <v>657</v>
      </c>
      <c r="T1658" t="s">
        <v>27</v>
      </c>
      <c r="U1658">
        <v>68</v>
      </c>
      <c r="V1658">
        <v>3.7</v>
      </c>
      <c r="W1658" t="s">
        <v>38</v>
      </c>
      <c r="X1658" t="s">
        <v>39</v>
      </c>
    </row>
    <row r="1659" spans="1:24" x14ac:dyDescent="0.3">
      <c r="A1659" t="s">
        <v>2935</v>
      </c>
      <c r="B1659" t="s">
        <v>71</v>
      </c>
      <c r="C1659" t="s">
        <v>72</v>
      </c>
      <c r="D1659" t="str">
        <f t="shared" si="75"/>
        <v>Morning</v>
      </c>
      <c r="E1659">
        <f>HOUR(EV_Data[[#This Row],[Charging Start Time]])</f>
        <v>1</v>
      </c>
      <c r="F1659" s="1">
        <v>44996.041666666664</v>
      </c>
      <c r="G1659" s="1">
        <v>44996.081944444442</v>
      </c>
      <c r="H1659">
        <v>58</v>
      </c>
      <c r="I1659">
        <v>34.18</v>
      </c>
      <c r="J1659" t="str">
        <f t="shared" si="76"/>
        <v>Medium</v>
      </c>
      <c r="K1659" t="s">
        <v>69</v>
      </c>
      <c r="L1659">
        <v>45</v>
      </c>
      <c r="M1659">
        <v>66</v>
      </c>
      <c r="N1659" t="str">
        <f t="shared" si="77"/>
        <v>Medium Cost</v>
      </c>
      <c r="O1659">
        <v>10.050000000000001</v>
      </c>
      <c r="P1659" t="s">
        <v>23</v>
      </c>
      <c r="Q1659" t="s">
        <v>48</v>
      </c>
      <c r="R1659" t="s">
        <v>35</v>
      </c>
      <c r="S1659" t="s">
        <v>727</v>
      </c>
      <c r="T1659" t="s">
        <v>27</v>
      </c>
      <c r="U1659">
        <v>66</v>
      </c>
      <c r="V1659">
        <v>3.8</v>
      </c>
      <c r="W1659" t="s">
        <v>28</v>
      </c>
      <c r="X1659" t="s">
        <v>68</v>
      </c>
    </row>
    <row r="1660" spans="1:24" x14ac:dyDescent="0.3">
      <c r="A1660" t="s">
        <v>2936</v>
      </c>
      <c r="B1660" t="s">
        <v>77</v>
      </c>
      <c r="C1660" t="s">
        <v>78</v>
      </c>
      <c r="D1660" t="str">
        <f t="shared" si="75"/>
        <v>Morning</v>
      </c>
      <c r="E1660">
        <f>HOUR(EV_Data[[#This Row],[Charging Start Time]])</f>
        <v>2</v>
      </c>
      <c r="F1660" s="1">
        <v>44996.083333333336</v>
      </c>
      <c r="G1660" s="1">
        <v>44996.093055555553</v>
      </c>
      <c r="H1660">
        <v>14</v>
      </c>
      <c r="I1660">
        <v>46.58</v>
      </c>
      <c r="J1660" t="str">
        <f t="shared" si="76"/>
        <v>Medium</v>
      </c>
      <c r="K1660" t="s">
        <v>32</v>
      </c>
      <c r="L1660">
        <v>42</v>
      </c>
      <c r="M1660">
        <v>67</v>
      </c>
      <c r="N1660" t="str">
        <f t="shared" si="77"/>
        <v>Medium Cost</v>
      </c>
      <c r="O1660">
        <v>11.61</v>
      </c>
      <c r="P1660" t="s">
        <v>51</v>
      </c>
      <c r="Q1660" t="s">
        <v>24</v>
      </c>
      <c r="R1660" t="s">
        <v>56</v>
      </c>
      <c r="S1660" t="s">
        <v>1139</v>
      </c>
      <c r="T1660" t="s">
        <v>37</v>
      </c>
      <c r="U1660">
        <v>35</v>
      </c>
      <c r="V1660">
        <v>4.5999999999999996</v>
      </c>
      <c r="W1660" t="s">
        <v>38</v>
      </c>
    </row>
    <row r="1661" spans="1:24" x14ac:dyDescent="0.3">
      <c r="A1661" t="s">
        <v>2937</v>
      </c>
      <c r="B1661" t="s">
        <v>40</v>
      </c>
      <c r="C1661" t="s">
        <v>41</v>
      </c>
      <c r="D1661" t="str">
        <f t="shared" si="75"/>
        <v>Morning</v>
      </c>
      <c r="E1661">
        <f>HOUR(EV_Data[[#This Row],[Charging Start Time]])</f>
        <v>3</v>
      </c>
      <c r="F1661" s="1">
        <v>44996.125</v>
      </c>
      <c r="G1661" s="1">
        <v>44996.125694444447</v>
      </c>
      <c r="H1661">
        <v>1</v>
      </c>
      <c r="I1661">
        <v>30.91</v>
      </c>
      <c r="J1661" t="str">
        <f t="shared" si="76"/>
        <v>Medium</v>
      </c>
      <c r="K1661" t="s">
        <v>42</v>
      </c>
      <c r="L1661">
        <v>61</v>
      </c>
      <c r="M1661">
        <v>81</v>
      </c>
      <c r="N1661" t="str">
        <f t="shared" si="77"/>
        <v>Medium Cost</v>
      </c>
      <c r="O1661">
        <v>12.07</v>
      </c>
      <c r="P1661" t="s">
        <v>23</v>
      </c>
      <c r="Q1661" t="s">
        <v>48</v>
      </c>
      <c r="R1661" t="s">
        <v>44</v>
      </c>
      <c r="S1661" t="s">
        <v>1140</v>
      </c>
      <c r="T1661" t="s">
        <v>27</v>
      </c>
      <c r="U1661">
        <v>56</v>
      </c>
      <c r="V1661">
        <v>1.2</v>
      </c>
      <c r="W1661" t="s">
        <v>47</v>
      </c>
      <c r="X1661" t="s">
        <v>29</v>
      </c>
    </row>
    <row r="1662" spans="1:24" x14ac:dyDescent="0.3">
      <c r="A1662" t="s">
        <v>2938</v>
      </c>
      <c r="B1662" t="s">
        <v>126</v>
      </c>
      <c r="C1662" t="s">
        <v>31</v>
      </c>
      <c r="D1662" t="str">
        <f t="shared" si="75"/>
        <v>Morning</v>
      </c>
      <c r="E1662">
        <f>HOUR(EV_Data[[#This Row],[Charging Start Time]])</f>
        <v>4</v>
      </c>
      <c r="F1662" s="1">
        <v>44996.166666666664</v>
      </c>
      <c r="G1662" s="1">
        <v>44996.200694444437</v>
      </c>
      <c r="H1662">
        <v>49</v>
      </c>
      <c r="I1662">
        <v>40.25</v>
      </c>
      <c r="J1662" t="str">
        <f t="shared" si="76"/>
        <v>Medium</v>
      </c>
      <c r="K1662" t="s">
        <v>55</v>
      </c>
      <c r="L1662">
        <v>30</v>
      </c>
      <c r="M1662">
        <v>64</v>
      </c>
      <c r="N1662" t="str">
        <f t="shared" si="77"/>
        <v>Medium Cost</v>
      </c>
      <c r="O1662">
        <v>9.9700000000000006</v>
      </c>
      <c r="P1662" t="s">
        <v>64</v>
      </c>
      <c r="Q1662" t="s">
        <v>58</v>
      </c>
      <c r="R1662" t="s">
        <v>44</v>
      </c>
      <c r="S1662" t="s">
        <v>504</v>
      </c>
      <c r="T1662" t="s">
        <v>46</v>
      </c>
      <c r="U1662">
        <v>48</v>
      </c>
      <c r="V1662">
        <v>4.7</v>
      </c>
      <c r="W1662" t="s">
        <v>38</v>
      </c>
      <c r="X1662" t="s">
        <v>62</v>
      </c>
    </row>
    <row r="1663" spans="1:24" x14ac:dyDescent="0.3">
      <c r="A1663" t="s">
        <v>2939</v>
      </c>
      <c r="B1663" t="s">
        <v>30</v>
      </c>
      <c r="C1663" t="s">
        <v>102</v>
      </c>
      <c r="D1663" t="str">
        <f t="shared" si="75"/>
        <v>Morning</v>
      </c>
      <c r="E1663">
        <f>HOUR(EV_Data[[#This Row],[Charging Start Time]])</f>
        <v>5</v>
      </c>
      <c r="F1663" s="1">
        <v>44996.208333333336</v>
      </c>
      <c r="G1663" s="1">
        <v>44996.242361111108</v>
      </c>
      <c r="H1663">
        <v>49</v>
      </c>
      <c r="I1663">
        <v>14.12</v>
      </c>
      <c r="J1663" t="str">
        <f t="shared" si="76"/>
        <v>Low</v>
      </c>
      <c r="K1663" t="s">
        <v>69</v>
      </c>
      <c r="L1663">
        <v>34</v>
      </c>
      <c r="M1663">
        <v>57</v>
      </c>
      <c r="N1663" t="str">
        <f t="shared" si="77"/>
        <v>Low Cost</v>
      </c>
      <c r="O1663">
        <v>6.27</v>
      </c>
      <c r="P1663" t="s">
        <v>33</v>
      </c>
      <c r="Q1663" t="s">
        <v>34</v>
      </c>
      <c r="R1663" t="s">
        <v>56</v>
      </c>
      <c r="S1663" t="s">
        <v>1141</v>
      </c>
      <c r="T1663" t="s">
        <v>46</v>
      </c>
      <c r="U1663">
        <v>43</v>
      </c>
      <c r="V1663">
        <v>4</v>
      </c>
      <c r="W1663" t="s">
        <v>38</v>
      </c>
      <c r="X1663" t="s">
        <v>39</v>
      </c>
    </row>
    <row r="1664" spans="1:24" x14ac:dyDescent="0.3">
      <c r="A1664" t="s">
        <v>2940</v>
      </c>
      <c r="B1664" t="s">
        <v>92</v>
      </c>
      <c r="C1664" t="s">
        <v>93</v>
      </c>
      <c r="D1664" t="str">
        <f t="shared" si="75"/>
        <v>Morning</v>
      </c>
      <c r="E1664">
        <f>HOUR(EV_Data[[#This Row],[Charging Start Time]])</f>
        <v>6</v>
      </c>
      <c r="F1664" s="1">
        <v>44996.25</v>
      </c>
      <c r="G1664" s="1">
        <v>44996.281944444447</v>
      </c>
      <c r="H1664">
        <v>46</v>
      </c>
      <c r="I1664">
        <v>34.99</v>
      </c>
      <c r="J1664" t="str">
        <f t="shared" si="76"/>
        <v>Medium</v>
      </c>
      <c r="K1664" t="s">
        <v>55</v>
      </c>
      <c r="L1664">
        <v>80</v>
      </c>
      <c r="M1664">
        <v>100</v>
      </c>
      <c r="N1664" t="str">
        <f t="shared" si="77"/>
        <v>Medium Cost</v>
      </c>
      <c r="O1664">
        <v>10.48</v>
      </c>
      <c r="P1664" t="s">
        <v>51</v>
      </c>
      <c r="Q1664" t="s">
        <v>24</v>
      </c>
      <c r="R1664" t="s">
        <v>56</v>
      </c>
      <c r="S1664" t="s">
        <v>1142</v>
      </c>
      <c r="T1664" t="s">
        <v>37</v>
      </c>
      <c r="U1664">
        <v>43</v>
      </c>
      <c r="V1664">
        <v>2.5</v>
      </c>
      <c r="W1664" t="s">
        <v>28</v>
      </c>
      <c r="X1664" t="s">
        <v>68</v>
      </c>
    </row>
    <row r="1665" spans="1:24" x14ac:dyDescent="0.3">
      <c r="A1665" t="s">
        <v>2941</v>
      </c>
      <c r="B1665" t="s">
        <v>92</v>
      </c>
      <c r="C1665" t="s">
        <v>93</v>
      </c>
      <c r="D1665" t="str">
        <f t="shared" si="75"/>
        <v>Morning</v>
      </c>
      <c r="E1665">
        <f>HOUR(EV_Data[[#This Row],[Charging Start Time]])</f>
        <v>7</v>
      </c>
      <c r="F1665" s="1">
        <v>44996.291666666664</v>
      </c>
      <c r="G1665" s="1">
        <v>44996.326388888891</v>
      </c>
      <c r="H1665">
        <v>50</v>
      </c>
      <c r="I1665">
        <v>25.38</v>
      </c>
      <c r="J1665" t="str">
        <f t="shared" si="76"/>
        <v>Medium</v>
      </c>
      <c r="K1665" t="s">
        <v>32</v>
      </c>
      <c r="L1665">
        <v>40</v>
      </c>
      <c r="M1665">
        <v>72</v>
      </c>
      <c r="N1665" t="str">
        <f t="shared" si="77"/>
        <v>Medium Cost</v>
      </c>
      <c r="O1665">
        <v>12.52</v>
      </c>
      <c r="P1665" t="s">
        <v>51</v>
      </c>
      <c r="Q1665" t="s">
        <v>24</v>
      </c>
      <c r="R1665" t="s">
        <v>56</v>
      </c>
      <c r="S1665" t="s">
        <v>1143</v>
      </c>
      <c r="T1665" t="s">
        <v>37</v>
      </c>
      <c r="U1665">
        <v>8</v>
      </c>
      <c r="V1665">
        <v>2.8</v>
      </c>
      <c r="W1665" t="s">
        <v>38</v>
      </c>
      <c r="X1665" t="s">
        <v>62</v>
      </c>
    </row>
    <row r="1666" spans="1:24" x14ac:dyDescent="0.3">
      <c r="A1666" t="s">
        <v>2942</v>
      </c>
      <c r="B1666" t="s">
        <v>40</v>
      </c>
      <c r="C1666" t="s">
        <v>41</v>
      </c>
      <c r="D1666" t="str">
        <f t="shared" ref="D1666:D1729" si="78">IF(E1666&lt;12,"Morning",IF(E1666&lt;17,"Afternoon","Evening"))</f>
        <v>Morning</v>
      </c>
      <c r="E1666">
        <f>HOUR(EV_Data[[#This Row],[Charging Start Time]])</f>
        <v>8</v>
      </c>
      <c r="F1666" s="1">
        <v>44996.333333333336</v>
      </c>
      <c r="G1666" s="1">
        <v>44996.378472222219</v>
      </c>
      <c r="H1666">
        <v>65</v>
      </c>
      <c r="I1666">
        <v>7.53</v>
      </c>
      <c r="J1666" t="str">
        <f t="shared" ref="J1666:J1729" si="79">IF(I1666&lt;20,"Low",IF(I1666&lt;50,"Medium","High"))</f>
        <v>Low</v>
      </c>
      <c r="K1666" t="s">
        <v>42</v>
      </c>
      <c r="L1666">
        <v>42</v>
      </c>
      <c r="M1666">
        <v>57</v>
      </c>
      <c r="N1666" t="str">
        <f t="shared" ref="N1666:N1729" si="80">IF(O1666&lt;8,"Low Cost",IF(O1666&lt;17,"Medium Cost","High Cost"))</f>
        <v>Low Cost</v>
      </c>
      <c r="O1666">
        <v>1.87</v>
      </c>
      <c r="P1666" t="s">
        <v>51</v>
      </c>
      <c r="Q1666" t="s">
        <v>34</v>
      </c>
      <c r="R1666" t="s">
        <v>56</v>
      </c>
      <c r="S1666" t="s">
        <v>235</v>
      </c>
      <c r="T1666" t="s">
        <v>37</v>
      </c>
      <c r="U1666">
        <v>88</v>
      </c>
      <c r="V1666">
        <v>2.5</v>
      </c>
      <c r="W1666" t="s">
        <v>38</v>
      </c>
      <c r="X1666" t="s">
        <v>39</v>
      </c>
    </row>
    <row r="1667" spans="1:24" x14ac:dyDescent="0.3">
      <c r="A1667" t="s">
        <v>2943</v>
      </c>
      <c r="B1667" t="s">
        <v>92</v>
      </c>
      <c r="C1667" t="s">
        <v>93</v>
      </c>
      <c r="D1667" t="str">
        <f t="shared" si="78"/>
        <v>Morning</v>
      </c>
      <c r="E1667">
        <f>HOUR(EV_Data[[#This Row],[Charging Start Time]])</f>
        <v>9</v>
      </c>
      <c r="F1667" s="1">
        <v>44996.375</v>
      </c>
      <c r="G1667" s="1">
        <v>44996.434027777781</v>
      </c>
      <c r="H1667">
        <v>85</v>
      </c>
      <c r="I1667">
        <v>44.46</v>
      </c>
      <c r="J1667" t="str">
        <f t="shared" si="79"/>
        <v>Medium</v>
      </c>
      <c r="K1667" t="s">
        <v>55</v>
      </c>
      <c r="L1667">
        <v>70</v>
      </c>
      <c r="M1667">
        <v>86</v>
      </c>
      <c r="N1667" t="str">
        <f t="shared" si="80"/>
        <v>High Cost</v>
      </c>
      <c r="O1667">
        <v>21.88</v>
      </c>
      <c r="P1667" t="s">
        <v>64</v>
      </c>
      <c r="Q1667" t="s">
        <v>34</v>
      </c>
      <c r="R1667" t="s">
        <v>35</v>
      </c>
      <c r="S1667" t="s">
        <v>1144</v>
      </c>
      <c r="T1667" t="s">
        <v>46</v>
      </c>
      <c r="U1667">
        <v>60</v>
      </c>
      <c r="V1667">
        <v>4.0999999999999996</v>
      </c>
      <c r="W1667" t="s">
        <v>28</v>
      </c>
      <c r="X1667" t="s">
        <v>68</v>
      </c>
    </row>
    <row r="1668" spans="1:24" x14ac:dyDescent="0.3">
      <c r="A1668" t="s">
        <v>2944</v>
      </c>
      <c r="B1668" t="s">
        <v>40</v>
      </c>
      <c r="C1668" t="s">
        <v>41</v>
      </c>
      <c r="D1668" t="str">
        <f t="shared" si="78"/>
        <v>Morning</v>
      </c>
      <c r="E1668">
        <f>HOUR(EV_Data[[#This Row],[Charging Start Time]])</f>
        <v>10</v>
      </c>
      <c r="F1668" s="1">
        <v>44996.416666666664</v>
      </c>
      <c r="G1668" s="1">
        <v>44996.436111111107</v>
      </c>
      <c r="H1668">
        <v>28</v>
      </c>
      <c r="I1668">
        <v>38.270000000000003</v>
      </c>
      <c r="J1668" t="str">
        <f t="shared" si="79"/>
        <v>Medium</v>
      </c>
      <c r="K1668" t="s">
        <v>42</v>
      </c>
      <c r="L1668">
        <v>78</v>
      </c>
      <c r="M1668">
        <v>100</v>
      </c>
      <c r="N1668" t="str">
        <f t="shared" si="80"/>
        <v>Medium Cost</v>
      </c>
      <c r="O1668">
        <v>13.15</v>
      </c>
      <c r="P1668" t="s">
        <v>23</v>
      </c>
      <c r="Q1668" t="s">
        <v>58</v>
      </c>
      <c r="R1668" t="s">
        <v>35</v>
      </c>
      <c r="S1668" t="s">
        <v>393</v>
      </c>
      <c r="T1668" t="s">
        <v>60</v>
      </c>
      <c r="U1668">
        <v>34</v>
      </c>
      <c r="V1668">
        <v>1</v>
      </c>
      <c r="W1668" t="s">
        <v>38</v>
      </c>
    </row>
    <row r="1669" spans="1:24" x14ac:dyDescent="0.3">
      <c r="A1669" t="s">
        <v>2945</v>
      </c>
      <c r="B1669" t="s">
        <v>20</v>
      </c>
      <c r="C1669" t="s">
        <v>21</v>
      </c>
      <c r="D1669" t="str">
        <f t="shared" si="78"/>
        <v>Morning</v>
      </c>
      <c r="E1669">
        <f>HOUR(EV_Data[[#This Row],[Charging Start Time]])</f>
        <v>11</v>
      </c>
      <c r="F1669" s="1">
        <v>44996.458333333336</v>
      </c>
      <c r="G1669" s="1">
        <v>44996.493750000001</v>
      </c>
      <c r="H1669">
        <v>51</v>
      </c>
      <c r="I1669">
        <v>26.98</v>
      </c>
      <c r="J1669" t="str">
        <f t="shared" si="79"/>
        <v>Medium</v>
      </c>
      <c r="K1669" t="s">
        <v>32</v>
      </c>
      <c r="L1669">
        <v>67</v>
      </c>
      <c r="M1669">
        <v>100</v>
      </c>
      <c r="N1669" t="str">
        <f t="shared" si="80"/>
        <v>Medium Cost</v>
      </c>
      <c r="O1669">
        <v>12.31</v>
      </c>
      <c r="P1669" t="s">
        <v>43</v>
      </c>
      <c r="Q1669" t="s">
        <v>34</v>
      </c>
      <c r="R1669" t="s">
        <v>56</v>
      </c>
      <c r="S1669" t="s">
        <v>1145</v>
      </c>
      <c r="T1669" t="s">
        <v>46</v>
      </c>
      <c r="U1669">
        <v>78</v>
      </c>
      <c r="V1669">
        <v>2.8</v>
      </c>
      <c r="W1669" t="s">
        <v>28</v>
      </c>
      <c r="X1669" t="s">
        <v>68</v>
      </c>
    </row>
    <row r="1670" spans="1:24" x14ac:dyDescent="0.3">
      <c r="A1670" t="s">
        <v>2946</v>
      </c>
      <c r="B1670" t="s">
        <v>40</v>
      </c>
      <c r="C1670" t="s">
        <v>41</v>
      </c>
      <c r="D1670" t="str">
        <f t="shared" si="78"/>
        <v>Afternoon</v>
      </c>
      <c r="E1670">
        <f>HOUR(EV_Data[[#This Row],[Charging Start Time]])</f>
        <v>12</v>
      </c>
      <c r="F1670" s="1">
        <v>44996.5</v>
      </c>
      <c r="G1670" s="1">
        <v>44996.540972222218</v>
      </c>
      <c r="H1670">
        <v>59</v>
      </c>
      <c r="I1670">
        <v>46.98</v>
      </c>
      <c r="J1670" t="str">
        <f t="shared" si="79"/>
        <v>Medium</v>
      </c>
      <c r="K1670" t="s">
        <v>22</v>
      </c>
      <c r="L1670">
        <v>71</v>
      </c>
      <c r="M1670">
        <v>100</v>
      </c>
      <c r="N1670" t="str">
        <f t="shared" si="80"/>
        <v>High Cost</v>
      </c>
      <c r="O1670">
        <v>22.1</v>
      </c>
      <c r="P1670" t="s">
        <v>23</v>
      </c>
      <c r="Q1670" t="s">
        <v>34</v>
      </c>
      <c r="R1670" t="s">
        <v>35</v>
      </c>
      <c r="S1670" t="s">
        <v>761</v>
      </c>
      <c r="T1670" t="s">
        <v>27</v>
      </c>
      <c r="U1670">
        <v>72</v>
      </c>
      <c r="V1670">
        <v>3.2</v>
      </c>
      <c r="W1670" t="s">
        <v>38</v>
      </c>
      <c r="X1670" t="s">
        <v>39</v>
      </c>
    </row>
    <row r="1671" spans="1:24" x14ac:dyDescent="0.3">
      <c r="A1671" t="s">
        <v>2947</v>
      </c>
      <c r="B1671" t="s">
        <v>40</v>
      </c>
      <c r="C1671" t="s">
        <v>41</v>
      </c>
      <c r="D1671" t="str">
        <f t="shared" si="78"/>
        <v>Afternoon</v>
      </c>
      <c r="E1671">
        <f>HOUR(EV_Data[[#This Row],[Charging Start Time]])</f>
        <v>13</v>
      </c>
      <c r="F1671" s="1">
        <v>44996.541666666664</v>
      </c>
      <c r="G1671" s="1">
        <v>44996.600694444453</v>
      </c>
      <c r="H1671">
        <v>85</v>
      </c>
      <c r="I1671">
        <v>48.72</v>
      </c>
      <c r="J1671" t="str">
        <f t="shared" si="79"/>
        <v>Medium</v>
      </c>
      <c r="K1671" t="s">
        <v>32</v>
      </c>
      <c r="L1671">
        <v>76</v>
      </c>
      <c r="M1671">
        <v>100</v>
      </c>
      <c r="N1671" t="str">
        <f t="shared" si="80"/>
        <v>High Cost</v>
      </c>
      <c r="O1671">
        <v>24.25</v>
      </c>
      <c r="P1671" t="s">
        <v>51</v>
      </c>
      <c r="Q1671" t="s">
        <v>48</v>
      </c>
      <c r="R1671" t="s">
        <v>25</v>
      </c>
      <c r="S1671" t="s">
        <v>430</v>
      </c>
      <c r="T1671" t="s">
        <v>60</v>
      </c>
      <c r="U1671">
        <v>79</v>
      </c>
      <c r="V1671">
        <v>4.0999999999999996</v>
      </c>
      <c r="W1671" t="s">
        <v>38</v>
      </c>
    </row>
    <row r="1672" spans="1:24" x14ac:dyDescent="0.3">
      <c r="A1672" t="s">
        <v>2948</v>
      </c>
      <c r="B1672" t="s">
        <v>77</v>
      </c>
      <c r="C1672" t="s">
        <v>78</v>
      </c>
      <c r="D1672" t="str">
        <f t="shared" si="78"/>
        <v>Afternoon</v>
      </c>
      <c r="E1672">
        <f>HOUR(EV_Data[[#This Row],[Charging Start Time]])</f>
        <v>14</v>
      </c>
      <c r="F1672" s="1">
        <v>44996.583333333336</v>
      </c>
      <c r="G1672" s="1">
        <v>44996.625</v>
      </c>
      <c r="H1672">
        <v>60</v>
      </c>
      <c r="I1672">
        <v>5.15</v>
      </c>
      <c r="J1672" t="str">
        <f t="shared" si="79"/>
        <v>Low</v>
      </c>
      <c r="K1672" t="s">
        <v>32</v>
      </c>
      <c r="L1672">
        <v>75</v>
      </c>
      <c r="M1672">
        <v>85</v>
      </c>
      <c r="N1672" t="str">
        <f t="shared" si="80"/>
        <v>Low Cost</v>
      </c>
      <c r="O1672">
        <v>1.1599999999999999</v>
      </c>
      <c r="P1672" t="s">
        <v>64</v>
      </c>
      <c r="Q1672" t="s">
        <v>24</v>
      </c>
      <c r="R1672" t="s">
        <v>25</v>
      </c>
      <c r="S1672" t="s">
        <v>1146</v>
      </c>
      <c r="T1672" t="s">
        <v>27</v>
      </c>
      <c r="U1672">
        <v>85</v>
      </c>
      <c r="V1672">
        <v>1.5</v>
      </c>
      <c r="W1672" t="s">
        <v>28</v>
      </c>
      <c r="X1672" t="s">
        <v>68</v>
      </c>
    </row>
    <row r="1673" spans="1:24" x14ac:dyDescent="0.3">
      <c r="A1673" t="s">
        <v>2949</v>
      </c>
      <c r="B1673" t="s">
        <v>71</v>
      </c>
      <c r="C1673" t="s">
        <v>72</v>
      </c>
      <c r="D1673" t="str">
        <f t="shared" si="78"/>
        <v>Afternoon</v>
      </c>
      <c r="E1673">
        <f>HOUR(EV_Data[[#This Row],[Charging Start Time]])</f>
        <v>15</v>
      </c>
      <c r="F1673" s="1">
        <v>44996.625</v>
      </c>
      <c r="G1673" s="1">
        <v>44996.661805555559</v>
      </c>
      <c r="H1673">
        <v>53</v>
      </c>
      <c r="I1673">
        <v>13.98</v>
      </c>
      <c r="J1673" t="str">
        <f t="shared" si="79"/>
        <v>Low</v>
      </c>
      <c r="K1673" t="s">
        <v>42</v>
      </c>
      <c r="L1673">
        <v>26</v>
      </c>
      <c r="M1673">
        <v>46</v>
      </c>
      <c r="N1673" t="str">
        <f t="shared" si="80"/>
        <v>Low Cost</v>
      </c>
      <c r="O1673">
        <v>3.21</v>
      </c>
      <c r="P1673" t="s">
        <v>23</v>
      </c>
      <c r="Q1673" t="s">
        <v>24</v>
      </c>
      <c r="R1673" t="s">
        <v>25</v>
      </c>
      <c r="S1673" t="s">
        <v>1147</v>
      </c>
      <c r="T1673" t="s">
        <v>27</v>
      </c>
      <c r="U1673">
        <v>23</v>
      </c>
      <c r="V1673">
        <v>2.7</v>
      </c>
      <c r="W1673" t="s">
        <v>47</v>
      </c>
      <c r="X1673" t="s">
        <v>29</v>
      </c>
    </row>
    <row r="1674" spans="1:24" x14ac:dyDescent="0.3">
      <c r="A1674" t="s">
        <v>2950</v>
      </c>
      <c r="B1674" t="s">
        <v>71</v>
      </c>
      <c r="C1674" t="s">
        <v>72</v>
      </c>
      <c r="D1674" t="str">
        <f t="shared" si="78"/>
        <v>Afternoon</v>
      </c>
      <c r="E1674">
        <f>HOUR(EV_Data[[#This Row],[Charging Start Time]])</f>
        <v>16</v>
      </c>
      <c r="F1674" s="1">
        <v>44996.666666666664</v>
      </c>
      <c r="G1674" s="1">
        <v>44996.674305555563</v>
      </c>
      <c r="H1674">
        <v>11</v>
      </c>
      <c r="I1674">
        <v>26.5</v>
      </c>
      <c r="J1674" t="str">
        <f t="shared" si="79"/>
        <v>Medium</v>
      </c>
      <c r="K1674" t="s">
        <v>69</v>
      </c>
      <c r="L1674">
        <v>38</v>
      </c>
      <c r="M1674">
        <v>69</v>
      </c>
      <c r="N1674" t="str">
        <f t="shared" si="80"/>
        <v>Medium Cost</v>
      </c>
      <c r="O1674">
        <v>11.57</v>
      </c>
      <c r="P1674" t="s">
        <v>64</v>
      </c>
      <c r="Q1674" t="s">
        <v>58</v>
      </c>
      <c r="R1674" t="s">
        <v>56</v>
      </c>
      <c r="S1674" t="s">
        <v>1148</v>
      </c>
      <c r="T1674" t="s">
        <v>46</v>
      </c>
      <c r="U1674">
        <v>55</v>
      </c>
      <c r="V1674">
        <v>4.7</v>
      </c>
      <c r="W1674" t="s">
        <v>47</v>
      </c>
      <c r="X1674" t="s">
        <v>29</v>
      </c>
    </row>
    <row r="1675" spans="1:24" x14ac:dyDescent="0.3">
      <c r="A1675" t="s">
        <v>2951</v>
      </c>
      <c r="B1675" t="s">
        <v>71</v>
      </c>
      <c r="C1675" t="s">
        <v>72</v>
      </c>
      <c r="D1675" t="str">
        <f t="shared" si="78"/>
        <v>Evening</v>
      </c>
      <c r="E1675">
        <f>HOUR(EV_Data[[#This Row],[Charging Start Time]])</f>
        <v>17</v>
      </c>
      <c r="F1675" s="1">
        <v>44996.708333333336</v>
      </c>
      <c r="G1675" s="1">
        <v>44996.722916666673</v>
      </c>
      <c r="H1675">
        <v>21</v>
      </c>
      <c r="I1675">
        <v>14.79</v>
      </c>
      <c r="J1675" t="str">
        <f t="shared" si="79"/>
        <v>Low</v>
      </c>
      <c r="K1675" t="s">
        <v>22</v>
      </c>
      <c r="L1675">
        <v>71</v>
      </c>
      <c r="M1675">
        <v>90</v>
      </c>
      <c r="N1675" t="str">
        <f t="shared" si="80"/>
        <v>Low Cost</v>
      </c>
      <c r="O1675">
        <v>6.18</v>
      </c>
      <c r="P1675" t="s">
        <v>33</v>
      </c>
      <c r="Q1675" t="s">
        <v>58</v>
      </c>
      <c r="R1675" t="s">
        <v>35</v>
      </c>
      <c r="S1675" t="s">
        <v>664</v>
      </c>
      <c r="T1675" t="s">
        <v>60</v>
      </c>
      <c r="U1675">
        <v>95</v>
      </c>
      <c r="V1675">
        <v>1.1000000000000001</v>
      </c>
      <c r="W1675" t="s">
        <v>28</v>
      </c>
      <c r="X1675" t="s">
        <v>68</v>
      </c>
    </row>
    <row r="1676" spans="1:24" x14ac:dyDescent="0.3">
      <c r="A1676" t="s">
        <v>2952</v>
      </c>
      <c r="B1676" t="s">
        <v>30</v>
      </c>
      <c r="C1676" t="s">
        <v>102</v>
      </c>
      <c r="D1676" t="str">
        <f t="shared" si="78"/>
        <v>Evening</v>
      </c>
      <c r="E1676">
        <f>HOUR(EV_Data[[#This Row],[Charging Start Time]])</f>
        <v>18</v>
      </c>
      <c r="F1676" s="1">
        <v>44996.75</v>
      </c>
      <c r="G1676" s="1">
        <v>44996.802083333343</v>
      </c>
      <c r="H1676">
        <v>75</v>
      </c>
      <c r="I1676">
        <v>13.22</v>
      </c>
      <c r="J1676" t="str">
        <f t="shared" si="79"/>
        <v>Low</v>
      </c>
      <c r="K1676" t="s">
        <v>69</v>
      </c>
      <c r="L1676">
        <v>66</v>
      </c>
      <c r="M1676">
        <v>93</v>
      </c>
      <c r="N1676" t="str">
        <f t="shared" si="80"/>
        <v>Low Cost</v>
      </c>
      <c r="O1676">
        <v>4.9000000000000004</v>
      </c>
      <c r="P1676" t="s">
        <v>64</v>
      </c>
      <c r="Q1676" t="s">
        <v>58</v>
      </c>
      <c r="R1676" t="s">
        <v>44</v>
      </c>
      <c r="S1676" t="s">
        <v>1149</v>
      </c>
      <c r="T1676" t="s">
        <v>27</v>
      </c>
      <c r="U1676">
        <v>48</v>
      </c>
      <c r="V1676">
        <v>1.6</v>
      </c>
      <c r="W1676" t="s">
        <v>28</v>
      </c>
      <c r="X1676" t="s">
        <v>68</v>
      </c>
    </row>
    <row r="1677" spans="1:24" x14ac:dyDescent="0.3">
      <c r="A1677" t="s">
        <v>2953</v>
      </c>
      <c r="B1677" t="s">
        <v>30</v>
      </c>
      <c r="C1677" t="s">
        <v>102</v>
      </c>
      <c r="D1677" t="str">
        <f t="shared" si="78"/>
        <v>Evening</v>
      </c>
      <c r="E1677">
        <f>HOUR(EV_Data[[#This Row],[Charging Start Time]])</f>
        <v>19</v>
      </c>
      <c r="F1677" s="1">
        <v>44996.791666666664</v>
      </c>
      <c r="G1677" s="1">
        <v>44996.817361111112</v>
      </c>
      <c r="H1677">
        <v>37</v>
      </c>
      <c r="I1677">
        <v>24.3</v>
      </c>
      <c r="J1677" t="str">
        <f t="shared" si="79"/>
        <v>Medium</v>
      </c>
      <c r="K1677" t="s">
        <v>69</v>
      </c>
      <c r="L1677">
        <v>43</v>
      </c>
      <c r="M1677">
        <v>63</v>
      </c>
      <c r="N1677" t="str">
        <f t="shared" si="80"/>
        <v>Medium Cost</v>
      </c>
      <c r="O1677">
        <v>8.1999999999999993</v>
      </c>
      <c r="P1677" t="s">
        <v>43</v>
      </c>
      <c r="Q1677" t="s">
        <v>48</v>
      </c>
      <c r="R1677" t="s">
        <v>44</v>
      </c>
      <c r="S1677" t="s">
        <v>1150</v>
      </c>
      <c r="T1677" t="s">
        <v>46</v>
      </c>
      <c r="U1677">
        <v>85</v>
      </c>
      <c r="V1677">
        <v>2.5</v>
      </c>
      <c r="W1677" t="s">
        <v>28</v>
      </c>
      <c r="X1677" t="s">
        <v>68</v>
      </c>
    </row>
    <row r="1678" spans="1:24" x14ac:dyDescent="0.3">
      <c r="A1678" t="s">
        <v>2954</v>
      </c>
      <c r="B1678" t="s">
        <v>92</v>
      </c>
      <c r="C1678" t="s">
        <v>93</v>
      </c>
      <c r="D1678" t="str">
        <f t="shared" si="78"/>
        <v>Evening</v>
      </c>
      <c r="E1678">
        <f>HOUR(EV_Data[[#This Row],[Charging Start Time]])</f>
        <v>20</v>
      </c>
      <c r="F1678" s="1">
        <v>44996.833333333336</v>
      </c>
      <c r="G1678" s="1">
        <v>44996.879861111112</v>
      </c>
      <c r="H1678">
        <v>67</v>
      </c>
      <c r="I1678">
        <v>48.06</v>
      </c>
      <c r="J1678" t="str">
        <f t="shared" si="79"/>
        <v>Medium</v>
      </c>
      <c r="K1678" t="s">
        <v>55</v>
      </c>
      <c r="L1678">
        <v>70</v>
      </c>
      <c r="M1678">
        <v>100</v>
      </c>
      <c r="N1678" t="str">
        <f t="shared" si="80"/>
        <v>High Cost</v>
      </c>
      <c r="O1678">
        <v>23.03</v>
      </c>
      <c r="P1678" t="s">
        <v>43</v>
      </c>
      <c r="Q1678" t="s">
        <v>58</v>
      </c>
      <c r="R1678" t="s">
        <v>44</v>
      </c>
      <c r="S1678" t="s">
        <v>1151</v>
      </c>
      <c r="T1678" t="s">
        <v>60</v>
      </c>
      <c r="U1678">
        <v>60</v>
      </c>
      <c r="V1678">
        <v>2.2000000000000002</v>
      </c>
      <c r="W1678" t="s">
        <v>28</v>
      </c>
      <c r="X1678" t="s">
        <v>68</v>
      </c>
    </row>
    <row r="1679" spans="1:24" x14ac:dyDescent="0.3">
      <c r="A1679" t="s">
        <v>2955</v>
      </c>
      <c r="B1679" t="s">
        <v>53</v>
      </c>
      <c r="C1679" t="s">
        <v>54</v>
      </c>
      <c r="D1679" t="str">
        <f t="shared" si="78"/>
        <v>Evening</v>
      </c>
      <c r="E1679">
        <f>HOUR(EV_Data[[#This Row],[Charging Start Time]])</f>
        <v>21</v>
      </c>
      <c r="F1679" s="1">
        <v>44996.875</v>
      </c>
      <c r="G1679" s="1">
        <v>44996.90347222222</v>
      </c>
      <c r="H1679">
        <v>41</v>
      </c>
      <c r="I1679">
        <v>36.47</v>
      </c>
      <c r="J1679" t="str">
        <f t="shared" si="79"/>
        <v>Medium</v>
      </c>
      <c r="K1679" t="s">
        <v>55</v>
      </c>
      <c r="L1679">
        <v>61</v>
      </c>
      <c r="M1679">
        <v>100</v>
      </c>
      <c r="N1679" t="str">
        <f t="shared" si="80"/>
        <v>High Cost</v>
      </c>
      <c r="O1679">
        <v>17.05</v>
      </c>
      <c r="P1679" t="s">
        <v>33</v>
      </c>
      <c r="Q1679" t="s">
        <v>58</v>
      </c>
      <c r="R1679" t="s">
        <v>44</v>
      </c>
      <c r="S1679" t="s">
        <v>698</v>
      </c>
      <c r="T1679" t="s">
        <v>27</v>
      </c>
      <c r="U1679">
        <v>41</v>
      </c>
      <c r="V1679">
        <v>4.9000000000000004</v>
      </c>
      <c r="W1679" t="s">
        <v>47</v>
      </c>
      <c r="X1679" t="s">
        <v>29</v>
      </c>
    </row>
    <row r="1680" spans="1:24" x14ac:dyDescent="0.3">
      <c r="A1680" t="s">
        <v>2956</v>
      </c>
      <c r="B1680" t="s">
        <v>20</v>
      </c>
      <c r="C1680" t="s">
        <v>21</v>
      </c>
      <c r="D1680" t="str">
        <f t="shared" si="78"/>
        <v>Evening</v>
      </c>
      <c r="E1680">
        <f>HOUR(EV_Data[[#This Row],[Charging Start Time]])</f>
        <v>22</v>
      </c>
      <c r="F1680" s="1">
        <v>44996.916666666664</v>
      </c>
      <c r="G1680" s="1">
        <v>44996.917361111111</v>
      </c>
      <c r="H1680">
        <v>1</v>
      </c>
      <c r="I1680">
        <v>23.44</v>
      </c>
      <c r="J1680" t="str">
        <f t="shared" si="79"/>
        <v>Medium</v>
      </c>
      <c r="K1680" t="s">
        <v>55</v>
      </c>
      <c r="L1680">
        <v>17</v>
      </c>
      <c r="M1680">
        <v>45</v>
      </c>
      <c r="N1680" t="str">
        <f t="shared" si="80"/>
        <v>Medium Cost</v>
      </c>
      <c r="O1680">
        <v>10.14</v>
      </c>
      <c r="P1680" t="s">
        <v>64</v>
      </c>
      <c r="Q1680" t="s">
        <v>58</v>
      </c>
      <c r="R1680" t="s">
        <v>35</v>
      </c>
      <c r="S1680" t="s">
        <v>1091</v>
      </c>
      <c r="T1680" t="s">
        <v>46</v>
      </c>
      <c r="U1680">
        <v>27</v>
      </c>
      <c r="V1680">
        <v>4.8</v>
      </c>
      <c r="W1680" t="s">
        <v>28</v>
      </c>
      <c r="X1680" t="s">
        <v>68</v>
      </c>
    </row>
    <row r="1681" spans="1:24" x14ac:dyDescent="0.3">
      <c r="A1681" t="s">
        <v>2957</v>
      </c>
      <c r="B1681" t="s">
        <v>20</v>
      </c>
      <c r="C1681" t="s">
        <v>21</v>
      </c>
      <c r="D1681" t="str">
        <f t="shared" si="78"/>
        <v>Evening</v>
      </c>
      <c r="E1681">
        <f>HOUR(EV_Data[[#This Row],[Charging Start Time]])</f>
        <v>23</v>
      </c>
      <c r="F1681" s="1">
        <v>44996.958333333336</v>
      </c>
      <c r="G1681" s="1">
        <v>44996.996527777781</v>
      </c>
      <c r="H1681">
        <v>55</v>
      </c>
      <c r="I1681">
        <v>42.46</v>
      </c>
      <c r="J1681" t="str">
        <f t="shared" si="79"/>
        <v>Medium</v>
      </c>
      <c r="K1681" t="s">
        <v>50</v>
      </c>
      <c r="L1681">
        <v>60</v>
      </c>
      <c r="M1681">
        <v>97</v>
      </c>
      <c r="N1681" t="str">
        <f t="shared" si="80"/>
        <v>High Cost</v>
      </c>
      <c r="O1681">
        <v>17.54</v>
      </c>
      <c r="P1681" t="s">
        <v>43</v>
      </c>
      <c r="Q1681" t="s">
        <v>34</v>
      </c>
      <c r="R1681" t="s">
        <v>56</v>
      </c>
      <c r="S1681" t="s">
        <v>1152</v>
      </c>
      <c r="T1681" t="s">
        <v>37</v>
      </c>
      <c r="U1681">
        <v>56</v>
      </c>
      <c r="V1681">
        <v>4.5</v>
      </c>
      <c r="W1681" t="s">
        <v>28</v>
      </c>
      <c r="X1681" t="s">
        <v>68</v>
      </c>
    </row>
    <row r="1682" spans="1:24" x14ac:dyDescent="0.3">
      <c r="A1682" t="s">
        <v>2958</v>
      </c>
      <c r="B1682" t="s">
        <v>126</v>
      </c>
      <c r="C1682" t="s">
        <v>31</v>
      </c>
      <c r="D1682" t="str">
        <f t="shared" si="78"/>
        <v>Morning</v>
      </c>
      <c r="E1682">
        <f>HOUR(EV_Data[[#This Row],[Charging Start Time]])</f>
        <v>0</v>
      </c>
      <c r="F1682" s="1">
        <v>44997</v>
      </c>
      <c r="G1682" s="1">
        <v>44997.063194444447</v>
      </c>
      <c r="H1682">
        <v>91</v>
      </c>
      <c r="I1682">
        <v>44.44</v>
      </c>
      <c r="J1682" t="str">
        <f t="shared" si="79"/>
        <v>Medium</v>
      </c>
      <c r="K1682" t="s">
        <v>32</v>
      </c>
      <c r="L1682">
        <v>75</v>
      </c>
      <c r="M1682">
        <v>100</v>
      </c>
      <c r="N1682" t="str">
        <f t="shared" si="80"/>
        <v>Medium Cost</v>
      </c>
      <c r="O1682">
        <v>15.89</v>
      </c>
      <c r="P1682" t="s">
        <v>51</v>
      </c>
      <c r="Q1682" t="s">
        <v>48</v>
      </c>
      <c r="R1682" t="s">
        <v>35</v>
      </c>
      <c r="S1682" t="s">
        <v>895</v>
      </c>
      <c r="T1682" t="s">
        <v>46</v>
      </c>
      <c r="U1682">
        <v>42</v>
      </c>
      <c r="V1682">
        <v>1.7</v>
      </c>
      <c r="W1682" t="s">
        <v>38</v>
      </c>
    </row>
    <row r="1683" spans="1:24" x14ac:dyDescent="0.3">
      <c r="A1683" t="s">
        <v>2959</v>
      </c>
      <c r="B1683" t="s">
        <v>92</v>
      </c>
      <c r="C1683" t="s">
        <v>93</v>
      </c>
      <c r="D1683" t="str">
        <f t="shared" si="78"/>
        <v>Morning</v>
      </c>
      <c r="E1683">
        <f>HOUR(EV_Data[[#This Row],[Charging Start Time]])</f>
        <v>1</v>
      </c>
      <c r="F1683" s="1">
        <v>44997.041666666664</v>
      </c>
      <c r="G1683" s="1">
        <v>44997.09097222222</v>
      </c>
      <c r="H1683">
        <v>71</v>
      </c>
      <c r="I1683">
        <v>39.380000000000003</v>
      </c>
      <c r="J1683" t="str">
        <f t="shared" si="79"/>
        <v>Medium</v>
      </c>
      <c r="K1683" t="s">
        <v>55</v>
      </c>
      <c r="L1683">
        <v>7</v>
      </c>
      <c r="M1683">
        <v>31</v>
      </c>
      <c r="N1683" t="str">
        <f t="shared" si="80"/>
        <v>Medium Cost</v>
      </c>
      <c r="O1683">
        <v>15.49</v>
      </c>
      <c r="P1683" t="s">
        <v>23</v>
      </c>
      <c r="Q1683" t="s">
        <v>48</v>
      </c>
      <c r="R1683" t="s">
        <v>56</v>
      </c>
      <c r="S1683" t="s">
        <v>1153</v>
      </c>
      <c r="T1683" t="s">
        <v>37</v>
      </c>
      <c r="U1683">
        <v>93</v>
      </c>
      <c r="V1683">
        <v>1</v>
      </c>
      <c r="W1683" t="s">
        <v>47</v>
      </c>
      <c r="X1683" t="s">
        <v>29</v>
      </c>
    </row>
    <row r="1684" spans="1:24" x14ac:dyDescent="0.3">
      <c r="A1684" t="s">
        <v>2960</v>
      </c>
      <c r="B1684" t="s">
        <v>40</v>
      </c>
      <c r="C1684" t="s">
        <v>41</v>
      </c>
      <c r="D1684" t="str">
        <f t="shared" si="78"/>
        <v>Morning</v>
      </c>
      <c r="E1684">
        <f>HOUR(EV_Data[[#This Row],[Charging Start Time]])</f>
        <v>2</v>
      </c>
      <c r="F1684" s="1">
        <v>44997.083333333336</v>
      </c>
      <c r="G1684" s="1">
        <v>44997.084027777782</v>
      </c>
      <c r="H1684">
        <v>1</v>
      </c>
      <c r="I1684">
        <v>41.38</v>
      </c>
      <c r="J1684" t="str">
        <f t="shared" si="79"/>
        <v>Medium</v>
      </c>
      <c r="K1684" t="s">
        <v>22</v>
      </c>
      <c r="L1684">
        <v>16</v>
      </c>
      <c r="M1684">
        <v>31</v>
      </c>
      <c r="N1684" t="str">
        <f t="shared" si="80"/>
        <v>High Cost</v>
      </c>
      <c r="O1684">
        <v>20.45</v>
      </c>
      <c r="P1684" t="s">
        <v>64</v>
      </c>
      <c r="Q1684" t="s">
        <v>24</v>
      </c>
      <c r="R1684" t="s">
        <v>35</v>
      </c>
      <c r="S1684" t="s">
        <v>658</v>
      </c>
      <c r="T1684" t="s">
        <v>37</v>
      </c>
      <c r="U1684">
        <v>94</v>
      </c>
      <c r="V1684">
        <v>1.5</v>
      </c>
      <c r="W1684" t="s">
        <v>47</v>
      </c>
      <c r="X1684" t="s">
        <v>29</v>
      </c>
    </row>
    <row r="1685" spans="1:24" x14ac:dyDescent="0.3">
      <c r="A1685" t="s">
        <v>2961</v>
      </c>
      <c r="B1685" t="s">
        <v>71</v>
      </c>
      <c r="C1685" t="s">
        <v>72</v>
      </c>
      <c r="D1685" t="str">
        <f t="shared" si="78"/>
        <v>Morning</v>
      </c>
      <c r="E1685">
        <f>HOUR(EV_Data[[#This Row],[Charging Start Time]])</f>
        <v>3</v>
      </c>
      <c r="F1685" s="1">
        <v>44997.125</v>
      </c>
      <c r="G1685" s="1">
        <v>44997.181250000001</v>
      </c>
      <c r="H1685">
        <v>81</v>
      </c>
      <c r="I1685">
        <v>13.78</v>
      </c>
      <c r="J1685" t="str">
        <f t="shared" si="79"/>
        <v>Low</v>
      </c>
      <c r="K1685" t="s">
        <v>69</v>
      </c>
      <c r="L1685">
        <v>26</v>
      </c>
      <c r="M1685">
        <v>44</v>
      </c>
      <c r="N1685" t="str">
        <f t="shared" si="80"/>
        <v>Low Cost</v>
      </c>
      <c r="O1685">
        <v>4.62</v>
      </c>
      <c r="P1685" t="s">
        <v>51</v>
      </c>
      <c r="Q1685" t="s">
        <v>34</v>
      </c>
      <c r="R1685" t="s">
        <v>56</v>
      </c>
      <c r="S1685" t="s">
        <v>1154</v>
      </c>
      <c r="T1685" t="s">
        <v>37</v>
      </c>
      <c r="U1685">
        <v>28</v>
      </c>
      <c r="V1685">
        <v>2.6</v>
      </c>
      <c r="W1685" t="s">
        <v>47</v>
      </c>
      <c r="X1685" t="s">
        <v>29</v>
      </c>
    </row>
    <row r="1686" spans="1:24" x14ac:dyDescent="0.3">
      <c r="A1686" t="s">
        <v>2962</v>
      </c>
      <c r="B1686" t="s">
        <v>40</v>
      </c>
      <c r="C1686" t="s">
        <v>41</v>
      </c>
      <c r="D1686" t="str">
        <f t="shared" si="78"/>
        <v>Morning</v>
      </c>
      <c r="E1686">
        <f>HOUR(EV_Data[[#This Row],[Charging Start Time]])</f>
        <v>4</v>
      </c>
      <c r="F1686" s="1">
        <v>44997.166666666664</v>
      </c>
      <c r="G1686" s="1">
        <v>44997.220138888893</v>
      </c>
      <c r="H1686">
        <v>77</v>
      </c>
      <c r="I1686">
        <v>45.49</v>
      </c>
      <c r="J1686" t="str">
        <f t="shared" si="79"/>
        <v>Medium</v>
      </c>
      <c r="K1686" t="s">
        <v>55</v>
      </c>
      <c r="L1686">
        <v>52</v>
      </c>
      <c r="M1686">
        <v>66</v>
      </c>
      <c r="N1686" t="str">
        <f t="shared" si="80"/>
        <v>Medium Cost</v>
      </c>
      <c r="O1686">
        <v>11.88</v>
      </c>
      <c r="P1686" t="s">
        <v>43</v>
      </c>
      <c r="Q1686" t="s">
        <v>58</v>
      </c>
      <c r="R1686" t="s">
        <v>35</v>
      </c>
      <c r="S1686" t="s">
        <v>1155</v>
      </c>
      <c r="T1686" t="s">
        <v>60</v>
      </c>
      <c r="U1686">
        <v>71</v>
      </c>
      <c r="V1686">
        <v>2.2999999999999998</v>
      </c>
      <c r="W1686" t="s">
        <v>28</v>
      </c>
      <c r="X1686" t="s">
        <v>68</v>
      </c>
    </row>
    <row r="1687" spans="1:24" x14ac:dyDescent="0.3">
      <c r="A1687" t="s">
        <v>2963</v>
      </c>
      <c r="B1687" t="s">
        <v>53</v>
      </c>
      <c r="C1687" t="s">
        <v>54</v>
      </c>
      <c r="D1687" t="str">
        <f t="shared" si="78"/>
        <v>Morning</v>
      </c>
      <c r="E1687">
        <f>HOUR(EV_Data[[#This Row],[Charging Start Time]])</f>
        <v>5</v>
      </c>
      <c r="F1687" s="1">
        <v>44997.208333333336</v>
      </c>
      <c r="G1687" s="1">
        <v>44997.247916666667</v>
      </c>
      <c r="H1687">
        <v>57</v>
      </c>
      <c r="I1687">
        <v>8.99</v>
      </c>
      <c r="J1687" t="str">
        <f t="shared" si="79"/>
        <v>Low</v>
      </c>
      <c r="K1687" t="s">
        <v>32</v>
      </c>
      <c r="L1687">
        <v>37</v>
      </c>
      <c r="M1687">
        <v>74</v>
      </c>
      <c r="N1687" t="str">
        <f t="shared" si="80"/>
        <v>Low Cost</v>
      </c>
      <c r="O1687">
        <v>4.3099999999999996</v>
      </c>
      <c r="P1687" t="s">
        <v>33</v>
      </c>
      <c r="Q1687" t="s">
        <v>34</v>
      </c>
      <c r="R1687" t="s">
        <v>25</v>
      </c>
      <c r="S1687" t="s">
        <v>959</v>
      </c>
      <c r="T1687" t="s">
        <v>27</v>
      </c>
      <c r="U1687">
        <v>10</v>
      </c>
      <c r="V1687">
        <v>3.8</v>
      </c>
      <c r="W1687" t="s">
        <v>38</v>
      </c>
      <c r="X1687" t="s">
        <v>85</v>
      </c>
    </row>
    <row r="1688" spans="1:24" x14ac:dyDescent="0.3">
      <c r="A1688" t="s">
        <v>2964</v>
      </c>
      <c r="B1688" t="s">
        <v>53</v>
      </c>
      <c r="C1688" t="s">
        <v>54</v>
      </c>
      <c r="D1688" t="str">
        <f t="shared" si="78"/>
        <v>Morning</v>
      </c>
      <c r="E1688">
        <f>HOUR(EV_Data[[#This Row],[Charging Start Time]])</f>
        <v>6</v>
      </c>
      <c r="F1688" s="1">
        <v>44997.25</v>
      </c>
      <c r="G1688" s="1">
        <v>44997.275694444441</v>
      </c>
      <c r="H1688">
        <v>37</v>
      </c>
      <c r="I1688">
        <v>26.54</v>
      </c>
      <c r="J1688" t="str">
        <f t="shared" si="79"/>
        <v>Medium</v>
      </c>
      <c r="K1688" t="s">
        <v>55</v>
      </c>
      <c r="L1688">
        <v>24</v>
      </c>
      <c r="M1688">
        <v>64</v>
      </c>
      <c r="N1688" t="str">
        <f t="shared" si="80"/>
        <v>Low Cost</v>
      </c>
      <c r="O1688">
        <v>7.83</v>
      </c>
      <c r="P1688" t="s">
        <v>33</v>
      </c>
      <c r="Q1688" t="s">
        <v>34</v>
      </c>
      <c r="R1688" t="s">
        <v>25</v>
      </c>
      <c r="S1688" t="s">
        <v>1156</v>
      </c>
      <c r="T1688" t="s">
        <v>46</v>
      </c>
      <c r="U1688">
        <v>55</v>
      </c>
      <c r="V1688">
        <v>2.7</v>
      </c>
      <c r="W1688" t="s">
        <v>47</v>
      </c>
      <c r="X1688" t="s">
        <v>29</v>
      </c>
    </row>
    <row r="1689" spans="1:24" x14ac:dyDescent="0.3">
      <c r="A1689" t="s">
        <v>2965</v>
      </c>
      <c r="B1689" t="s">
        <v>92</v>
      </c>
      <c r="C1689" t="s">
        <v>93</v>
      </c>
      <c r="D1689" t="str">
        <f t="shared" si="78"/>
        <v>Morning</v>
      </c>
      <c r="E1689">
        <f>HOUR(EV_Data[[#This Row],[Charging Start Time]])</f>
        <v>7</v>
      </c>
      <c r="F1689" s="1">
        <v>44997.291666666664</v>
      </c>
      <c r="G1689" s="1">
        <v>44997.316666666673</v>
      </c>
      <c r="H1689">
        <v>36</v>
      </c>
      <c r="I1689">
        <v>48.54</v>
      </c>
      <c r="J1689" t="str">
        <f t="shared" si="79"/>
        <v>Medium</v>
      </c>
      <c r="K1689" t="s">
        <v>50</v>
      </c>
      <c r="L1689">
        <v>47</v>
      </c>
      <c r="M1689">
        <v>76</v>
      </c>
      <c r="N1689" t="str">
        <f t="shared" si="80"/>
        <v>High Cost</v>
      </c>
      <c r="O1689">
        <v>19.37</v>
      </c>
      <c r="P1689" t="s">
        <v>23</v>
      </c>
      <c r="Q1689" t="s">
        <v>24</v>
      </c>
      <c r="R1689" t="s">
        <v>56</v>
      </c>
      <c r="S1689" t="s">
        <v>599</v>
      </c>
      <c r="T1689" t="s">
        <v>27</v>
      </c>
      <c r="U1689">
        <v>62</v>
      </c>
      <c r="V1689">
        <v>4.5999999999999996</v>
      </c>
      <c r="W1689" t="s">
        <v>47</v>
      </c>
      <c r="X1689" t="s">
        <v>29</v>
      </c>
    </row>
    <row r="1690" spans="1:24" x14ac:dyDescent="0.3">
      <c r="A1690" t="s">
        <v>2966</v>
      </c>
      <c r="B1690" t="s">
        <v>126</v>
      </c>
      <c r="C1690" t="s">
        <v>31</v>
      </c>
      <c r="D1690" t="str">
        <f t="shared" si="78"/>
        <v>Morning</v>
      </c>
      <c r="E1690">
        <f>HOUR(EV_Data[[#This Row],[Charging Start Time]])</f>
        <v>8</v>
      </c>
      <c r="F1690" s="1">
        <v>44997.333333333336</v>
      </c>
      <c r="G1690" s="1">
        <v>44997.378472222219</v>
      </c>
      <c r="H1690">
        <v>65</v>
      </c>
      <c r="I1690">
        <v>43.05</v>
      </c>
      <c r="J1690" t="str">
        <f t="shared" si="79"/>
        <v>Medium</v>
      </c>
      <c r="K1690" t="s">
        <v>50</v>
      </c>
      <c r="L1690">
        <v>77</v>
      </c>
      <c r="M1690">
        <v>100</v>
      </c>
      <c r="N1690" t="str">
        <f t="shared" si="80"/>
        <v>High Cost</v>
      </c>
      <c r="O1690">
        <v>20.45</v>
      </c>
      <c r="P1690" t="s">
        <v>33</v>
      </c>
      <c r="Q1690" t="s">
        <v>34</v>
      </c>
      <c r="R1690" t="s">
        <v>44</v>
      </c>
      <c r="S1690" t="s">
        <v>970</v>
      </c>
      <c r="T1690" t="s">
        <v>37</v>
      </c>
      <c r="U1690">
        <v>16</v>
      </c>
      <c r="V1690">
        <v>2.2000000000000002</v>
      </c>
      <c r="W1690" t="s">
        <v>47</v>
      </c>
      <c r="X1690" t="s">
        <v>29</v>
      </c>
    </row>
    <row r="1691" spans="1:24" x14ac:dyDescent="0.3">
      <c r="A1691" t="s">
        <v>2967</v>
      </c>
      <c r="B1691" t="s">
        <v>20</v>
      </c>
      <c r="C1691" t="s">
        <v>21</v>
      </c>
      <c r="D1691" t="str">
        <f t="shared" si="78"/>
        <v>Morning</v>
      </c>
      <c r="E1691">
        <f>HOUR(EV_Data[[#This Row],[Charging Start Time]])</f>
        <v>9</v>
      </c>
      <c r="F1691" s="1">
        <v>44997.375</v>
      </c>
      <c r="G1691" s="1">
        <v>44997.42291666667</v>
      </c>
      <c r="H1691">
        <v>69</v>
      </c>
      <c r="I1691">
        <v>47.71</v>
      </c>
      <c r="J1691" t="str">
        <f t="shared" si="79"/>
        <v>Medium</v>
      </c>
      <c r="K1691" t="s">
        <v>22</v>
      </c>
      <c r="L1691">
        <v>56</v>
      </c>
      <c r="M1691">
        <v>68</v>
      </c>
      <c r="N1691" t="str">
        <f t="shared" si="80"/>
        <v>High Cost</v>
      </c>
      <c r="O1691">
        <v>22.37</v>
      </c>
      <c r="P1691" t="s">
        <v>64</v>
      </c>
      <c r="Q1691" t="s">
        <v>48</v>
      </c>
      <c r="R1691" t="s">
        <v>56</v>
      </c>
      <c r="S1691" t="s">
        <v>1157</v>
      </c>
      <c r="T1691" t="s">
        <v>37</v>
      </c>
      <c r="U1691">
        <v>63</v>
      </c>
      <c r="V1691">
        <v>1.6</v>
      </c>
      <c r="W1691" t="s">
        <v>47</v>
      </c>
      <c r="X1691" t="s">
        <v>29</v>
      </c>
    </row>
    <row r="1692" spans="1:24" x14ac:dyDescent="0.3">
      <c r="A1692" t="s">
        <v>2968</v>
      </c>
      <c r="B1692" t="s">
        <v>77</v>
      </c>
      <c r="C1692" t="s">
        <v>78</v>
      </c>
      <c r="D1692" t="str">
        <f t="shared" si="78"/>
        <v>Morning</v>
      </c>
      <c r="E1692">
        <f>HOUR(EV_Data[[#This Row],[Charging Start Time]])</f>
        <v>10</v>
      </c>
      <c r="F1692" s="1">
        <v>44997.416666666664</v>
      </c>
      <c r="G1692" s="1">
        <v>44997.430555555547</v>
      </c>
      <c r="H1692">
        <v>20</v>
      </c>
      <c r="I1692">
        <v>41.26</v>
      </c>
      <c r="J1692" t="str">
        <f t="shared" si="79"/>
        <v>Medium</v>
      </c>
      <c r="K1692" t="s">
        <v>55</v>
      </c>
      <c r="L1692">
        <v>51</v>
      </c>
      <c r="M1692">
        <v>67</v>
      </c>
      <c r="N1692" t="str">
        <f t="shared" si="80"/>
        <v>Medium Cost</v>
      </c>
      <c r="O1692">
        <v>11.21</v>
      </c>
      <c r="P1692" t="s">
        <v>23</v>
      </c>
      <c r="Q1692" t="s">
        <v>24</v>
      </c>
      <c r="R1692" t="s">
        <v>44</v>
      </c>
      <c r="S1692" t="s">
        <v>1024</v>
      </c>
      <c r="T1692" t="s">
        <v>60</v>
      </c>
      <c r="U1692">
        <v>31</v>
      </c>
      <c r="V1692">
        <v>1.8</v>
      </c>
      <c r="W1692" t="s">
        <v>47</v>
      </c>
      <c r="X1692" t="s">
        <v>29</v>
      </c>
    </row>
    <row r="1693" spans="1:24" x14ac:dyDescent="0.3">
      <c r="A1693" t="s">
        <v>2969</v>
      </c>
      <c r="B1693" t="s">
        <v>77</v>
      </c>
      <c r="C1693" t="s">
        <v>78</v>
      </c>
      <c r="D1693" t="str">
        <f t="shared" si="78"/>
        <v>Morning</v>
      </c>
      <c r="E1693">
        <f>HOUR(EV_Data[[#This Row],[Charging Start Time]])</f>
        <v>11</v>
      </c>
      <c r="F1693" s="1">
        <v>44997.458333333336</v>
      </c>
      <c r="G1693" s="1">
        <v>44997.495138888888</v>
      </c>
      <c r="H1693">
        <v>53</v>
      </c>
      <c r="I1693">
        <v>27.32</v>
      </c>
      <c r="J1693" t="str">
        <f t="shared" si="79"/>
        <v>Medium</v>
      </c>
      <c r="K1693" t="s">
        <v>22</v>
      </c>
      <c r="L1693">
        <v>35</v>
      </c>
      <c r="M1693">
        <v>62</v>
      </c>
      <c r="N1693" t="str">
        <f t="shared" si="80"/>
        <v>Medium Cost</v>
      </c>
      <c r="O1693">
        <v>11.05</v>
      </c>
      <c r="P1693" t="s">
        <v>23</v>
      </c>
      <c r="Q1693" t="s">
        <v>48</v>
      </c>
      <c r="R1693" t="s">
        <v>25</v>
      </c>
      <c r="S1693" t="s">
        <v>874</v>
      </c>
      <c r="T1693" t="s">
        <v>46</v>
      </c>
      <c r="U1693">
        <v>44</v>
      </c>
      <c r="V1693">
        <v>3.4</v>
      </c>
      <c r="W1693" t="s">
        <v>28</v>
      </c>
      <c r="X1693" t="s">
        <v>68</v>
      </c>
    </row>
    <row r="1694" spans="1:24" x14ac:dyDescent="0.3">
      <c r="A1694" t="s">
        <v>2970</v>
      </c>
      <c r="B1694" t="s">
        <v>126</v>
      </c>
      <c r="C1694" t="s">
        <v>31</v>
      </c>
      <c r="D1694" t="str">
        <f t="shared" si="78"/>
        <v>Afternoon</v>
      </c>
      <c r="E1694">
        <f>HOUR(EV_Data[[#This Row],[Charging Start Time]])</f>
        <v>12</v>
      </c>
      <c r="F1694" s="1">
        <v>44997.5</v>
      </c>
      <c r="G1694" s="1">
        <v>44997.515972222223</v>
      </c>
      <c r="H1694">
        <v>23</v>
      </c>
      <c r="I1694">
        <v>28.16</v>
      </c>
      <c r="J1694" t="str">
        <f t="shared" si="79"/>
        <v>Medium</v>
      </c>
      <c r="K1694" t="s">
        <v>22</v>
      </c>
      <c r="L1694">
        <v>40</v>
      </c>
      <c r="M1694">
        <v>76</v>
      </c>
      <c r="N1694" t="str">
        <f t="shared" si="80"/>
        <v>Medium Cost</v>
      </c>
      <c r="O1694">
        <v>13.31</v>
      </c>
      <c r="P1694" t="s">
        <v>33</v>
      </c>
      <c r="Q1694" t="s">
        <v>24</v>
      </c>
      <c r="R1694" t="s">
        <v>25</v>
      </c>
      <c r="S1694" t="s">
        <v>297</v>
      </c>
      <c r="T1694" t="s">
        <v>60</v>
      </c>
      <c r="U1694">
        <v>59</v>
      </c>
      <c r="V1694">
        <v>4.2</v>
      </c>
      <c r="W1694" t="s">
        <v>47</v>
      </c>
      <c r="X1694" t="s">
        <v>29</v>
      </c>
    </row>
    <row r="1695" spans="1:24" x14ac:dyDescent="0.3">
      <c r="A1695" t="s">
        <v>2971</v>
      </c>
      <c r="B1695" t="s">
        <v>126</v>
      </c>
      <c r="C1695" t="s">
        <v>31</v>
      </c>
      <c r="D1695" t="str">
        <f t="shared" si="78"/>
        <v>Afternoon</v>
      </c>
      <c r="E1695">
        <f>HOUR(EV_Data[[#This Row],[Charging Start Time]])</f>
        <v>13</v>
      </c>
      <c r="F1695" s="1">
        <v>44997.541666666664</v>
      </c>
      <c r="G1695" s="1">
        <v>44997.59097222222</v>
      </c>
      <c r="H1695">
        <v>71</v>
      </c>
      <c r="I1695">
        <v>16.510000000000002</v>
      </c>
      <c r="J1695" t="str">
        <f t="shared" si="79"/>
        <v>Low</v>
      </c>
      <c r="K1695" t="s">
        <v>42</v>
      </c>
      <c r="L1695">
        <v>32</v>
      </c>
      <c r="M1695">
        <v>71</v>
      </c>
      <c r="N1695" t="str">
        <f t="shared" si="80"/>
        <v>Low Cost</v>
      </c>
      <c r="O1695">
        <v>7.32</v>
      </c>
      <c r="P1695" t="s">
        <v>43</v>
      </c>
      <c r="Q1695" t="s">
        <v>58</v>
      </c>
      <c r="R1695" t="s">
        <v>25</v>
      </c>
      <c r="S1695" t="s">
        <v>1158</v>
      </c>
      <c r="T1695" t="s">
        <v>27</v>
      </c>
      <c r="U1695">
        <v>31</v>
      </c>
      <c r="V1695">
        <v>1.6</v>
      </c>
      <c r="W1695" t="s">
        <v>28</v>
      </c>
      <c r="X1695" t="s">
        <v>68</v>
      </c>
    </row>
    <row r="1696" spans="1:24" x14ac:dyDescent="0.3">
      <c r="A1696" t="s">
        <v>2972</v>
      </c>
      <c r="B1696" t="s">
        <v>30</v>
      </c>
      <c r="C1696" t="s">
        <v>102</v>
      </c>
      <c r="D1696" t="str">
        <f t="shared" si="78"/>
        <v>Afternoon</v>
      </c>
      <c r="E1696">
        <f>HOUR(EV_Data[[#This Row],[Charging Start Time]])</f>
        <v>14</v>
      </c>
      <c r="F1696" s="1">
        <v>44997.583333333336</v>
      </c>
      <c r="G1696" s="1">
        <v>44997.621527777781</v>
      </c>
      <c r="H1696">
        <v>55</v>
      </c>
      <c r="I1696">
        <v>11.97</v>
      </c>
      <c r="J1696" t="str">
        <f t="shared" si="79"/>
        <v>Low</v>
      </c>
      <c r="K1696" t="s">
        <v>42</v>
      </c>
      <c r="L1696">
        <v>50</v>
      </c>
      <c r="M1696">
        <v>63</v>
      </c>
      <c r="N1696" t="str">
        <f t="shared" si="80"/>
        <v>Low Cost</v>
      </c>
      <c r="O1696">
        <v>4.9800000000000004</v>
      </c>
      <c r="P1696" t="s">
        <v>51</v>
      </c>
      <c r="Q1696" t="s">
        <v>24</v>
      </c>
      <c r="R1696" t="s">
        <v>56</v>
      </c>
      <c r="S1696" t="s">
        <v>1159</v>
      </c>
      <c r="T1696" t="s">
        <v>46</v>
      </c>
      <c r="U1696">
        <v>23</v>
      </c>
      <c r="V1696">
        <v>2.1</v>
      </c>
      <c r="W1696" t="s">
        <v>47</v>
      </c>
      <c r="X1696" t="s">
        <v>29</v>
      </c>
    </row>
    <row r="1697" spans="1:24" x14ac:dyDescent="0.3">
      <c r="A1697" t="s">
        <v>2973</v>
      </c>
      <c r="B1697" t="s">
        <v>92</v>
      </c>
      <c r="C1697" t="s">
        <v>93</v>
      </c>
      <c r="D1697" t="str">
        <f t="shared" si="78"/>
        <v>Afternoon</v>
      </c>
      <c r="E1697">
        <f>HOUR(EV_Data[[#This Row],[Charging Start Time]])</f>
        <v>15</v>
      </c>
      <c r="F1697" s="1">
        <v>44997.625</v>
      </c>
      <c r="G1697" s="1">
        <v>44997.625694444447</v>
      </c>
      <c r="H1697">
        <v>1</v>
      </c>
      <c r="I1697">
        <v>25.88</v>
      </c>
      <c r="J1697" t="str">
        <f t="shared" si="79"/>
        <v>Medium</v>
      </c>
      <c r="K1697" t="s">
        <v>22</v>
      </c>
      <c r="L1697">
        <v>17</v>
      </c>
      <c r="M1697">
        <v>34</v>
      </c>
      <c r="N1697" t="str">
        <f t="shared" si="80"/>
        <v>Medium Cost</v>
      </c>
      <c r="O1697">
        <v>11.84</v>
      </c>
      <c r="P1697" t="s">
        <v>64</v>
      </c>
      <c r="Q1697" t="s">
        <v>48</v>
      </c>
      <c r="R1697" t="s">
        <v>44</v>
      </c>
      <c r="S1697" t="s">
        <v>755</v>
      </c>
      <c r="T1697" t="s">
        <v>27</v>
      </c>
      <c r="U1697">
        <v>15</v>
      </c>
      <c r="V1697">
        <v>1.3</v>
      </c>
      <c r="W1697" t="s">
        <v>38</v>
      </c>
      <c r="X1697" t="s">
        <v>83</v>
      </c>
    </row>
    <row r="1698" spans="1:24" x14ac:dyDescent="0.3">
      <c r="A1698" t="s">
        <v>2974</v>
      </c>
      <c r="B1698" t="s">
        <v>40</v>
      </c>
      <c r="C1698" t="s">
        <v>41</v>
      </c>
      <c r="D1698" t="str">
        <f t="shared" si="78"/>
        <v>Afternoon</v>
      </c>
      <c r="E1698">
        <f>HOUR(EV_Data[[#This Row],[Charging Start Time]])</f>
        <v>16</v>
      </c>
      <c r="F1698" s="1">
        <v>44997.666666666664</v>
      </c>
      <c r="G1698" s="1">
        <v>44997.688888888893</v>
      </c>
      <c r="H1698">
        <v>32</v>
      </c>
      <c r="I1698">
        <v>23.1</v>
      </c>
      <c r="J1698" t="str">
        <f t="shared" si="79"/>
        <v>Medium</v>
      </c>
      <c r="K1698" t="s">
        <v>22</v>
      </c>
      <c r="L1698">
        <v>32</v>
      </c>
      <c r="M1698">
        <v>71</v>
      </c>
      <c r="N1698" t="str">
        <f t="shared" si="80"/>
        <v>Medium Cost</v>
      </c>
      <c r="O1698">
        <v>10.25</v>
      </c>
      <c r="P1698" t="s">
        <v>64</v>
      </c>
      <c r="Q1698" t="s">
        <v>48</v>
      </c>
      <c r="R1698" t="s">
        <v>35</v>
      </c>
      <c r="S1698" t="s">
        <v>1138</v>
      </c>
      <c r="T1698" t="s">
        <v>37</v>
      </c>
      <c r="U1698">
        <v>29</v>
      </c>
      <c r="V1698">
        <v>1.5</v>
      </c>
      <c r="W1698" t="s">
        <v>28</v>
      </c>
      <c r="X1698" t="s">
        <v>68</v>
      </c>
    </row>
    <row r="1699" spans="1:24" x14ac:dyDescent="0.3">
      <c r="A1699" t="s">
        <v>2975</v>
      </c>
      <c r="B1699" t="s">
        <v>30</v>
      </c>
      <c r="C1699" t="s">
        <v>102</v>
      </c>
      <c r="D1699" t="str">
        <f t="shared" si="78"/>
        <v>Evening</v>
      </c>
      <c r="E1699">
        <f>HOUR(EV_Data[[#This Row],[Charging Start Time]])</f>
        <v>17</v>
      </c>
      <c r="F1699" s="1">
        <v>44997.708333333336</v>
      </c>
      <c r="G1699" s="1">
        <v>44997.75277777778</v>
      </c>
      <c r="H1699">
        <v>64</v>
      </c>
      <c r="I1699">
        <v>16.89</v>
      </c>
      <c r="J1699" t="str">
        <f t="shared" si="79"/>
        <v>Low</v>
      </c>
      <c r="K1699" t="s">
        <v>22</v>
      </c>
      <c r="L1699">
        <v>32</v>
      </c>
      <c r="M1699">
        <v>56</v>
      </c>
      <c r="N1699" t="str">
        <f t="shared" si="80"/>
        <v>Low Cost</v>
      </c>
      <c r="O1699">
        <v>4.5999999999999996</v>
      </c>
      <c r="P1699" t="s">
        <v>23</v>
      </c>
      <c r="Q1699" t="s">
        <v>24</v>
      </c>
      <c r="R1699" t="s">
        <v>44</v>
      </c>
      <c r="S1699" t="s">
        <v>1160</v>
      </c>
      <c r="T1699" t="s">
        <v>27</v>
      </c>
      <c r="U1699">
        <v>41</v>
      </c>
      <c r="V1699">
        <v>3.2</v>
      </c>
      <c r="W1699" t="s">
        <v>38</v>
      </c>
      <c r="X1699" t="s">
        <v>39</v>
      </c>
    </row>
    <row r="1700" spans="1:24" x14ac:dyDescent="0.3">
      <c r="A1700" t="s">
        <v>2976</v>
      </c>
      <c r="B1700" t="s">
        <v>20</v>
      </c>
      <c r="C1700" t="s">
        <v>21</v>
      </c>
      <c r="D1700" t="str">
        <f t="shared" si="78"/>
        <v>Evening</v>
      </c>
      <c r="E1700">
        <f>HOUR(EV_Data[[#This Row],[Charging Start Time]])</f>
        <v>18</v>
      </c>
      <c r="F1700" s="1">
        <v>44997.75</v>
      </c>
      <c r="G1700" s="1">
        <v>44997.803472222222</v>
      </c>
      <c r="H1700">
        <v>77</v>
      </c>
      <c r="I1700">
        <v>14.32</v>
      </c>
      <c r="J1700" t="str">
        <f t="shared" si="79"/>
        <v>Low</v>
      </c>
      <c r="K1700" t="s">
        <v>69</v>
      </c>
      <c r="L1700">
        <v>73</v>
      </c>
      <c r="M1700">
        <v>93</v>
      </c>
      <c r="N1700" t="str">
        <f t="shared" si="80"/>
        <v>Low Cost</v>
      </c>
      <c r="O1700">
        <v>4.8600000000000003</v>
      </c>
      <c r="P1700" t="s">
        <v>43</v>
      </c>
      <c r="Q1700" t="s">
        <v>48</v>
      </c>
      <c r="R1700" t="s">
        <v>35</v>
      </c>
      <c r="S1700" t="s">
        <v>1161</v>
      </c>
      <c r="T1700" t="s">
        <v>37</v>
      </c>
      <c r="U1700">
        <v>5</v>
      </c>
      <c r="V1700">
        <v>2.2999999999999998</v>
      </c>
      <c r="W1700" t="s">
        <v>38</v>
      </c>
    </row>
    <row r="1701" spans="1:24" x14ac:dyDescent="0.3">
      <c r="A1701" t="s">
        <v>2977</v>
      </c>
      <c r="B1701" t="s">
        <v>20</v>
      </c>
      <c r="C1701" t="s">
        <v>21</v>
      </c>
      <c r="D1701" t="str">
        <f t="shared" si="78"/>
        <v>Evening</v>
      </c>
      <c r="E1701">
        <f>HOUR(EV_Data[[#This Row],[Charging Start Time]])</f>
        <v>19</v>
      </c>
      <c r="F1701" s="1">
        <v>44997.791666666664</v>
      </c>
      <c r="G1701" s="1">
        <v>44997.818055555559</v>
      </c>
      <c r="H1701">
        <v>38</v>
      </c>
      <c r="I1701">
        <v>25.52</v>
      </c>
      <c r="J1701" t="str">
        <f t="shared" si="79"/>
        <v>Medium</v>
      </c>
      <c r="K1701" t="s">
        <v>69</v>
      </c>
      <c r="L1701">
        <v>47</v>
      </c>
      <c r="M1701">
        <v>71</v>
      </c>
      <c r="N1701" t="str">
        <f t="shared" si="80"/>
        <v>Medium Cost</v>
      </c>
      <c r="O1701">
        <v>8.86</v>
      </c>
      <c r="P1701" t="s">
        <v>51</v>
      </c>
      <c r="Q1701" t="s">
        <v>24</v>
      </c>
      <c r="R1701" t="s">
        <v>44</v>
      </c>
      <c r="S1701" t="s">
        <v>1162</v>
      </c>
      <c r="T1701" t="s">
        <v>46</v>
      </c>
      <c r="U1701">
        <v>60</v>
      </c>
      <c r="V1701">
        <v>2.5</v>
      </c>
      <c r="W1701" t="s">
        <v>47</v>
      </c>
      <c r="X1701" t="s">
        <v>29</v>
      </c>
    </row>
    <row r="1702" spans="1:24" x14ac:dyDescent="0.3">
      <c r="A1702" t="s">
        <v>2978</v>
      </c>
      <c r="B1702" t="s">
        <v>53</v>
      </c>
      <c r="C1702" t="s">
        <v>54</v>
      </c>
      <c r="D1702" t="str">
        <f t="shared" si="78"/>
        <v>Evening</v>
      </c>
      <c r="E1702">
        <f>HOUR(EV_Data[[#This Row],[Charging Start Time]])</f>
        <v>20</v>
      </c>
      <c r="F1702" s="1">
        <v>44997.833333333336</v>
      </c>
      <c r="G1702" s="1">
        <v>44997.837500000001</v>
      </c>
      <c r="H1702">
        <v>6</v>
      </c>
      <c r="I1702">
        <v>45.24</v>
      </c>
      <c r="J1702" t="str">
        <f t="shared" si="79"/>
        <v>Medium</v>
      </c>
      <c r="K1702" t="s">
        <v>50</v>
      </c>
      <c r="L1702">
        <v>68</v>
      </c>
      <c r="M1702">
        <v>98</v>
      </c>
      <c r="N1702" t="str">
        <f t="shared" si="80"/>
        <v>High Cost</v>
      </c>
      <c r="O1702">
        <v>19.2</v>
      </c>
      <c r="P1702" t="s">
        <v>64</v>
      </c>
      <c r="Q1702" t="s">
        <v>58</v>
      </c>
      <c r="R1702" t="s">
        <v>44</v>
      </c>
      <c r="S1702" t="s">
        <v>764</v>
      </c>
      <c r="T1702" t="s">
        <v>46</v>
      </c>
      <c r="U1702">
        <v>49</v>
      </c>
      <c r="V1702">
        <v>3.1</v>
      </c>
      <c r="W1702" t="s">
        <v>28</v>
      </c>
      <c r="X1702" t="s">
        <v>68</v>
      </c>
    </row>
    <row r="1703" spans="1:24" x14ac:dyDescent="0.3">
      <c r="A1703" t="s">
        <v>2979</v>
      </c>
      <c r="B1703" t="s">
        <v>126</v>
      </c>
      <c r="C1703" t="s">
        <v>31</v>
      </c>
      <c r="D1703" t="str">
        <f t="shared" si="78"/>
        <v>Evening</v>
      </c>
      <c r="E1703">
        <f>HOUR(EV_Data[[#This Row],[Charging Start Time]])</f>
        <v>21</v>
      </c>
      <c r="F1703" s="1">
        <v>44997.875</v>
      </c>
      <c r="G1703" s="1">
        <v>44997.883333333331</v>
      </c>
      <c r="H1703">
        <v>12</v>
      </c>
      <c r="I1703">
        <v>7.53</v>
      </c>
      <c r="J1703" t="str">
        <f t="shared" si="79"/>
        <v>Low</v>
      </c>
      <c r="K1703" t="s">
        <v>50</v>
      </c>
      <c r="L1703">
        <v>21</v>
      </c>
      <c r="M1703">
        <v>36</v>
      </c>
      <c r="N1703" t="str">
        <f t="shared" si="80"/>
        <v>Low Cost</v>
      </c>
      <c r="O1703">
        <v>1.97</v>
      </c>
      <c r="P1703" t="s">
        <v>64</v>
      </c>
      <c r="Q1703" t="s">
        <v>48</v>
      </c>
      <c r="R1703" t="s">
        <v>44</v>
      </c>
      <c r="S1703" t="s">
        <v>1163</v>
      </c>
      <c r="T1703" t="s">
        <v>27</v>
      </c>
      <c r="U1703">
        <v>37</v>
      </c>
      <c r="V1703">
        <v>1</v>
      </c>
      <c r="W1703" t="s">
        <v>38</v>
      </c>
      <c r="X1703" t="s">
        <v>39</v>
      </c>
    </row>
    <row r="1704" spans="1:24" x14ac:dyDescent="0.3">
      <c r="A1704" t="s">
        <v>2980</v>
      </c>
      <c r="B1704" t="s">
        <v>30</v>
      </c>
      <c r="C1704" t="s">
        <v>102</v>
      </c>
      <c r="D1704" t="str">
        <f t="shared" si="78"/>
        <v>Evening</v>
      </c>
      <c r="E1704">
        <f>HOUR(EV_Data[[#This Row],[Charging Start Time]])</f>
        <v>22</v>
      </c>
      <c r="F1704" s="1">
        <v>44997.916666666664</v>
      </c>
      <c r="G1704" s="1">
        <v>44997.934027777781</v>
      </c>
      <c r="H1704">
        <v>25</v>
      </c>
      <c r="I1704">
        <v>48.02</v>
      </c>
      <c r="J1704" t="str">
        <f t="shared" si="79"/>
        <v>Medium</v>
      </c>
      <c r="K1704" t="s">
        <v>50</v>
      </c>
      <c r="L1704">
        <v>30</v>
      </c>
      <c r="M1704">
        <v>57</v>
      </c>
      <c r="N1704" t="str">
        <f t="shared" si="80"/>
        <v>High Cost</v>
      </c>
      <c r="O1704">
        <v>22.12</v>
      </c>
      <c r="P1704" t="s">
        <v>23</v>
      </c>
      <c r="Q1704" t="s">
        <v>58</v>
      </c>
      <c r="R1704" t="s">
        <v>56</v>
      </c>
      <c r="S1704" t="s">
        <v>678</v>
      </c>
      <c r="T1704" t="s">
        <v>37</v>
      </c>
      <c r="U1704">
        <v>61</v>
      </c>
      <c r="V1704">
        <v>4.5</v>
      </c>
      <c r="W1704" t="s">
        <v>28</v>
      </c>
      <c r="X1704" t="s">
        <v>68</v>
      </c>
    </row>
    <row r="1705" spans="1:24" x14ac:dyDescent="0.3">
      <c r="A1705" t="s">
        <v>2981</v>
      </c>
      <c r="B1705" t="s">
        <v>77</v>
      </c>
      <c r="C1705" t="s">
        <v>78</v>
      </c>
      <c r="D1705" t="str">
        <f t="shared" si="78"/>
        <v>Evening</v>
      </c>
      <c r="E1705">
        <f>HOUR(EV_Data[[#This Row],[Charging Start Time]])</f>
        <v>23</v>
      </c>
      <c r="F1705" s="1">
        <v>44997.958333333336</v>
      </c>
      <c r="G1705" s="1">
        <v>44998.00277777778</v>
      </c>
      <c r="H1705">
        <v>64</v>
      </c>
      <c r="I1705">
        <v>12.47</v>
      </c>
      <c r="J1705" t="str">
        <f t="shared" si="79"/>
        <v>Low</v>
      </c>
      <c r="K1705" t="s">
        <v>50</v>
      </c>
      <c r="L1705">
        <v>47</v>
      </c>
      <c r="M1705">
        <v>65</v>
      </c>
      <c r="N1705" t="str">
        <f t="shared" si="80"/>
        <v>Low Cost</v>
      </c>
      <c r="O1705">
        <v>3.55</v>
      </c>
      <c r="P1705" t="s">
        <v>33</v>
      </c>
      <c r="Q1705" t="s">
        <v>48</v>
      </c>
      <c r="R1705" t="s">
        <v>56</v>
      </c>
      <c r="S1705" t="s">
        <v>1145</v>
      </c>
      <c r="T1705" t="s">
        <v>46</v>
      </c>
      <c r="U1705">
        <v>14</v>
      </c>
      <c r="V1705">
        <v>3.7</v>
      </c>
      <c r="W1705" t="s">
        <v>38</v>
      </c>
    </row>
    <row r="1706" spans="1:24" x14ac:dyDescent="0.3">
      <c r="A1706" t="s">
        <v>2982</v>
      </c>
      <c r="B1706" t="s">
        <v>92</v>
      </c>
      <c r="C1706" t="s">
        <v>93</v>
      </c>
      <c r="D1706" t="str">
        <f t="shared" si="78"/>
        <v>Morning</v>
      </c>
      <c r="E1706">
        <f>HOUR(EV_Data[[#This Row],[Charging Start Time]])</f>
        <v>0</v>
      </c>
      <c r="F1706" s="1">
        <v>44998</v>
      </c>
      <c r="G1706" s="1">
        <v>44998.040972222218</v>
      </c>
      <c r="H1706">
        <v>59</v>
      </c>
      <c r="I1706">
        <v>10.45</v>
      </c>
      <c r="J1706" t="str">
        <f t="shared" si="79"/>
        <v>Low</v>
      </c>
      <c r="K1706" t="s">
        <v>55</v>
      </c>
      <c r="L1706">
        <v>42</v>
      </c>
      <c r="M1706">
        <v>70</v>
      </c>
      <c r="N1706" t="str">
        <f t="shared" si="80"/>
        <v>Low Cost</v>
      </c>
      <c r="O1706">
        <v>3.24</v>
      </c>
      <c r="P1706" t="s">
        <v>43</v>
      </c>
      <c r="Q1706" t="s">
        <v>24</v>
      </c>
      <c r="R1706" t="s">
        <v>35</v>
      </c>
      <c r="S1706" t="s">
        <v>341</v>
      </c>
      <c r="T1706" t="s">
        <v>27</v>
      </c>
      <c r="U1706">
        <v>73</v>
      </c>
      <c r="V1706">
        <v>1.6</v>
      </c>
      <c r="W1706" t="s">
        <v>38</v>
      </c>
      <c r="X1706" t="s">
        <v>62</v>
      </c>
    </row>
    <row r="1707" spans="1:24" x14ac:dyDescent="0.3">
      <c r="A1707" t="s">
        <v>2983</v>
      </c>
      <c r="B1707" t="s">
        <v>71</v>
      </c>
      <c r="C1707" t="s">
        <v>72</v>
      </c>
      <c r="D1707" t="str">
        <f t="shared" si="78"/>
        <v>Morning</v>
      </c>
      <c r="E1707">
        <f>HOUR(EV_Data[[#This Row],[Charging Start Time]])</f>
        <v>1</v>
      </c>
      <c r="F1707" s="1">
        <v>44998.041666666664</v>
      </c>
      <c r="G1707" s="1">
        <v>44998.066666666673</v>
      </c>
      <c r="H1707">
        <v>36</v>
      </c>
      <c r="I1707">
        <v>47.65</v>
      </c>
      <c r="J1707" t="str">
        <f t="shared" si="79"/>
        <v>Medium</v>
      </c>
      <c r="K1707" t="s">
        <v>42</v>
      </c>
      <c r="L1707">
        <v>7</v>
      </c>
      <c r="M1707">
        <v>31</v>
      </c>
      <c r="N1707" t="str">
        <f t="shared" si="80"/>
        <v>Medium Cost</v>
      </c>
      <c r="O1707">
        <v>14.59</v>
      </c>
      <c r="P1707" t="s">
        <v>64</v>
      </c>
      <c r="Q1707" t="s">
        <v>48</v>
      </c>
      <c r="R1707" t="s">
        <v>35</v>
      </c>
      <c r="S1707" t="s">
        <v>1164</v>
      </c>
      <c r="T1707" t="s">
        <v>60</v>
      </c>
      <c r="U1707">
        <v>7</v>
      </c>
      <c r="V1707">
        <v>3.4</v>
      </c>
      <c r="W1707" t="s">
        <v>28</v>
      </c>
      <c r="X1707" t="s">
        <v>68</v>
      </c>
    </row>
    <row r="1708" spans="1:24" x14ac:dyDescent="0.3">
      <c r="A1708" t="s">
        <v>2984</v>
      </c>
      <c r="B1708" t="s">
        <v>53</v>
      </c>
      <c r="C1708" t="s">
        <v>54</v>
      </c>
      <c r="D1708" t="str">
        <f t="shared" si="78"/>
        <v>Morning</v>
      </c>
      <c r="E1708">
        <f>HOUR(EV_Data[[#This Row],[Charging Start Time]])</f>
        <v>2</v>
      </c>
      <c r="F1708" s="1">
        <v>44998.083333333336</v>
      </c>
      <c r="G1708" s="1">
        <v>44998.128472222219</v>
      </c>
      <c r="H1708">
        <v>65</v>
      </c>
      <c r="I1708">
        <v>15.84</v>
      </c>
      <c r="J1708" t="str">
        <f t="shared" si="79"/>
        <v>Low</v>
      </c>
      <c r="K1708" t="s">
        <v>50</v>
      </c>
      <c r="L1708">
        <v>34</v>
      </c>
      <c r="M1708">
        <v>52</v>
      </c>
      <c r="N1708" t="str">
        <f t="shared" si="80"/>
        <v>Low Cost</v>
      </c>
      <c r="O1708">
        <v>5.73</v>
      </c>
      <c r="P1708" t="s">
        <v>64</v>
      </c>
      <c r="Q1708" t="s">
        <v>34</v>
      </c>
      <c r="R1708" t="s">
        <v>44</v>
      </c>
      <c r="S1708" t="s">
        <v>1165</v>
      </c>
      <c r="T1708" t="s">
        <v>27</v>
      </c>
      <c r="U1708">
        <v>5</v>
      </c>
      <c r="V1708">
        <v>2.8</v>
      </c>
      <c r="W1708" t="s">
        <v>28</v>
      </c>
      <c r="X1708" t="s">
        <v>68</v>
      </c>
    </row>
    <row r="1709" spans="1:24" x14ac:dyDescent="0.3">
      <c r="A1709" t="s">
        <v>2985</v>
      </c>
      <c r="B1709" t="s">
        <v>126</v>
      </c>
      <c r="C1709" t="s">
        <v>31</v>
      </c>
      <c r="D1709" t="str">
        <f t="shared" si="78"/>
        <v>Morning</v>
      </c>
      <c r="E1709">
        <f>HOUR(EV_Data[[#This Row],[Charging Start Time]])</f>
        <v>3</v>
      </c>
      <c r="F1709" s="1">
        <v>44998.125</v>
      </c>
      <c r="G1709" s="1">
        <v>44998.125694444447</v>
      </c>
      <c r="H1709">
        <v>1</v>
      </c>
      <c r="I1709">
        <v>49.01</v>
      </c>
      <c r="J1709" t="str">
        <f t="shared" si="79"/>
        <v>Medium</v>
      </c>
      <c r="K1709" t="s">
        <v>42</v>
      </c>
      <c r="L1709">
        <v>32</v>
      </c>
      <c r="M1709">
        <v>66</v>
      </c>
      <c r="N1709" t="str">
        <f t="shared" si="80"/>
        <v>High Cost</v>
      </c>
      <c r="O1709">
        <v>21.74</v>
      </c>
      <c r="P1709" t="s">
        <v>43</v>
      </c>
      <c r="Q1709" t="s">
        <v>24</v>
      </c>
      <c r="R1709" t="s">
        <v>44</v>
      </c>
      <c r="S1709" t="s">
        <v>680</v>
      </c>
      <c r="T1709" t="s">
        <v>60</v>
      </c>
      <c r="U1709">
        <v>11</v>
      </c>
      <c r="V1709">
        <v>2.1</v>
      </c>
      <c r="W1709" t="s">
        <v>47</v>
      </c>
      <c r="X1709" t="s">
        <v>29</v>
      </c>
    </row>
    <row r="1710" spans="1:24" x14ac:dyDescent="0.3">
      <c r="A1710" t="s">
        <v>2986</v>
      </c>
      <c r="B1710" t="s">
        <v>92</v>
      </c>
      <c r="C1710" t="s">
        <v>93</v>
      </c>
      <c r="D1710" t="str">
        <f t="shared" si="78"/>
        <v>Morning</v>
      </c>
      <c r="E1710">
        <f>HOUR(EV_Data[[#This Row],[Charging Start Time]])</f>
        <v>4</v>
      </c>
      <c r="F1710" s="1">
        <v>44998.166666666664</v>
      </c>
      <c r="G1710" s="1">
        <v>44998.201388888891</v>
      </c>
      <c r="H1710">
        <v>50</v>
      </c>
      <c r="I1710">
        <v>23.44</v>
      </c>
      <c r="J1710" t="str">
        <f t="shared" si="79"/>
        <v>Medium</v>
      </c>
      <c r="K1710" t="s">
        <v>69</v>
      </c>
      <c r="L1710">
        <v>57</v>
      </c>
      <c r="M1710">
        <v>94</v>
      </c>
      <c r="N1710" t="str">
        <f t="shared" si="80"/>
        <v>Medium Cost</v>
      </c>
      <c r="O1710">
        <v>9.4600000000000009</v>
      </c>
      <c r="P1710" t="s">
        <v>33</v>
      </c>
      <c r="Q1710" t="s">
        <v>24</v>
      </c>
      <c r="R1710" t="s">
        <v>44</v>
      </c>
      <c r="S1710" t="s">
        <v>173</v>
      </c>
      <c r="T1710" t="s">
        <v>60</v>
      </c>
      <c r="U1710">
        <v>17</v>
      </c>
      <c r="V1710">
        <v>2.2999999999999998</v>
      </c>
      <c r="W1710" t="s">
        <v>38</v>
      </c>
      <c r="X1710" t="s">
        <v>62</v>
      </c>
    </row>
    <row r="1711" spans="1:24" x14ac:dyDescent="0.3">
      <c r="A1711" t="s">
        <v>2987</v>
      </c>
      <c r="B1711" t="s">
        <v>71</v>
      </c>
      <c r="C1711" t="s">
        <v>72</v>
      </c>
      <c r="D1711" t="str">
        <f t="shared" si="78"/>
        <v>Morning</v>
      </c>
      <c r="E1711">
        <f>HOUR(EV_Data[[#This Row],[Charging Start Time]])</f>
        <v>5</v>
      </c>
      <c r="F1711" s="1">
        <v>44998.208333333336</v>
      </c>
      <c r="G1711" s="1">
        <v>44998.265277777777</v>
      </c>
      <c r="H1711">
        <v>82</v>
      </c>
      <c r="I1711">
        <v>44.82</v>
      </c>
      <c r="J1711" t="str">
        <f t="shared" si="79"/>
        <v>Medium</v>
      </c>
      <c r="K1711" t="s">
        <v>50</v>
      </c>
      <c r="L1711">
        <v>62</v>
      </c>
      <c r="M1711">
        <v>99</v>
      </c>
      <c r="N1711" t="str">
        <f t="shared" si="80"/>
        <v>High Cost</v>
      </c>
      <c r="O1711">
        <v>20.83</v>
      </c>
      <c r="P1711" t="s">
        <v>51</v>
      </c>
      <c r="Q1711" t="s">
        <v>34</v>
      </c>
      <c r="R1711" t="s">
        <v>56</v>
      </c>
      <c r="S1711" t="s">
        <v>789</v>
      </c>
      <c r="T1711" t="s">
        <v>46</v>
      </c>
      <c r="U1711">
        <v>34</v>
      </c>
      <c r="V1711">
        <v>3</v>
      </c>
      <c r="W1711" t="s">
        <v>28</v>
      </c>
      <c r="X1711" t="s">
        <v>68</v>
      </c>
    </row>
    <row r="1712" spans="1:24" x14ac:dyDescent="0.3">
      <c r="A1712" t="s">
        <v>2988</v>
      </c>
      <c r="B1712" t="s">
        <v>40</v>
      </c>
      <c r="C1712" t="s">
        <v>41</v>
      </c>
      <c r="D1712" t="str">
        <f t="shared" si="78"/>
        <v>Morning</v>
      </c>
      <c r="E1712">
        <f>HOUR(EV_Data[[#This Row],[Charging Start Time]])</f>
        <v>6</v>
      </c>
      <c r="F1712" s="1">
        <v>44998.25</v>
      </c>
      <c r="G1712" s="1">
        <v>44998.288194444453</v>
      </c>
      <c r="H1712">
        <v>55</v>
      </c>
      <c r="I1712">
        <v>6.85</v>
      </c>
      <c r="J1712" t="str">
        <f t="shared" si="79"/>
        <v>Low</v>
      </c>
      <c r="K1712" t="s">
        <v>69</v>
      </c>
      <c r="L1712">
        <v>61</v>
      </c>
      <c r="M1712">
        <v>73</v>
      </c>
      <c r="N1712" t="str">
        <f t="shared" si="80"/>
        <v>Low Cost</v>
      </c>
      <c r="O1712">
        <v>2.88</v>
      </c>
      <c r="P1712" t="s">
        <v>64</v>
      </c>
      <c r="Q1712" t="s">
        <v>48</v>
      </c>
      <c r="R1712" t="s">
        <v>44</v>
      </c>
      <c r="S1712" t="s">
        <v>1166</v>
      </c>
      <c r="T1712" t="s">
        <v>37</v>
      </c>
      <c r="U1712">
        <v>54</v>
      </c>
      <c r="V1712">
        <v>4</v>
      </c>
      <c r="W1712" t="s">
        <v>38</v>
      </c>
      <c r="X1712" t="s">
        <v>85</v>
      </c>
    </row>
    <row r="1713" spans="1:24" x14ac:dyDescent="0.3">
      <c r="A1713" t="s">
        <v>2989</v>
      </c>
      <c r="B1713" t="s">
        <v>40</v>
      </c>
      <c r="C1713" t="s">
        <v>41</v>
      </c>
      <c r="D1713" t="str">
        <f t="shared" si="78"/>
        <v>Morning</v>
      </c>
      <c r="E1713">
        <f>HOUR(EV_Data[[#This Row],[Charging Start Time]])</f>
        <v>7</v>
      </c>
      <c r="F1713" s="1">
        <v>44998.291666666664</v>
      </c>
      <c r="G1713" s="1">
        <v>44998.319444444453</v>
      </c>
      <c r="H1713">
        <v>40</v>
      </c>
      <c r="I1713">
        <v>44.17</v>
      </c>
      <c r="J1713" t="str">
        <f t="shared" si="79"/>
        <v>Medium</v>
      </c>
      <c r="K1713" t="s">
        <v>32</v>
      </c>
      <c r="L1713">
        <v>52</v>
      </c>
      <c r="M1713">
        <v>70</v>
      </c>
      <c r="N1713" t="str">
        <f t="shared" si="80"/>
        <v>High Cost</v>
      </c>
      <c r="O1713">
        <v>19.55</v>
      </c>
      <c r="P1713" t="s">
        <v>51</v>
      </c>
      <c r="Q1713" t="s">
        <v>58</v>
      </c>
      <c r="R1713" t="s">
        <v>25</v>
      </c>
      <c r="S1713" t="s">
        <v>567</v>
      </c>
      <c r="T1713" t="s">
        <v>46</v>
      </c>
      <c r="U1713">
        <v>91</v>
      </c>
      <c r="V1713">
        <v>1.1000000000000001</v>
      </c>
      <c r="W1713" t="s">
        <v>28</v>
      </c>
      <c r="X1713" t="s">
        <v>68</v>
      </c>
    </row>
    <row r="1714" spans="1:24" x14ac:dyDescent="0.3">
      <c r="A1714" t="s">
        <v>2990</v>
      </c>
      <c r="B1714" t="s">
        <v>77</v>
      </c>
      <c r="C1714" t="s">
        <v>78</v>
      </c>
      <c r="D1714" t="str">
        <f t="shared" si="78"/>
        <v>Morning</v>
      </c>
      <c r="E1714">
        <f>HOUR(EV_Data[[#This Row],[Charging Start Time]])</f>
        <v>8</v>
      </c>
      <c r="F1714" s="1">
        <v>44998.333333333336</v>
      </c>
      <c r="G1714" s="1">
        <v>44998.359722222223</v>
      </c>
      <c r="H1714">
        <v>38</v>
      </c>
      <c r="I1714">
        <v>14.8</v>
      </c>
      <c r="J1714" t="str">
        <f t="shared" si="79"/>
        <v>Low</v>
      </c>
      <c r="K1714" t="s">
        <v>22</v>
      </c>
      <c r="L1714">
        <v>21</v>
      </c>
      <c r="M1714">
        <v>52</v>
      </c>
      <c r="N1714" t="str">
        <f t="shared" si="80"/>
        <v>Low Cost</v>
      </c>
      <c r="O1714">
        <v>5.78</v>
      </c>
      <c r="P1714" t="s">
        <v>23</v>
      </c>
      <c r="Q1714" t="s">
        <v>24</v>
      </c>
      <c r="R1714" t="s">
        <v>25</v>
      </c>
      <c r="S1714" t="s">
        <v>852</v>
      </c>
      <c r="T1714" t="s">
        <v>27</v>
      </c>
      <c r="U1714">
        <v>68</v>
      </c>
      <c r="V1714">
        <v>2.6</v>
      </c>
      <c r="W1714" t="s">
        <v>38</v>
      </c>
      <c r="X1714" t="s">
        <v>62</v>
      </c>
    </row>
    <row r="1715" spans="1:24" x14ac:dyDescent="0.3">
      <c r="A1715" t="s">
        <v>2991</v>
      </c>
      <c r="B1715" t="s">
        <v>53</v>
      </c>
      <c r="C1715" t="s">
        <v>54</v>
      </c>
      <c r="D1715" t="str">
        <f t="shared" si="78"/>
        <v>Morning</v>
      </c>
      <c r="E1715">
        <f>HOUR(EV_Data[[#This Row],[Charging Start Time]])</f>
        <v>9</v>
      </c>
      <c r="F1715" s="1">
        <v>44998.375</v>
      </c>
      <c r="G1715" s="1">
        <v>44998.411111111112</v>
      </c>
      <c r="H1715">
        <v>52</v>
      </c>
      <c r="I1715">
        <v>38.590000000000003</v>
      </c>
      <c r="J1715" t="str">
        <f t="shared" si="79"/>
        <v>Medium</v>
      </c>
      <c r="K1715" t="s">
        <v>32</v>
      </c>
      <c r="L1715">
        <v>20</v>
      </c>
      <c r="M1715">
        <v>39</v>
      </c>
      <c r="N1715" t="str">
        <f t="shared" si="80"/>
        <v>Medium Cost</v>
      </c>
      <c r="O1715">
        <v>8.2899999999999991</v>
      </c>
      <c r="P1715" t="s">
        <v>33</v>
      </c>
      <c r="Q1715" t="s">
        <v>58</v>
      </c>
      <c r="R1715" t="s">
        <v>25</v>
      </c>
      <c r="S1715" t="s">
        <v>1167</v>
      </c>
      <c r="T1715" t="s">
        <v>27</v>
      </c>
      <c r="U1715">
        <v>33</v>
      </c>
      <c r="V1715">
        <v>1.3</v>
      </c>
      <c r="W1715" t="s">
        <v>28</v>
      </c>
      <c r="X1715" t="s">
        <v>68</v>
      </c>
    </row>
    <row r="1716" spans="1:24" x14ac:dyDescent="0.3">
      <c r="A1716" t="s">
        <v>2992</v>
      </c>
      <c r="B1716" t="s">
        <v>30</v>
      </c>
      <c r="C1716" t="s">
        <v>102</v>
      </c>
      <c r="D1716" t="str">
        <f t="shared" si="78"/>
        <v>Morning</v>
      </c>
      <c r="E1716">
        <f>HOUR(EV_Data[[#This Row],[Charging Start Time]])</f>
        <v>10</v>
      </c>
      <c r="F1716" s="1">
        <v>44998.416666666664</v>
      </c>
      <c r="G1716" s="1">
        <v>44998.45</v>
      </c>
      <c r="H1716">
        <v>48</v>
      </c>
      <c r="I1716">
        <v>35.65</v>
      </c>
      <c r="J1716" t="str">
        <f t="shared" si="79"/>
        <v>Medium</v>
      </c>
      <c r="K1716" t="s">
        <v>50</v>
      </c>
      <c r="L1716">
        <v>51</v>
      </c>
      <c r="M1716">
        <v>81</v>
      </c>
      <c r="N1716" t="str">
        <f t="shared" si="80"/>
        <v>Medium Cost</v>
      </c>
      <c r="O1716">
        <v>16.899999999999999</v>
      </c>
      <c r="P1716" t="s">
        <v>43</v>
      </c>
      <c r="Q1716" t="s">
        <v>34</v>
      </c>
      <c r="R1716" t="s">
        <v>56</v>
      </c>
      <c r="S1716" t="s">
        <v>311</v>
      </c>
      <c r="T1716" t="s">
        <v>46</v>
      </c>
      <c r="U1716">
        <v>17</v>
      </c>
      <c r="V1716">
        <v>4.8</v>
      </c>
      <c r="W1716" t="s">
        <v>47</v>
      </c>
      <c r="X1716" t="s">
        <v>29</v>
      </c>
    </row>
    <row r="1717" spans="1:24" x14ac:dyDescent="0.3">
      <c r="A1717" t="s">
        <v>2993</v>
      </c>
      <c r="B1717" t="s">
        <v>20</v>
      </c>
      <c r="C1717" t="s">
        <v>21</v>
      </c>
      <c r="D1717" t="str">
        <f t="shared" si="78"/>
        <v>Morning</v>
      </c>
      <c r="E1717">
        <f>HOUR(EV_Data[[#This Row],[Charging Start Time]])</f>
        <v>11</v>
      </c>
      <c r="F1717" s="1">
        <v>44998.458333333336</v>
      </c>
      <c r="G1717" s="1">
        <v>44998.529166666667</v>
      </c>
      <c r="H1717">
        <v>102</v>
      </c>
      <c r="I1717">
        <v>10.82</v>
      </c>
      <c r="J1717" t="str">
        <f t="shared" si="79"/>
        <v>Low</v>
      </c>
      <c r="K1717" t="s">
        <v>42</v>
      </c>
      <c r="L1717">
        <v>29</v>
      </c>
      <c r="M1717">
        <v>47</v>
      </c>
      <c r="N1717" t="str">
        <f t="shared" si="80"/>
        <v>Low Cost</v>
      </c>
      <c r="O1717">
        <v>2.5099999999999998</v>
      </c>
      <c r="P1717" t="s">
        <v>33</v>
      </c>
      <c r="Q1717" t="s">
        <v>58</v>
      </c>
      <c r="R1717" t="s">
        <v>35</v>
      </c>
      <c r="S1717" t="s">
        <v>1168</v>
      </c>
      <c r="T1717" t="s">
        <v>27</v>
      </c>
      <c r="U1717">
        <v>6</v>
      </c>
      <c r="V1717">
        <v>2</v>
      </c>
      <c r="W1717" t="s">
        <v>28</v>
      </c>
      <c r="X1717" t="s">
        <v>68</v>
      </c>
    </row>
    <row r="1718" spans="1:24" x14ac:dyDescent="0.3">
      <c r="A1718" t="s">
        <v>2994</v>
      </c>
      <c r="B1718" t="s">
        <v>40</v>
      </c>
      <c r="C1718" t="s">
        <v>41</v>
      </c>
      <c r="D1718" t="str">
        <f t="shared" si="78"/>
        <v>Afternoon</v>
      </c>
      <c r="E1718">
        <f>HOUR(EV_Data[[#This Row],[Charging Start Time]])</f>
        <v>12</v>
      </c>
      <c r="F1718" s="1">
        <v>44998.5</v>
      </c>
      <c r="G1718" s="1">
        <v>44998.54791666667</v>
      </c>
      <c r="H1718">
        <v>69</v>
      </c>
      <c r="I1718">
        <v>5.76</v>
      </c>
      <c r="J1718" t="str">
        <f t="shared" si="79"/>
        <v>Low</v>
      </c>
      <c r="K1718" t="s">
        <v>69</v>
      </c>
      <c r="L1718">
        <v>12</v>
      </c>
      <c r="M1718">
        <v>46</v>
      </c>
      <c r="N1718" t="str">
        <f t="shared" si="80"/>
        <v>Low Cost</v>
      </c>
      <c r="O1718">
        <v>2.14</v>
      </c>
      <c r="P1718" t="s">
        <v>51</v>
      </c>
      <c r="Q1718" t="s">
        <v>58</v>
      </c>
      <c r="R1718" t="s">
        <v>44</v>
      </c>
      <c r="S1718" t="s">
        <v>1169</v>
      </c>
      <c r="T1718" t="s">
        <v>37</v>
      </c>
      <c r="U1718">
        <v>40</v>
      </c>
      <c r="V1718">
        <v>2.7</v>
      </c>
      <c r="W1718" t="s">
        <v>38</v>
      </c>
    </row>
    <row r="1719" spans="1:24" x14ac:dyDescent="0.3">
      <c r="A1719" t="s">
        <v>2995</v>
      </c>
      <c r="B1719" t="s">
        <v>30</v>
      </c>
      <c r="C1719" t="s">
        <v>102</v>
      </c>
      <c r="D1719" t="str">
        <f t="shared" si="78"/>
        <v>Afternoon</v>
      </c>
      <c r="E1719">
        <f>HOUR(EV_Data[[#This Row],[Charging Start Time]])</f>
        <v>13</v>
      </c>
      <c r="F1719" s="1">
        <v>44998.541666666664</v>
      </c>
      <c r="G1719" s="1">
        <v>44998.570138888892</v>
      </c>
      <c r="H1719">
        <v>41</v>
      </c>
      <c r="I1719">
        <v>32.39</v>
      </c>
      <c r="J1719" t="str">
        <f t="shared" si="79"/>
        <v>Medium</v>
      </c>
      <c r="K1719" t="s">
        <v>50</v>
      </c>
      <c r="L1719">
        <v>43</v>
      </c>
      <c r="M1719">
        <v>59</v>
      </c>
      <c r="N1719" t="str">
        <f t="shared" si="80"/>
        <v>Low Cost</v>
      </c>
      <c r="O1719">
        <v>7.91</v>
      </c>
      <c r="P1719" t="s">
        <v>51</v>
      </c>
      <c r="Q1719" t="s">
        <v>34</v>
      </c>
      <c r="R1719" t="s">
        <v>35</v>
      </c>
      <c r="S1719" t="s">
        <v>360</v>
      </c>
      <c r="T1719" t="s">
        <v>60</v>
      </c>
      <c r="U1719">
        <v>71</v>
      </c>
      <c r="V1719">
        <v>2.5</v>
      </c>
      <c r="W1719" t="s">
        <v>38</v>
      </c>
      <c r="X1719" t="s">
        <v>85</v>
      </c>
    </row>
    <row r="1720" spans="1:24" x14ac:dyDescent="0.3">
      <c r="A1720" t="s">
        <v>2996</v>
      </c>
      <c r="B1720" t="s">
        <v>71</v>
      </c>
      <c r="C1720" t="s">
        <v>72</v>
      </c>
      <c r="D1720" t="str">
        <f t="shared" si="78"/>
        <v>Afternoon</v>
      </c>
      <c r="E1720">
        <f>HOUR(EV_Data[[#This Row],[Charging Start Time]])</f>
        <v>14</v>
      </c>
      <c r="F1720" s="1">
        <v>44998.583333333336</v>
      </c>
      <c r="G1720" s="1">
        <v>44998.62222222222</v>
      </c>
      <c r="H1720">
        <v>56</v>
      </c>
      <c r="I1720">
        <v>36.15</v>
      </c>
      <c r="J1720" t="str">
        <f t="shared" si="79"/>
        <v>Medium</v>
      </c>
      <c r="K1720" t="s">
        <v>69</v>
      </c>
      <c r="L1720">
        <v>76</v>
      </c>
      <c r="M1720">
        <v>100</v>
      </c>
      <c r="N1720" t="str">
        <f t="shared" si="80"/>
        <v>Low Cost</v>
      </c>
      <c r="O1720">
        <v>7.41</v>
      </c>
      <c r="P1720" t="s">
        <v>33</v>
      </c>
      <c r="Q1720" t="s">
        <v>34</v>
      </c>
      <c r="R1720" t="s">
        <v>44</v>
      </c>
      <c r="S1720" t="s">
        <v>1170</v>
      </c>
      <c r="T1720" t="s">
        <v>46</v>
      </c>
      <c r="U1720">
        <v>52</v>
      </c>
      <c r="V1720">
        <v>3.4</v>
      </c>
      <c r="W1720" t="s">
        <v>28</v>
      </c>
      <c r="X1720" t="s">
        <v>68</v>
      </c>
    </row>
    <row r="1721" spans="1:24" x14ac:dyDescent="0.3">
      <c r="A1721" t="s">
        <v>2997</v>
      </c>
      <c r="B1721" t="s">
        <v>71</v>
      </c>
      <c r="C1721" t="s">
        <v>72</v>
      </c>
      <c r="D1721" t="str">
        <f t="shared" si="78"/>
        <v>Afternoon</v>
      </c>
      <c r="E1721">
        <f>HOUR(EV_Data[[#This Row],[Charging Start Time]])</f>
        <v>15</v>
      </c>
      <c r="F1721" s="1">
        <v>44998.625</v>
      </c>
      <c r="G1721" s="1">
        <v>44998.638194444437</v>
      </c>
      <c r="H1721">
        <v>19</v>
      </c>
      <c r="I1721">
        <v>21.32</v>
      </c>
      <c r="J1721" t="str">
        <f t="shared" si="79"/>
        <v>Medium</v>
      </c>
      <c r="K1721" t="s">
        <v>55</v>
      </c>
      <c r="L1721">
        <v>52</v>
      </c>
      <c r="M1721">
        <v>83</v>
      </c>
      <c r="N1721" t="str">
        <f t="shared" si="80"/>
        <v>Low Cost</v>
      </c>
      <c r="O1721">
        <v>7.07</v>
      </c>
      <c r="P1721" t="s">
        <v>43</v>
      </c>
      <c r="Q1721" t="s">
        <v>58</v>
      </c>
      <c r="R1721" t="s">
        <v>25</v>
      </c>
      <c r="S1721" t="s">
        <v>1171</v>
      </c>
      <c r="T1721" t="s">
        <v>27</v>
      </c>
      <c r="U1721">
        <v>47</v>
      </c>
      <c r="V1721">
        <v>4.5</v>
      </c>
      <c r="W1721" t="s">
        <v>38</v>
      </c>
      <c r="X1721" t="s">
        <v>39</v>
      </c>
    </row>
    <row r="1722" spans="1:24" x14ac:dyDescent="0.3">
      <c r="A1722" t="s">
        <v>2998</v>
      </c>
      <c r="B1722" t="s">
        <v>30</v>
      </c>
      <c r="C1722" t="s">
        <v>102</v>
      </c>
      <c r="D1722" t="str">
        <f t="shared" si="78"/>
        <v>Afternoon</v>
      </c>
      <c r="E1722">
        <f>HOUR(EV_Data[[#This Row],[Charging Start Time]])</f>
        <v>16</v>
      </c>
      <c r="F1722" s="1">
        <v>44998.666666666664</v>
      </c>
      <c r="G1722" s="1">
        <v>44998.73541666667</v>
      </c>
      <c r="H1722">
        <v>99</v>
      </c>
      <c r="I1722">
        <v>35.4</v>
      </c>
      <c r="J1722" t="str">
        <f t="shared" si="79"/>
        <v>Medium</v>
      </c>
      <c r="K1722" t="s">
        <v>55</v>
      </c>
      <c r="L1722">
        <v>54</v>
      </c>
      <c r="M1722">
        <v>72</v>
      </c>
      <c r="N1722" t="str">
        <f t="shared" si="80"/>
        <v>Medium Cost</v>
      </c>
      <c r="O1722">
        <v>11.18</v>
      </c>
      <c r="P1722" t="s">
        <v>51</v>
      </c>
      <c r="Q1722" t="s">
        <v>34</v>
      </c>
      <c r="R1722" t="s">
        <v>25</v>
      </c>
      <c r="S1722" t="s">
        <v>276</v>
      </c>
      <c r="T1722" t="s">
        <v>60</v>
      </c>
      <c r="U1722">
        <v>79</v>
      </c>
      <c r="V1722">
        <v>3.7</v>
      </c>
      <c r="W1722" t="s">
        <v>47</v>
      </c>
      <c r="X1722" t="s">
        <v>29</v>
      </c>
    </row>
    <row r="1723" spans="1:24" x14ac:dyDescent="0.3">
      <c r="A1723" t="s">
        <v>2999</v>
      </c>
      <c r="B1723" t="s">
        <v>92</v>
      </c>
      <c r="C1723" t="s">
        <v>93</v>
      </c>
      <c r="D1723" t="str">
        <f t="shared" si="78"/>
        <v>Evening</v>
      </c>
      <c r="E1723">
        <f>HOUR(EV_Data[[#This Row],[Charging Start Time]])</f>
        <v>17</v>
      </c>
      <c r="F1723" s="1">
        <v>44998.708333333336</v>
      </c>
      <c r="G1723" s="1">
        <v>44998.736805555563</v>
      </c>
      <c r="H1723">
        <v>41</v>
      </c>
      <c r="I1723">
        <v>21</v>
      </c>
      <c r="J1723" t="str">
        <f t="shared" si="79"/>
        <v>Medium</v>
      </c>
      <c r="K1723" t="s">
        <v>42</v>
      </c>
      <c r="L1723">
        <v>67</v>
      </c>
      <c r="M1723">
        <v>84</v>
      </c>
      <c r="N1723" t="str">
        <f t="shared" si="80"/>
        <v>Medium Cost</v>
      </c>
      <c r="O1723">
        <v>9.8800000000000008</v>
      </c>
      <c r="P1723" t="s">
        <v>43</v>
      </c>
      <c r="Q1723" t="s">
        <v>48</v>
      </c>
      <c r="R1723" t="s">
        <v>44</v>
      </c>
      <c r="S1723" t="s">
        <v>160</v>
      </c>
      <c r="T1723" t="s">
        <v>27</v>
      </c>
      <c r="U1723">
        <v>90</v>
      </c>
      <c r="V1723">
        <v>1.8</v>
      </c>
      <c r="W1723" t="s">
        <v>28</v>
      </c>
      <c r="X1723" t="s">
        <v>68</v>
      </c>
    </row>
    <row r="1724" spans="1:24" x14ac:dyDescent="0.3">
      <c r="A1724" t="s">
        <v>3000</v>
      </c>
      <c r="B1724" t="s">
        <v>77</v>
      </c>
      <c r="C1724" t="s">
        <v>78</v>
      </c>
      <c r="D1724" t="str">
        <f t="shared" si="78"/>
        <v>Evening</v>
      </c>
      <c r="E1724">
        <f>HOUR(EV_Data[[#This Row],[Charging Start Time]])</f>
        <v>18</v>
      </c>
      <c r="F1724" s="1">
        <v>44998.75</v>
      </c>
      <c r="G1724" s="1">
        <v>44998.782638888893</v>
      </c>
      <c r="H1724">
        <v>47</v>
      </c>
      <c r="I1724">
        <v>47.79</v>
      </c>
      <c r="J1724" t="str">
        <f t="shared" si="79"/>
        <v>Medium</v>
      </c>
      <c r="K1724" t="s">
        <v>50</v>
      </c>
      <c r="L1724">
        <v>74</v>
      </c>
      <c r="M1724">
        <v>100</v>
      </c>
      <c r="N1724" t="str">
        <f t="shared" si="80"/>
        <v>Medium Cost</v>
      </c>
      <c r="O1724">
        <v>12.56</v>
      </c>
      <c r="P1724" t="s">
        <v>33</v>
      </c>
      <c r="Q1724" t="s">
        <v>24</v>
      </c>
      <c r="R1724" t="s">
        <v>44</v>
      </c>
      <c r="S1724" t="s">
        <v>594</v>
      </c>
      <c r="T1724" t="s">
        <v>27</v>
      </c>
      <c r="U1724">
        <v>86</v>
      </c>
      <c r="V1724">
        <v>3.9</v>
      </c>
      <c r="W1724" t="s">
        <v>28</v>
      </c>
      <c r="X1724" t="s">
        <v>68</v>
      </c>
    </row>
    <row r="1725" spans="1:24" x14ac:dyDescent="0.3">
      <c r="A1725" t="s">
        <v>3001</v>
      </c>
      <c r="B1725" t="s">
        <v>77</v>
      </c>
      <c r="C1725" t="s">
        <v>78</v>
      </c>
      <c r="D1725" t="str">
        <f t="shared" si="78"/>
        <v>Evening</v>
      </c>
      <c r="E1725">
        <f>HOUR(EV_Data[[#This Row],[Charging Start Time]])</f>
        <v>19</v>
      </c>
      <c r="F1725" s="1">
        <v>44998.791666666664</v>
      </c>
      <c r="G1725" s="1">
        <v>44998.829861111109</v>
      </c>
      <c r="H1725">
        <v>55</v>
      </c>
      <c r="I1725">
        <v>39.159999999999997</v>
      </c>
      <c r="J1725" t="str">
        <f t="shared" si="79"/>
        <v>Medium</v>
      </c>
      <c r="K1725" t="s">
        <v>22</v>
      </c>
      <c r="L1725">
        <v>20</v>
      </c>
      <c r="M1725">
        <v>41</v>
      </c>
      <c r="N1725" t="str">
        <f t="shared" si="80"/>
        <v>Medium Cost</v>
      </c>
      <c r="O1725">
        <v>10.91</v>
      </c>
      <c r="P1725" t="s">
        <v>64</v>
      </c>
      <c r="Q1725" t="s">
        <v>48</v>
      </c>
      <c r="R1725" t="s">
        <v>56</v>
      </c>
      <c r="S1725" t="s">
        <v>312</v>
      </c>
      <c r="T1725" t="s">
        <v>46</v>
      </c>
      <c r="U1725">
        <v>19</v>
      </c>
      <c r="V1725">
        <v>5</v>
      </c>
      <c r="W1725" t="s">
        <v>28</v>
      </c>
      <c r="X1725" t="s">
        <v>68</v>
      </c>
    </row>
    <row r="1726" spans="1:24" x14ac:dyDescent="0.3">
      <c r="A1726" t="s">
        <v>3002</v>
      </c>
      <c r="B1726" t="s">
        <v>20</v>
      </c>
      <c r="C1726" t="s">
        <v>21</v>
      </c>
      <c r="D1726" t="str">
        <f t="shared" si="78"/>
        <v>Evening</v>
      </c>
      <c r="E1726">
        <f>HOUR(EV_Data[[#This Row],[Charging Start Time]])</f>
        <v>20</v>
      </c>
      <c r="F1726" s="1">
        <v>44998.833333333336</v>
      </c>
      <c r="G1726" s="1">
        <v>44998.864583333343</v>
      </c>
      <c r="H1726">
        <v>45</v>
      </c>
      <c r="I1726">
        <v>29.2</v>
      </c>
      <c r="J1726" t="str">
        <f t="shared" si="79"/>
        <v>Medium</v>
      </c>
      <c r="K1726" t="s">
        <v>55</v>
      </c>
      <c r="L1726">
        <v>69</v>
      </c>
      <c r="M1726">
        <v>91</v>
      </c>
      <c r="N1726" t="str">
        <f t="shared" si="80"/>
        <v>Medium Cost</v>
      </c>
      <c r="O1726">
        <v>10.9</v>
      </c>
      <c r="P1726" t="s">
        <v>43</v>
      </c>
      <c r="Q1726" t="s">
        <v>24</v>
      </c>
      <c r="R1726" t="s">
        <v>25</v>
      </c>
      <c r="S1726" t="s">
        <v>332</v>
      </c>
      <c r="T1726" t="s">
        <v>46</v>
      </c>
      <c r="U1726">
        <v>74</v>
      </c>
      <c r="V1726">
        <v>3.7</v>
      </c>
      <c r="W1726" t="s">
        <v>47</v>
      </c>
      <c r="X1726" t="s">
        <v>29</v>
      </c>
    </row>
    <row r="1727" spans="1:24" x14ac:dyDescent="0.3">
      <c r="A1727" t="s">
        <v>3003</v>
      </c>
      <c r="B1727" t="s">
        <v>53</v>
      </c>
      <c r="C1727" t="s">
        <v>54</v>
      </c>
      <c r="D1727" t="str">
        <f t="shared" si="78"/>
        <v>Evening</v>
      </c>
      <c r="E1727">
        <f>HOUR(EV_Data[[#This Row],[Charging Start Time]])</f>
        <v>21</v>
      </c>
      <c r="F1727" s="1">
        <v>44998.875</v>
      </c>
      <c r="G1727" s="1">
        <v>44998.912499999999</v>
      </c>
      <c r="H1727">
        <v>54</v>
      </c>
      <c r="I1727">
        <v>46.64</v>
      </c>
      <c r="J1727" t="str">
        <f t="shared" si="79"/>
        <v>Medium</v>
      </c>
      <c r="K1727" t="s">
        <v>42</v>
      </c>
      <c r="L1727">
        <v>9</v>
      </c>
      <c r="M1727">
        <v>36</v>
      </c>
      <c r="N1727" t="str">
        <f t="shared" si="80"/>
        <v>Medium Cost</v>
      </c>
      <c r="O1727">
        <v>12.19</v>
      </c>
      <c r="P1727" t="s">
        <v>23</v>
      </c>
      <c r="Q1727" t="s">
        <v>34</v>
      </c>
      <c r="R1727" t="s">
        <v>25</v>
      </c>
      <c r="S1727" t="s">
        <v>812</v>
      </c>
      <c r="T1727" t="s">
        <v>37</v>
      </c>
      <c r="U1727">
        <v>28</v>
      </c>
      <c r="V1727">
        <v>2.2000000000000002</v>
      </c>
      <c r="W1727" t="s">
        <v>47</v>
      </c>
      <c r="X1727" t="s">
        <v>29</v>
      </c>
    </row>
    <row r="1728" spans="1:24" x14ac:dyDescent="0.3">
      <c r="A1728" t="s">
        <v>3004</v>
      </c>
      <c r="B1728" t="s">
        <v>71</v>
      </c>
      <c r="C1728" t="s">
        <v>72</v>
      </c>
      <c r="D1728" t="str">
        <f t="shared" si="78"/>
        <v>Evening</v>
      </c>
      <c r="E1728">
        <f>HOUR(EV_Data[[#This Row],[Charging Start Time]])</f>
        <v>22</v>
      </c>
      <c r="F1728" s="1">
        <v>44998.916666666664</v>
      </c>
      <c r="G1728" s="1">
        <v>44998.947916666657</v>
      </c>
      <c r="H1728">
        <v>45</v>
      </c>
      <c r="I1728">
        <v>6.62</v>
      </c>
      <c r="J1728" t="str">
        <f t="shared" si="79"/>
        <v>Low</v>
      </c>
      <c r="K1728" t="s">
        <v>22</v>
      </c>
      <c r="L1728">
        <v>25</v>
      </c>
      <c r="M1728">
        <v>42</v>
      </c>
      <c r="N1728" t="str">
        <f t="shared" si="80"/>
        <v>Low Cost</v>
      </c>
      <c r="O1728">
        <v>2.1</v>
      </c>
      <c r="P1728" t="s">
        <v>33</v>
      </c>
      <c r="Q1728" t="s">
        <v>34</v>
      </c>
      <c r="R1728" t="s">
        <v>35</v>
      </c>
      <c r="S1728" t="s">
        <v>816</v>
      </c>
      <c r="T1728" t="s">
        <v>27</v>
      </c>
      <c r="U1728">
        <v>32</v>
      </c>
      <c r="V1728">
        <v>4.5999999999999996</v>
      </c>
      <c r="W1728" t="s">
        <v>38</v>
      </c>
      <c r="X1728" t="s">
        <v>85</v>
      </c>
    </row>
    <row r="1729" spans="1:24" x14ac:dyDescent="0.3">
      <c r="A1729" t="s">
        <v>3005</v>
      </c>
      <c r="B1729" t="s">
        <v>71</v>
      </c>
      <c r="C1729" t="s">
        <v>72</v>
      </c>
      <c r="D1729" t="str">
        <f t="shared" si="78"/>
        <v>Evening</v>
      </c>
      <c r="E1729">
        <f>HOUR(EV_Data[[#This Row],[Charging Start Time]])</f>
        <v>23</v>
      </c>
      <c r="F1729" s="1">
        <v>44998.958333333336</v>
      </c>
      <c r="G1729" s="1">
        <v>44998.964583333327</v>
      </c>
      <c r="H1729">
        <v>9</v>
      </c>
      <c r="I1729">
        <v>27.23</v>
      </c>
      <c r="J1729" t="str">
        <f t="shared" si="79"/>
        <v>Medium</v>
      </c>
      <c r="K1729" t="s">
        <v>69</v>
      </c>
      <c r="L1729">
        <v>11</v>
      </c>
      <c r="M1729">
        <v>49</v>
      </c>
      <c r="N1729" t="str">
        <f t="shared" si="80"/>
        <v>Medium Cost</v>
      </c>
      <c r="O1729">
        <v>12.94</v>
      </c>
      <c r="P1729" t="s">
        <v>64</v>
      </c>
      <c r="Q1729" t="s">
        <v>24</v>
      </c>
      <c r="R1729" t="s">
        <v>56</v>
      </c>
      <c r="S1729" t="s">
        <v>1172</v>
      </c>
      <c r="T1729" t="s">
        <v>37</v>
      </c>
      <c r="U1729">
        <v>36</v>
      </c>
      <c r="V1729">
        <v>3</v>
      </c>
      <c r="W1729" t="s">
        <v>47</v>
      </c>
      <c r="X1729" t="s">
        <v>29</v>
      </c>
    </row>
    <row r="1730" spans="1:24" x14ac:dyDescent="0.3">
      <c r="A1730" t="s">
        <v>3006</v>
      </c>
      <c r="B1730" t="s">
        <v>20</v>
      </c>
      <c r="C1730" t="s">
        <v>21</v>
      </c>
      <c r="D1730" t="str">
        <f t="shared" ref="D1730:D1793" si="81">IF(E1730&lt;12,"Morning",IF(E1730&lt;17,"Afternoon","Evening"))</f>
        <v>Morning</v>
      </c>
      <c r="E1730">
        <f>HOUR(EV_Data[[#This Row],[Charging Start Time]])</f>
        <v>0</v>
      </c>
      <c r="F1730" s="1">
        <v>44999</v>
      </c>
      <c r="G1730" s="1">
        <v>44999.011805555558</v>
      </c>
      <c r="H1730">
        <v>17</v>
      </c>
      <c r="I1730">
        <v>8.6999999999999993</v>
      </c>
      <c r="J1730" t="str">
        <f t="shared" ref="J1730:J1793" si="82">IF(I1730&lt;20,"Low",IF(I1730&lt;50,"Medium","High"))</f>
        <v>Low</v>
      </c>
      <c r="K1730" t="s">
        <v>42</v>
      </c>
      <c r="L1730">
        <v>34</v>
      </c>
      <c r="M1730">
        <v>62</v>
      </c>
      <c r="N1730" t="str">
        <f t="shared" ref="N1730:N1793" si="83">IF(O1730&lt;8,"Low Cost",IF(O1730&lt;17,"Medium Cost","High Cost"))</f>
        <v>Low Cost</v>
      </c>
      <c r="O1730">
        <v>3.3</v>
      </c>
      <c r="P1730" t="s">
        <v>64</v>
      </c>
      <c r="Q1730" t="s">
        <v>34</v>
      </c>
      <c r="R1730" t="s">
        <v>35</v>
      </c>
      <c r="S1730" t="s">
        <v>152</v>
      </c>
      <c r="T1730" t="s">
        <v>27</v>
      </c>
      <c r="U1730">
        <v>77</v>
      </c>
      <c r="V1730">
        <v>1.2</v>
      </c>
      <c r="W1730" t="s">
        <v>47</v>
      </c>
      <c r="X1730" t="s">
        <v>29</v>
      </c>
    </row>
    <row r="1731" spans="1:24" x14ac:dyDescent="0.3">
      <c r="A1731" t="s">
        <v>3007</v>
      </c>
      <c r="B1731" t="s">
        <v>40</v>
      </c>
      <c r="C1731" t="s">
        <v>41</v>
      </c>
      <c r="D1731" t="str">
        <f t="shared" si="81"/>
        <v>Morning</v>
      </c>
      <c r="E1731">
        <f>HOUR(EV_Data[[#This Row],[Charging Start Time]])</f>
        <v>1</v>
      </c>
      <c r="F1731" s="1">
        <v>44999.041666666664</v>
      </c>
      <c r="G1731" s="1">
        <v>44999.042361111111</v>
      </c>
      <c r="H1731">
        <v>1</v>
      </c>
      <c r="I1731">
        <v>7.26</v>
      </c>
      <c r="J1731" t="str">
        <f t="shared" si="82"/>
        <v>Low</v>
      </c>
      <c r="K1731" t="s">
        <v>42</v>
      </c>
      <c r="L1731">
        <v>9</v>
      </c>
      <c r="M1731">
        <v>20</v>
      </c>
      <c r="N1731" t="str">
        <f t="shared" si="83"/>
        <v>Low Cost</v>
      </c>
      <c r="O1731">
        <v>1.46</v>
      </c>
      <c r="P1731" t="s">
        <v>64</v>
      </c>
      <c r="Q1731" t="s">
        <v>48</v>
      </c>
      <c r="R1731" t="s">
        <v>25</v>
      </c>
      <c r="S1731" t="s">
        <v>663</v>
      </c>
      <c r="T1731" t="s">
        <v>60</v>
      </c>
      <c r="U1731">
        <v>100</v>
      </c>
      <c r="V1731">
        <v>2.5</v>
      </c>
      <c r="W1731" t="s">
        <v>47</v>
      </c>
      <c r="X1731" t="s">
        <v>29</v>
      </c>
    </row>
    <row r="1732" spans="1:24" x14ac:dyDescent="0.3">
      <c r="A1732" t="s">
        <v>3008</v>
      </c>
      <c r="B1732" t="s">
        <v>20</v>
      </c>
      <c r="C1732" t="s">
        <v>21</v>
      </c>
      <c r="D1732" t="str">
        <f t="shared" si="81"/>
        <v>Morning</v>
      </c>
      <c r="E1732">
        <f>HOUR(EV_Data[[#This Row],[Charging Start Time]])</f>
        <v>2</v>
      </c>
      <c r="F1732" s="1">
        <v>44999.083333333336</v>
      </c>
      <c r="G1732" s="1">
        <v>44999.113888888889</v>
      </c>
      <c r="H1732">
        <v>44</v>
      </c>
      <c r="I1732">
        <v>24.81</v>
      </c>
      <c r="J1732" t="str">
        <f t="shared" si="82"/>
        <v>Medium</v>
      </c>
      <c r="K1732" t="s">
        <v>55</v>
      </c>
      <c r="L1732">
        <v>24</v>
      </c>
      <c r="M1732">
        <v>64</v>
      </c>
      <c r="N1732" t="str">
        <f t="shared" si="83"/>
        <v>Medium Cost</v>
      </c>
      <c r="O1732">
        <v>8.39</v>
      </c>
      <c r="P1732" t="s">
        <v>51</v>
      </c>
      <c r="Q1732" t="s">
        <v>48</v>
      </c>
      <c r="R1732" t="s">
        <v>44</v>
      </c>
      <c r="S1732" t="s">
        <v>133</v>
      </c>
      <c r="T1732" t="s">
        <v>60</v>
      </c>
      <c r="U1732">
        <v>11</v>
      </c>
      <c r="V1732">
        <v>1.8</v>
      </c>
      <c r="W1732" t="s">
        <v>47</v>
      </c>
      <c r="X1732" t="s">
        <v>29</v>
      </c>
    </row>
    <row r="1733" spans="1:24" x14ac:dyDescent="0.3">
      <c r="A1733" t="s">
        <v>3009</v>
      </c>
      <c r="B1733" t="s">
        <v>53</v>
      </c>
      <c r="C1733" t="s">
        <v>54</v>
      </c>
      <c r="D1733" t="str">
        <f t="shared" si="81"/>
        <v>Morning</v>
      </c>
      <c r="E1733">
        <f>HOUR(EV_Data[[#This Row],[Charging Start Time]])</f>
        <v>3</v>
      </c>
      <c r="F1733" s="1">
        <v>44999.125</v>
      </c>
      <c r="G1733" s="1">
        <v>44999.15</v>
      </c>
      <c r="H1733">
        <v>36</v>
      </c>
      <c r="I1733">
        <v>45.68</v>
      </c>
      <c r="J1733" t="str">
        <f t="shared" si="82"/>
        <v>Medium</v>
      </c>
      <c r="K1733" t="s">
        <v>50</v>
      </c>
      <c r="L1733">
        <v>79</v>
      </c>
      <c r="M1733">
        <v>100</v>
      </c>
      <c r="N1733" t="str">
        <f t="shared" si="83"/>
        <v>High Cost</v>
      </c>
      <c r="O1733">
        <v>19.3</v>
      </c>
      <c r="P1733" t="s">
        <v>23</v>
      </c>
      <c r="Q1733" t="s">
        <v>34</v>
      </c>
      <c r="R1733" t="s">
        <v>56</v>
      </c>
      <c r="S1733" t="s">
        <v>1173</v>
      </c>
      <c r="T1733" t="s">
        <v>27</v>
      </c>
      <c r="U1733">
        <v>23</v>
      </c>
      <c r="V1733">
        <v>3.2</v>
      </c>
      <c r="W1733" t="s">
        <v>38</v>
      </c>
      <c r="X1733" t="s">
        <v>83</v>
      </c>
    </row>
    <row r="1734" spans="1:24" x14ac:dyDescent="0.3">
      <c r="A1734" t="s">
        <v>3010</v>
      </c>
      <c r="B1734" t="s">
        <v>20</v>
      </c>
      <c r="C1734" t="s">
        <v>21</v>
      </c>
      <c r="D1734" t="str">
        <f t="shared" si="81"/>
        <v>Morning</v>
      </c>
      <c r="E1734">
        <f>HOUR(EV_Data[[#This Row],[Charging Start Time]])</f>
        <v>4</v>
      </c>
      <c r="F1734" s="1">
        <v>44999.166666666664</v>
      </c>
      <c r="G1734" s="1">
        <v>44999.23541666667</v>
      </c>
      <c r="H1734">
        <v>99</v>
      </c>
      <c r="I1734">
        <v>8.6199999999999992</v>
      </c>
      <c r="J1734" t="str">
        <f t="shared" si="82"/>
        <v>Low</v>
      </c>
      <c r="K1734" t="s">
        <v>32</v>
      </c>
      <c r="L1734">
        <v>11</v>
      </c>
      <c r="M1734">
        <v>51</v>
      </c>
      <c r="N1734" t="str">
        <f t="shared" si="83"/>
        <v>Low Cost</v>
      </c>
      <c r="O1734">
        <v>3.27</v>
      </c>
      <c r="P1734" t="s">
        <v>23</v>
      </c>
      <c r="Q1734" t="s">
        <v>24</v>
      </c>
      <c r="R1734" t="s">
        <v>56</v>
      </c>
      <c r="S1734" t="s">
        <v>1174</v>
      </c>
      <c r="T1734" t="s">
        <v>37</v>
      </c>
      <c r="U1734">
        <v>26</v>
      </c>
      <c r="V1734">
        <v>2</v>
      </c>
      <c r="W1734" t="s">
        <v>47</v>
      </c>
      <c r="X1734" t="s">
        <v>29</v>
      </c>
    </row>
    <row r="1735" spans="1:24" x14ac:dyDescent="0.3">
      <c r="A1735" t="s">
        <v>3011</v>
      </c>
      <c r="B1735" t="s">
        <v>77</v>
      </c>
      <c r="C1735" t="s">
        <v>78</v>
      </c>
      <c r="D1735" t="str">
        <f t="shared" si="81"/>
        <v>Morning</v>
      </c>
      <c r="E1735">
        <f>HOUR(EV_Data[[#This Row],[Charging Start Time]])</f>
        <v>5</v>
      </c>
      <c r="F1735" s="1">
        <v>44999.208333333336</v>
      </c>
      <c r="G1735" s="1">
        <v>44999.246527777781</v>
      </c>
      <c r="H1735">
        <v>55</v>
      </c>
      <c r="I1735">
        <v>7.04</v>
      </c>
      <c r="J1735" t="str">
        <f t="shared" si="82"/>
        <v>Low</v>
      </c>
      <c r="K1735" t="s">
        <v>32</v>
      </c>
      <c r="L1735">
        <v>74</v>
      </c>
      <c r="M1735">
        <v>100</v>
      </c>
      <c r="N1735" t="str">
        <f t="shared" si="83"/>
        <v>Low Cost</v>
      </c>
      <c r="O1735">
        <v>3.19</v>
      </c>
      <c r="P1735" t="s">
        <v>33</v>
      </c>
      <c r="Q1735" t="s">
        <v>24</v>
      </c>
      <c r="R1735" t="s">
        <v>44</v>
      </c>
      <c r="S1735" t="s">
        <v>166</v>
      </c>
      <c r="T1735" t="s">
        <v>60</v>
      </c>
      <c r="U1735">
        <v>18</v>
      </c>
      <c r="V1735">
        <v>4.0999999999999996</v>
      </c>
      <c r="W1735" t="s">
        <v>38</v>
      </c>
      <c r="X1735" t="s">
        <v>62</v>
      </c>
    </row>
    <row r="1736" spans="1:24" x14ac:dyDescent="0.3">
      <c r="A1736" t="s">
        <v>3012</v>
      </c>
      <c r="B1736" t="s">
        <v>126</v>
      </c>
      <c r="C1736" t="s">
        <v>31</v>
      </c>
      <c r="D1736" t="str">
        <f t="shared" si="81"/>
        <v>Morning</v>
      </c>
      <c r="E1736">
        <f>HOUR(EV_Data[[#This Row],[Charging Start Time]])</f>
        <v>6</v>
      </c>
      <c r="F1736" s="1">
        <v>44999.25</v>
      </c>
      <c r="G1736" s="1">
        <v>44999.306250000001</v>
      </c>
      <c r="H1736">
        <v>81</v>
      </c>
      <c r="I1736">
        <v>26.54</v>
      </c>
      <c r="J1736" t="str">
        <f t="shared" si="82"/>
        <v>Medium</v>
      </c>
      <c r="K1736" t="s">
        <v>22</v>
      </c>
      <c r="L1736">
        <v>37</v>
      </c>
      <c r="M1736">
        <v>68</v>
      </c>
      <c r="N1736" t="str">
        <f t="shared" si="83"/>
        <v>Low Cost</v>
      </c>
      <c r="O1736">
        <v>6.08</v>
      </c>
      <c r="P1736" t="s">
        <v>51</v>
      </c>
      <c r="Q1736" t="s">
        <v>24</v>
      </c>
      <c r="R1736" t="s">
        <v>56</v>
      </c>
      <c r="S1736" t="s">
        <v>1175</v>
      </c>
      <c r="T1736" t="s">
        <v>46</v>
      </c>
      <c r="U1736">
        <v>23</v>
      </c>
      <c r="V1736">
        <v>2.1</v>
      </c>
      <c r="W1736" t="s">
        <v>28</v>
      </c>
      <c r="X1736" t="s">
        <v>68</v>
      </c>
    </row>
    <row r="1737" spans="1:24" x14ac:dyDescent="0.3">
      <c r="A1737" t="s">
        <v>3013</v>
      </c>
      <c r="B1737" t="s">
        <v>30</v>
      </c>
      <c r="C1737" t="s">
        <v>102</v>
      </c>
      <c r="D1737" t="str">
        <f t="shared" si="81"/>
        <v>Morning</v>
      </c>
      <c r="E1737">
        <f>HOUR(EV_Data[[#This Row],[Charging Start Time]])</f>
        <v>7</v>
      </c>
      <c r="F1737" s="1">
        <v>44999.291666666664</v>
      </c>
      <c r="G1737" s="1">
        <v>44999.324999999997</v>
      </c>
      <c r="H1737">
        <v>48</v>
      </c>
      <c r="I1737">
        <v>35.76</v>
      </c>
      <c r="J1737" t="str">
        <f t="shared" si="82"/>
        <v>Medium</v>
      </c>
      <c r="K1737" t="s">
        <v>32</v>
      </c>
      <c r="L1737">
        <v>72</v>
      </c>
      <c r="M1737">
        <v>100</v>
      </c>
      <c r="N1737" t="str">
        <f t="shared" si="83"/>
        <v>Medium Cost</v>
      </c>
      <c r="O1737">
        <v>16.46</v>
      </c>
      <c r="P1737" t="s">
        <v>33</v>
      </c>
      <c r="Q1737" t="s">
        <v>24</v>
      </c>
      <c r="R1737" t="s">
        <v>56</v>
      </c>
      <c r="S1737" t="s">
        <v>727</v>
      </c>
      <c r="T1737" t="s">
        <v>27</v>
      </c>
      <c r="U1737">
        <v>85</v>
      </c>
      <c r="V1737">
        <v>3.8</v>
      </c>
      <c r="W1737" t="s">
        <v>38</v>
      </c>
      <c r="X1737" t="s">
        <v>62</v>
      </c>
    </row>
    <row r="1738" spans="1:24" x14ac:dyDescent="0.3">
      <c r="A1738" t="s">
        <v>3014</v>
      </c>
      <c r="B1738" t="s">
        <v>92</v>
      </c>
      <c r="C1738" t="s">
        <v>93</v>
      </c>
      <c r="D1738" t="str">
        <f t="shared" si="81"/>
        <v>Morning</v>
      </c>
      <c r="E1738">
        <f>HOUR(EV_Data[[#This Row],[Charging Start Time]])</f>
        <v>8</v>
      </c>
      <c r="F1738" s="1">
        <v>44999.333333333336</v>
      </c>
      <c r="G1738" s="1">
        <v>44999.367361111108</v>
      </c>
      <c r="H1738">
        <v>49</v>
      </c>
      <c r="I1738">
        <v>16.8</v>
      </c>
      <c r="J1738" t="str">
        <f t="shared" si="82"/>
        <v>Low</v>
      </c>
      <c r="K1738" t="s">
        <v>55</v>
      </c>
      <c r="L1738">
        <v>62</v>
      </c>
      <c r="M1738">
        <v>100</v>
      </c>
      <c r="N1738" t="str">
        <f t="shared" si="83"/>
        <v>Low Cost</v>
      </c>
      <c r="O1738">
        <v>7.23</v>
      </c>
      <c r="P1738" t="s">
        <v>23</v>
      </c>
      <c r="Q1738" t="s">
        <v>48</v>
      </c>
      <c r="R1738" t="s">
        <v>35</v>
      </c>
      <c r="S1738" t="s">
        <v>1176</v>
      </c>
      <c r="T1738" t="s">
        <v>60</v>
      </c>
      <c r="U1738">
        <v>47</v>
      </c>
      <c r="V1738">
        <v>4.4000000000000004</v>
      </c>
      <c r="W1738" t="s">
        <v>28</v>
      </c>
      <c r="X1738" t="s">
        <v>68</v>
      </c>
    </row>
    <row r="1739" spans="1:24" x14ac:dyDescent="0.3">
      <c r="A1739" t="s">
        <v>3015</v>
      </c>
      <c r="B1739" t="s">
        <v>92</v>
      </c>
      <c r="C1739" t="s">
        <v>93</v>
      </c>
      <c r="D1739" t="str">
        <f t="shared" si="81"/>
        <v>Morning</v>
      </c>
      <c r="E1739">
        <f>HOUR(EV_Data[[#This Row],[Charging Start Time]])</f>
        <v>9</v>
      </c>
      <c r="F1739" s="1">
        <v>44999.375</v>
      </c>
      <c r="G1739" s="1">
        <v>44999.444444444453</v>
      </c>
      <c r="H1739">
        <v>100</v>
      </c>
      <c r="I1739">
        <v>37.479999999999997</v>
      </c>
      <c r="J1739" t="str">
        <f t="shared" si="82"/>
        <v>Medium</v>
      </c>
      <c r="K1739" t="s">
        <v>22</v>
      </c>
      <c r="L1739">
        <v>24</v>
      </c>
      <c r="M1739">
        <v>52</v>
      </c>
      <c r="N1739" t="str">
        <f t="shared" si="83"/>
        <v>Medium Cost</v>
      </c>
      <c r="O1739">
        <v>8.09</v>
      </c>
      <c r="P1739" t="s">
        <v>64</v>
      </c>
      <c r="Q1739" t="s">
        <v>48</v>
      </c>
      <c r="R1739" t="s">
        <v>56</v>
      </c>
      <c r="S1739" t="s">
        <v>1177</v>
      </c>
      <c r="T1739" t="s">
        <v>46</v>
      </c>
      <c r="U1739">
        <v>58</v>
      </c>
      <c r="V1739">
        <v>4.7</v>
      </c>
      <c r="W1739" t="s">
        <v>47</v>
      </c>
      <c r="X1739" t="s">
        <v>29</v>
      </c>
    </row>
    <row r="1740" spans="1:24" x14ac:dyDescent="0.3">
      <c r="A1740" t="s">
        <v>3016</v>
      </c>
      <c r="B1740" t="s">
        <v>40</v>
      </c>
      <c r="C1740" t="s">
        <v>41</v>
      </c>
      <c r="D1740" t="str">
        <f t="shared" si="81"/>
        <v>Morning</v>
      </c>
      <c r="E1740">
        <f>HOUR(EV_Data[[#This Row],[Charging Start Time]])</f>
        <v>10</v>
      </c>
      <c r="F1740" s="1">
        <v>44999.416666666664</v>
      </c>
      <c r="G1740" s="1">
        <v>44999.463194444441</v>
      </c>
      <c r="H1740">
        <v>67</v>
      </c>
      <c r="I1740">
        <v>38.04</v>
      </c>
      <c r="J1740" t="str">
        <f t="shared" si="82"/>
        <v>Medium</v>
      </c>
      <c r="K1740" t="s">
        <v>69</v>
      </c>
      <c r="L1740">
        <v>49</v>
      </c>
      <c r="M1740">
        <v>82</v>
      </c>
      <c r="N1740" t="str">
        <f t="shared" si="83"/>
        <v>Medium Cost</v>
      </c>
      <c r="O1740">
        <v>14.18</v>
      </c>
      <c r="P1740" t="s">
        <v>43</v>
      </c>
      <c r="Q1740" t="s">
        <v>48</v>
      </c>
      <c r="R1740" t="s">
        <v>56</v>
      </c>
      <c r="S1740" t="s">
        <v>52</v>
      </c>
      <c r="T1740" t="s">
        <v>27</v>
      </c>
      <c r="U1740">
        <v>63</v>
      </c>
      <c r="V1740">
        <v>3.1</v>
      </c>
      <c r="W1740" t="s">
        <v>38</v>
      </c>
      <c r="X1740" t="s">
        <v>39</v>
      </c>
    </row>
    <row r="1741" spans="1:24" x14ac:dyDescent="0.3">
      <c r="A1741" t="s">
        <v>3017</v>
      </c>
      <c r="B1741" t="s">
        <v>126</v>
      </c>
      <c r="C1741" t="s">
        <v>31</v>
      </c>
      <c r="D1741" t="str">
        <f t="shared" si="81"/>
        <v>Morning</v>
      </c>
      <c r="E1741">
        <f>HOUR(EV_Data[[#This Row],[Charging Start Time]])</f>
        <v>11</v>
      </c>
      <c r="F1741" s="1">
        <v>44999.458333333336</v>
      </c>
      <c r="G1741" s="1">
        <v>44999.518055555563</v>
      </c>
      <c r="H1741">
        <v>86</v>
      </c>
      <c r="I1741">
        <v>30.25</v>
      </c>
      <c r="J1741" t="str">
        <f t="shared" si="82"/>
        <v>Medium</v>
      </c>
      <c r="K1741" t="s">
        <v>22</v>
      </c>
      <c r="L1741">
        <v>76</v>
      </c>
      <c r="M1741">
        <v>96</v>
      </c>
      <c r="N1741" t="str">
        <f t="shared" si="83"/>
        <v>Medium Cost</v>
      </c>
      <c r="O1741">
        <v>12.56</v>
      </c>
      <c r="P1741" t="s">
        <v>43</v>
      </c>
      <c r="Q1741" t="s">
        <v>34</v>
      </c>
      <c r="R1741" t="s">
        <v>35</v>
      </c>
      <c r="S1741" t="s">
        <v>1178</v>
      </c>
      <c r="T1741" t="s">
        <v>60</v>
      </c>
      <c r="U1741">
        <v>92</v>
      </c>
      <c r="V1741">
        <v>3.4</v>
      </c>
      <c r="W1741" t="s">
        <v>47</v>
      </c>
      <c r="X1741" t="s">
        <v>29</v>
      </c>
    </row>
    <row r="1742" spans="1:24" x14ac:dyDescent="0.3">
      <c r="A1742" t="s">
        <v>3018</v>
      </c>
      <c r="B1742" t="s">
        <v>30</v>
      </c>
      <c r="C1742" t="s">
        <v>102</v>
      </c>
      <c r="D1742" t="str">
        <f t="shared" si="81"/>
        <v>Afternoon</v>
      </c>
      <c r="E1742">
        <f>HOUR(EV_Data[[#This Row],[Charging Start Time]])</f>
        <v>12</v>
      </c>
      <c r="F1742" s="1">
        <v>44999.5</v>
      </c>
      <c r="G1742" s="1">
        <v>44999.536111111112</v>
      </c>
      <c r="H1742">
        <v>52</v>
      </c>
      <c r="I1742">
        <v>5.62</v>
      </c>
      <c r="J1742" t="str">
        <f t="shared" si="82"/>
        <v>Low</v>
      </c>
      <c r="K1742" t="s">
        <v>69</v>
      </c>
      <c r="L1742">
        <v>64</v>
      </c>
      <c r="M1742">
        <v>86</v>
      </c>
      <c r="N1742" t="str">
        <f t="shared" si="83"/>
        <v>Low Cost</v>
      </c>
      <c r="O1742">
        <v>2.63</v>
      </c>
      <c r="P1742" t="s">
        <v>23</v>
      </c>
      <c r="Q1742" t="s">
        <v>34</v>
      </c>
      <c r="R1742" t="s">
        <v>44</v>
      </c>
      <c r="S1742" t="s">
        <v>1179</v>
      </c>
      <c r="T1742" t="s">
        <v>27</v>
      </c>
      <c r="U1742">
        <v>49</v>
      </c>
      <c r="V1742">
        <v>1.9</v>
      </c>
      <c r="W1742" t="s">
        <v>28</v>
      </c>
      <c r="X1742" t="s">
        <v>68</v>
      </c>
    </row>
    <row r="1743" spans="1:24" x14ac:dyDescent="0.3">
      <c r="A1743" t="s">
        <v>3019</v>
      </c>
      <c r="B1743" t="s">
        <v>20</v>
      </c>
      <c r="C1743" t="s">
        <v>21</v>
      </c>
      <c r="D1743" t="str">
        <f t="shared" si="81"/>
        <v>Afternoon</v>
      </c>
      <c r="E1743">
        <f>HOUR(EV_Data[[#This Row],[Charging Start Time]])</f>
        <v>13</v>
      </c>
      <c r="F1743" s="1">
        <v>44999.541666666664</v>
      </c>
      <c r="G1743" s="1">
        <v>44999.552777777782</v>
      </c>
      <c r="H1743">
        <v>16</v>
      </c>
      <c r="I1743">
        <v>33.24</v>
      </c>
      <c r="J1743" t="str">
        <f t="shared" si="82"/>
        <v>Medium</v>
      </c>
      <c r="K1743" t="s">
        <v>55</v>
      </c>
      <c r="L1743">
        <v>80</v>
      </c>
      <c r="M1743">
        <v>100</v>
      </c>
      <c r="N1743" t="str">
        <f t="shared" si="83"/>
        <v>Medium Cost</v>
      </c>
      <c r="O1743">
        <v>12.58</v>
      </c>
      <c r="P1743" t="s">
        <v>43</v>
      </c>
      <c r="Q1743" t="s">
        <v>34</v>
      </c>
      <c r="R1743" t="s">
        <v>56</v>
      </c>
      <c r="S1743" t="s">
        <v>1180</v>
      </c>
      <c r="T1743" t="s">
        <v>27</v>
      </c>
      <c r="U1743">
        <v>29</v>
      </c>
      <c r="V1743">
        <v>3.1</v>
      </c>
      <c r="W1743" t="s">
        <v>28</v>
      </c>
      <c r="X1743" t="s">
        <v>68</v>
      </c>
    </row>
    <row r="1744" spans="1:24" x14ac:dyDescent="0.3">
      <c r="A1744" t="s">
        <v>3020</v>
      </c>
      <c r="B1744" t="s">
        <v>40</v>
      </c>
      <c r="C1744" t="s">
        <v>41</v>
      </c>
      <c r="D1744" t="str">
        <f t="shared" si="81"/>
        <v>Afternoon</v>
      </c>
      <c r="E1744">
        <f>HOUR(EV_Data[[#This Row],[Charging Start Time]])</f>
        <v>14</v>
      </c>
      <c r="F1744" s="1">
        <v>44999.583333333336</v>
      </c>
      <c r="G1744" s="1">
        <v>44999.602083333331</v>
      </c>
      <c r="H1744">
        <v>27</v>
      </c>
      <c r="I1744">
        <v>11.78</v>
      </c>
      <c r="J1744" t="str">
        <f t="shared" si="82"/>
        <v>Low</v>
      </c>
      <c r="K1744" t="s">
        <v>55</v>
      </c>
      <c r="L1744">
        <v>21</v>
      </c>
      <c r="M1744">
        <v>52</v>
      </c>
      <c r="N1744" t="str">
        <f t="shared" si="83"/>
        <v>Low Cost</v>
      </c>
      <c r="O1744">
        <v>3.54</v>
      </c>
      <c r="P1744" t="s">
        <v>43</v>
      </c>
      <c r="Q1744" t="s">
        <v>24</v>
      </c>
      <c r="R1744" t="s">
        <v>25</v>
      </c>
      <c r="S1744" t="s">
        <v>1181</v>
      </c>
      <c r="T1744" t="s">
        <v>27</v>
      </c>
      <c r="U1744">
        <v>36</v>
      </c>
      <c r="V1744">
        <v>4.2</v>
      </c>
      <c r="W1744" t="s">
        <v>28</v>
      </c>
      <c r="X1744" t="s">
        <v>68</v>
      </c>
    </row>
    <row r="1745" spans="1:24" x14ac:dyDescent="0.3">
      <c r="A1745" t="s">
        <v>3021</v>
      </c>
      <c r="B1745" t="s">
        <v>20</v>
      </c>
      <c r="C1745" t="s">
        <v>21</v>
      </c>
      <c r="D1745" t="str">
        <f t="shared" si="81"/>
        <v>Afternoon</v>
      </c>
      <c r="E1745">
        <f>HOUR(EV_Data[[#This Row],[Charging Start Time]])</f>
        <v>15</v>
      </c>
      <c r="F1745" s="1">
        <v>44999.625</v>
      </c>
      <c r="G1745" s="1">
        <v>44999.681250000001</v>
      </c>
      <c r="H1745">
        <v>81</v>
      </c>
      <c r="I1745">
        <v>47.78</v>
      </c>
      <c r="J1745" t="str">
        <f t="shared" si="82"/>
        <v>Medium</v>
      </c>
      <c r="K1745" t="s">
        <v>50</v>
      </c>
      <c r="L1745">
        <v>27</v>
      </c>
      <c r="M1745">
        <v>44</v>
      </c>
      <c r="N1745" t="str">
        <f t="shared" si="83"/>
        <v>High Cost</v>
      </c>
      <c r="O1745">
        <v>19.86</v>
      </c>
      <c r="P1745" t="s">
        <v>51</v>
      </c>
      <c r="Q1745" t="s">
        <v>48</v>
      </c>
      <c r="R1745" t="s">
        <v>25</v>
      </c>
      <c r="S1745" t="s">
        <v>887</v>
      </c>
      <c r="T1745" t="s">
        <v>60</v>
      </c>
      <c r="U1745">
        <v>13</v>
      </c>
      <c r="V1745">
        <v>2.6</v>
      </c>
      <c r="W1745" t="s">
        <v>38</v>
      </c>
    </row>
    <row r="1746" spans="1:24" x14ac:dyDescent="0.3">
      <c r="A1746" t="s">
        <v>3022</v>
      </c>
      <c r="B1746" t="s">
        <v>77</v>
      </c>
      <c r="C1746" t="s">
        <v>78</v>
      </c>
      <c r="D1746" t="str">
        <f t="shared" si="81"/>
        <v>Afternoon</v>
      </c>
      <c r="E1746">
        <f>HOUR(EV_Data[[#This Row],[Charging Start Time]])</f>
        <v>16</v>
      </c>
      <c r="F1746" s="1">
        <v>44999.666666666664</v>
      </c>
      <c r="G1746" s="1">
        <v>44999.688194444447</v>
      </c>
      <c r="H1746">
        <v>31</v>
      </c>
      <c r="I1746">
        <v>7.11</v>
      </c>
      <c r="J1746" t="str">
        <f t="shared" si="82"/>
        <v>Low</v>
      </c>
      <c r="K1746" t="s">
        <v>69</v>
      </c>
      <c r="L1746">
        <v>75</v>
      </c>
      <c r="M1746">
        <v>86</v>
      </c>
      <c r="N1746" t="str">
        <f t="shared" si="83"/>
        <v>Low Cost</v>
      </c>
      <c r="O1746">
        <v>2.6</v>
      </c>
      <c r="P1746" t="s">
        <v>43</v>
      </c>
      <c r="Q1746" t="s">
        <v>58</v>
      </c>
      <c r="R1746" t="s">
        <v>25</v>
      </c>
      <c r="S1746" t="s">
        <v>1182</v>
      </c>
      <c r="T1746" t="s">
        <v>27</v>
      </c>
      <c r="U1746">
        <v>17</v>
      </c>
      <c r="V1746">
        <v>2.2999999999999998</v>
      </c>
      <c r="W1746" t="s">
        <v>38</v>
      </c>
      <c r="X1746" t="s">
        <v>83</v>
      </c>
    </row>
    <row r="1747" spans="1:24" x14ac:dyDescent="0.3">
      <c r="A1747" t="s">
        <v>3023</v>
      </c>
      <c r="B1747" t="s">
        <v>77</v>
      </c>
      <c r="C1747" t="s">
        <v>78</v>
      </c>
      <c r="D1747" t="str">
        <f t="shared" si="81"/>
        <v>Evening</v>
      </c>
      <c r="E1747">
        <f>HOUR(EV_Data[[#This Row],[Charging Start Time]])</f>
        <v>17</v>
      </c>
      <c r="F1747" s="1">
        <v>44999.708333333336</v>
      </c>
      <c r="G1747" s="1">
        <v>44999.73333333333</v>
      </c>
      <c r="H1747">
        <v>36</v>
      </c>
      <c r="I1747">
        <v>40</v>
      </c>
      <c r="J1747" t="str">
        <f t="shared" si="82"/>
        <v>Medium</v>
      </c>
      <c r="K1747" t="s">
        <v>22</v>
      </c>
      <c r="L1747">
        <v>61</v>
      </c>
      <c r="M1747">
        <v>88</v>
      </c>
      <c r="N1747" t="str">
        <f t="shared" si="83"/>
        <v>High Cost</v>
      </c>
      <c r="O1747">
        <v>18.29</v>
      </c>
      <c r="P1747" t="s">
        <v>51</v>
      </c>
      <c r="Q1747" t="s">
        <v>34</v>
      </c>
      <c r="R1747" t="s">
        <v>56</v>
      </c>
      <c r="S1747" t="s">
        <v>1183</v>
      </c>
      <c r="T1747" t="s">
        <v>27</v>
      </c>
      <c r="U1747">
        <v>50</v>
      </c>
      <c r="V1747">
        <v>2.1</v>
      </c>
      <c r="W1747" t="s">
        <v>28</v>
      </c>
      <c r="X1747" t="s">
        <v>68</v>
      </c>
    </row>
    <row r="1748" spans="1:24" x14ac:dyDescent="0.3">
      <c r="A1748" t="s">
        <v>3024</v>
      </c>
      <c r="B1748" t="s">
        <v>92</v>
      </c>
      <c r="C1748" t="s">
        <v>93</v>
      </c>
      <c r="D1748" t="str">
        <f t="shared" si="81"/>
        <v>Evening</v>
      </c>
      <c r="E1748">
        <f>HOUR(EV_Data[[#This Row],[Charging Start Time]])</f>
        <v>18</v>
      </c>
      <c r="F1748" s="1">
        <v>44999.75</v>
      </c>
      <c r="G1748" s="1">
        <v>44999.796527777777</v>
      </c>
      <c r="H1748">
        <v>67</v>
      </c>
      <c r="I1748">
        <v>39.520000000000003</v>
      </c>
      <c r="J1748" t="str">
        <f t="shared" si="82"/>
        <v>Medium</v>
      </c>
      <c r="K1748" t="s">
        <v>22</v>
      </c>
      <c r="L1748">
        <v>5</v>
      </c>
      <c r="M1748">
        <v>28</v>
      </c>
      <c r="N1748" t="str">
        <f t="shared" si="83"/>
        <v>Medium Cost</v>
      </c>
      <c r="O1748">
        <v>9.09</v>
      </c>
      <c r="P1748" t="s">
        <v>64</v>
      </c>
      <c r="Q1748" t="s">
        <v>34</v>
      </c>
      <c r="R1748" t="s">
        <v>35</v>
      </c>
      <c r="S1748" t="s">
        <v>1184</v>
      </c>
      <c r="T1748" t="s">
        <v>37</v>
      </c>
      <c r="U1748">
        <v>48</v>
      </c>
      <c r="V1748">
        <v>1</v>
      </c>
      <c r="W1748" t="s">
        <v>38</v>
      </c>
      <c r="X1748" t="s">
        <v>39</v>
      </c>
    </row>
    <row r="1749" spans="1:24" x14ac:dyDescent="0.3">
      <c r="A1749" t="s">
        <v>3025</v>
      </c>
      <c r="B1749" t="s">
        <v>30</v>
      </c>
      <c r="C1749" t="s">
        <v>102</v>
      </c>
      <c r="D1749" t="str">
        <f t="shared" si="81"/>
        <v>Evening</v>
      </c>
      <c r="E1749">
        <f>HOUR(EV_Data[[#This Row],[Charging Start Time]])</f>
        <v>19</v>
      </c>
      <c r="F1749" s="1">
        <v>44999.791666666664</v>
      </c>
      <c r="G1749" s="1">
        <v>44999.805555555547</v>
      </c>
      <c r="H1749">
        <v>20</v>
      </c>
      <c r="I1749">
        <v>44.64</v>
      </c>
      <c r="J1749" t="str">
        <f t="shared" si="82"/>
        <v>Medium</v>
      </c>
      <c r="K1749" t="s">
        <v>32</v>
      </c>
      <c r="L1749">
        <v>56</v>
      </c>
      <c r="M1749">
        <v>91</v>
      </c>
      <c r="N1749" t="str">
        <f t="shared" si="83"/>
        <v>Medium Cost</v>
      </c>
      <c r="O1749">
        <v>13.07</v>
      </c>
      <c r="P1749" t="s">
        <v>33</v>
      </c>
      <c r="Q1749" t="s">
        <v>58</v>
      </c>
      <c r="R1749" t="s">
        <v>25</v>
      </c>
      <c r="S1749" t="s">
        <v>785</v>
      </c>
      <c r="T1749" t="s">
        <v>27</v>
      </c>
      <c r="U1749">
        <v>99</v>
      </c>
      <c r="V1749">
        <v>4.4000000000000004</v>
      </c>
      <c r="W1749" t="s">
        <v>38</v>
      </c>
    </row>
    <row r="1750" spans="1:24" x14ac:dyDescent="0.3">
      <c r="A1750" t="s">
        <v>3026</v>
      </c>
      <c r="B1750" t="s">
        <v>53</v>
      </c>
      <c r="C1750" t="s">
        <v>54</v>
      </c>
      <c r="D1750" t="str">
        <f t="shared" si="81"/>
        <v>Evening</v>
      </c>
      <c r="E1750">
        <f>HOUR(EV_Data[[#This Row],[Charging Start Time]])</f>
        <v>20</v>
      </c>
      <c r="F1750" s="1">
        <v>44999.833333333336</v>
      </c>
      <c r="G1750" s="1">
        <v>44999.871527777781</v>
      </c>
      <c r="H1750">
        <v>55</v>
      </c>
      <c r="I1750">
        <v>49.86</v>
      </c>
      <c r="J1750" t="str">
        <f t="shared" si="82"/>
        <v>Medium</v>
      </c>
      <c r="K1750" t="s">
        <v>55</v>
      </c>
      <c r="L1750">
        <v>43</v>
      </c>
      <c r="M1750">
        <v>56</v>
      </c>
      <c r="N1750" t="str">
        <f t="shared" si="83"/>
        <v>Medium Cost</v>
      </c>
      <c r="O1750">
        <v>16.43</v>
      </c>
      <c r="P1750" t="s">
        <v>23</v>
      </c>
      <c r="Q1750" t="s">
        <v>48</v>
      </c>
      <c r="R1750" t="s">
        <v>56</v>
      </c>
      <c r="S1750" t="s">
        <v>1185</v>
      </c>
      <c r="T1750" t="s">
        <v>37</v>
      </c>
      <c r="U1750">
        <v>34</v>
      </c>
      <c r="V1750">
        <v>1.3</v>
      </c>
      <c r="W1750" t="s">
        <v>28</v>
      </c>
      <c r="X1750" t="s">
        <v>68</v>
      </c>
    </row>
    <row r="1751" spans="1:24" x14ac:dyDescent="0.3">
      <c r="A1751" t="s">
        <v>3027</v>
      </c>
      <c r="B1751" t="s">
        <v>53</v>
      </c>
      <c r="C1751" t="s">
        <v>54</v>
      </c>
      <c r="D1751" t="str">
        <f t="shared" si="81"/>
        <v>Evening</v>
      </c>
      <c r="E1751">
        <f>HOUR(EV_Data[[#This Row],[Charging Start Time]])</f>
        <v>21</v>
      </c>
      <c r="F1751" s="1">
        <v>44999.875</v>
      </c>
      <c r="G1751" s="1">
        <v>44999.875694444447</v>
      </c>
      <c r="H1751">
        <v>1</v>
      </c>
      <c r="I1751">
        <v>38.630000000000003</v>
      </c>
      <c r="J1751" t="str">
        <f t="shared" si="82"/>
        <v>Medium</v>
      </c>
      <c r="K1751" t="s">
        <v>32</v>
      </c>
      <c r="L1751">
        <v>36</v>
      </c>
      <c r="M1751">
        <v>55</v>
      </c>
      <c r="N1751" t="str">
        <f t="shared" si="83"/>
        <v>Medium Cost</v>
      </c>
      <c r="O1751">
        <v>15.49</v>
      </c>
      <c r="P1751" t="s">
        <v>64</v>
      </c>
      <c r="Q1751" t="s">
        <v>48</v>
      </c>
      <c r="R1751" t="s">
        <v>35</v>
      </c>
      <c r="S1751" t="s">
        <v>74</v>
      </c>
      <c r="T1751" t="s">
        <v>60</v>
      </c>
      <c r="U1751">
        <v>10</v>
      </c>
      <c r="V1751">
        <v>2.6</v>
      </c>
      <c r="W1751" t="s">
        <v>47</v>
      </c>
      <c r="X1751" t="s">
        <v>29</v>
      </c>
    </row>
    <row r="1752" spans="1:24" x14ac:dyDescent="0.3">
      <c r="A1752" t="s">
        <v>3028</v>
      </c>
      <c r="B1752" t="s">
        <v>126</v>
      </c>
      <c r="C1752" t="s">
        <v>31</v>
      </c>
      <c r="D1752" t="str">
        <f t="shared" si="81"/>
        <v>Evening</v>
      </c>
      <c r="E1752">
        <f>HOUR(EV_Data[[#This Row],[Charging Start Time]])</f>
        <v>22</v>
      </c>
      <c r="F1752" s="1">
        <v>44999.916666666664</v>
      </c>
      <c r="G1752" s="1">
        <v>44999.931250000001</v>
      </c>
      <c r="H1752">
        <v>21</v>
      </c>
      <c r="I1752">
        <v>46.22</v>
      </c>
      <c r="J1752" t="str">
        <f t="shared" si="82"/>
        <v>Medium</v>
      </c>
      <c r="K1752" t="s">
        <v>32</v>
      </c>
      <c r="L1752">
        <v>58</v>
      </c>
      <c r="M1752">
        <v>86</v>
      </c>
      <c r="N1752" t="str">
        <f t="shared" si="83"/>
        <v>Medium Cost</v>
      </c>
      <c r="O1752">
        <v>16.77</v>
      </c>
      <c r="P1752" t="s">
        <v>33</v>
      </c>
      <c r="Q1752" t="s">
        <v>24</v>
      </c>
      <c r="R1752" t="s">
        <v>35</v>
      </c>
      <c r="S1752" t="s">
        <v>1186</v>
      </c>
      <c r="T1752" t="s">
        <v>60</v>
      </c>
      <c r="U1752">
        <v>95</v>
      </c>
      <c r="V1752">
        <v>1.2</v>
      </c>
      <c r="W1752" t="s">
        <v>38</v>
      </c>
      <c r="X1752" t="s">
        <v>39</v>
      </c>
    </row>
    <row r="1753" spans="1:24" x14ac:dyDescent="0.3">
      <c r="A1753" t="s">
        <v>3029</v>
      </c>
      <c r="B1753" t="s">
        <v>53</v>
      </c>
      <c r="C1753" t="s">
        <v>54</v>
      </c>
      <c r="D1753" t="str">
        <f t="shared" si="81"/>
        <v>Evening</v>
      </c>
      <c r="E1753">
        <f>HOUR(EV_Data[[#This Row],[Charging Start Time]])</f>
        <v>23</v>
      </c>
      <c r="F1753" s="1">
        <v>44999.958333333336</v>
      </c>
      <c r="G1753" s="1">
        <v>44999.98541666667</v>
      </c>
      <c r="H1753">
        <v>39</v>
      </c>
      <c r="I1753">
        <v>36.630000000000003</v>
      </c>
      <c r="J1753" t="str">
        <f t="shared" si="82"/>
        <v>Medium</v>
      </c>
      <c r="K1753" t="s">
        <v>42</v>
      </c>
      <c r="L1753">
        <v>78</v>
      </c>
      <c r="M1753">
        <v>91</v>
      </c>
      <c r="N1753" t="str">
        <f t="shared" si="83"/>
        <v>Medium Cost</v>
      </c>
      <c r="O1753">
        <v>14.44</v>
      </c>
      <c r="P1753" t="s">
        <v>23</v>
      </c>
      <c r="Q1753" t="s">
        <v>48</v>
      </c>
      <c r="R1753" t="s">
        <v>25</v>
      </c>
      <c r="S1753" t="s">
        <v>1080</v>
      </c>
      <c r="T1753" t="s">
        <v>46</v>
      </c>
      <c r="U1753">
        <v>99</v>
      </c>
      <c r="V1753">
        <v>4.5</v>
      </c>
      <c r="W1753" t="s">
        <v>28</v>
      </c>
      <c r="X1753" t="s">
        <v>68</v>
      </c>
    </row>
    <row r="1754" spans="1:24" x14ac:dyDescent="0.3">
      <c r="A1754" t="s">
        <v>3030</v>
      </c>
      <c r="B1754" t="s">
        <v>126</v>
      </c>
      <c r="C1754" t="s">
        <v>31</v>
      </c>
      <c r="D1754" t="str">
        <f t="shared" si="81"/>
        <v>Morning</v>
      </c>
      <c r="E1754">
        <f>HOUR(EV_Data[[#This Row],[Charging Start Time]])</f>
        <v>0</v>
      </c>
      <c r="F1754" s="1">
        <v>45000</v>
      </c>
      <c r="G1754" s="1">
        <v>45000.049305555563</v>
      </c>
      <c r="H1754">
        <v>71</v>
      </c>
      <c r="I1754">
        <v>16.350000000000001</v>
      </c>
      <c r="J1754" t="str">
        <f t="shared" si="82"/>
        <v>Low</v>
      </c>
      <c r="K1754" t="s">
        <v>50</v>
      </c>
      <c r="L1754">
        <v>54</v>
      </c>
      <c r="M1754">
        <v>93</v>
      </c>
      <c r="N1754" t="str">
        <f t="shared" si="83"/>
        <v>Low Cost</v>
      </c>
      <c r="O1754">
        <v>3.32</v>
      </c>
      <c r="P1754" t="s">
        <v>33</v>
      </c>
      <c r="Q1754" t="s">
        <v>48</v>
      </c>
      <c r="R1754" t="s">
        <v>35</v>
      </c>
      <c r="S1754" t="s">
        <v>433</v>
      </c>
      <c r="T1754" t="s">
        <v>27</v>
      </c>
      <c r="U1754">
        <v>40</v>
      </c>
      <c r="V1754">
        <v>1.6</v>
      </c>
      <c r="W1754" t="s">
        <v>28</v>
      </c>
      <c r="X1754" t="s">
        <v>68</v>
      </c>
    </row>
    <row r="1755" spans="1:24" x14ac:dyDescent="0.3">
      <c r="A1755" t="s">
        <v>3031</v>
      </c>
      <c r="B1755" t="s">
        <v>53</v>
      </c>
      <c r="C1755" t="s">
        <v>54</v>
      </c>
      <c r="D1755" t="str">
        <f t="shared" si="81"/>
        <v>Morning</v>
      </c>
      <c r="E1755">
        <f>HOUR(EV_Data[[#This Row],[Charging Start Time]])</f>
        <v>1</v>
      </c>
      <c r="F1755" s="1">
        <v>45000.041666666664</v>
      </c>
      <c r="G1755" s="1">
        <v>45000.052777777782</v>
      </c>
      <c r="H1755">
        <v>16</v>
      </c>
      <c r="I1755">
        <v>14.25</v>
      </c>
      <c r="J1755" t="str">
        <f t="shared" si="82"/>
        <v>Low</v>
      </c>
      <c r="K1755" t="s">
        <v>42</v>
      </c>
      <c r="L1755">
        <v>77</v>
      </c>
      <c r="M1755">
        <v>97</v>
      </c>
      <c r="N1755" t="str">
        <f t="shared" si="83"/>
        <v>Low Cost</v>
      </c>
      <c r="O1755">
        <v>4.4800000000000004</v>
      </c>
      <c r="P1755" t="s">
        <v>51</v>
      </c>
      <c r="Q1755" t="s">
        <v>24</v>
      </c>
      <c r="R1755" t="s">
        <v>44</v>
      </c>
      <c r="S1755" t="s">
        <v>1128</v>
      </c>
      <c r="T1755" t="s">
        <v>37</v>
      </c>
      <c r="U1755">
        <v>89</v>
      </c>
      <c r="V1755">
        <v>2.1</v>
      </c>
      <c r="W1755" t="s">
        <v>38</v>
      </c>
      <c r="X1755" t="s">
        <v>39</v>
      </c>
    </row>
    <row r="1756" spans="1:24" x14ac:dyDescent="0.3">
      <c r="A1756" t="s">
        <v>3032</v>
      </c>
      <c r="B1756" t="s">
        <v>77</v>
      </c>
      <c r="C1756" t="s">
        <v>78</v>
      </c>
      <c r="D1756" t="str">
        <f t="shared" si="81"/>
        <v>Morning</v>
      </c>
      <c r="E1756">
        <f>HOUR(EV_Data[[#This Row],[Charging Start Time]])</f>
        <v>2</v>
      </c>
      <c r="F1756" s="1">
        <v>45000.083333333336</v>
      </c>
      <c r="G1756" s="1">
        <v>45000.111805555563</v>
      </c>
      <c r="H1756">
        <v>41</v>
      </c>
      <c r="I1756">
        <v>11.4</v>
      </c>
      <c r="J1756" t="str">
        <f t="shared" si="82"/>
        <v>Low</v>
      </c>
      <c r="K1756" t="s">
        <v>69</v>
      </c>
      <c r="L1756">
        <v>26</v>
      </c>
      <c r="M1756">
        <v>56</v>
      </c>
      <c r="N1756" t="str">
        <f t="shared" si="83"/>
        <v>Low Cost</v>
      </c>
      <c r="O1756">
        <v>4.67</v>
      </c>
      <c r="P1756" t="s">
        <v>43</v>
      </c>
      <c r="Q1756" t="s">
        <v>58</v>
      </c>
      <c r="R1756" t="s">
        <v>44</v>
      </c>
      <c r="S1756" t="s">
        <v>1187</v>
      </c>
      <c r="T1756" t="s">
        <v>37</v>
      </c>
      <c r="U1756">
        <v>12</v>
      </c>
      <c r="V1756">
        <v>3.5</v>
      </c>
      <c r="W1756" t="s">
        <v>38</v>
      </c>
      <c r="X1756" t="s">
        <v>62</v>
      </c>
    </row>
    <row r="1757" spans="1:24" x14ac:dyDescent="0.3">
      <c r="A1757" t="s">
        <v>3033</v>
      </c>
      <c r="B1757" t="s">
        <v>20</v>
      </c>
      <c r="C1757" t="s">
        <v>21</v>
      </c>
      <c r="D1757" t="str">
        <f t="shared" si="81"/>
        <v>Morning</v>
      </c>
      <c r="E1757">
        <f>HOUR(EV_Data[[#This Row],[Charging Start Time]])</f>
        <v>3</v>
      </c>
      <c r="F1757" s="1">
        <v>45000.125</v>
      </c>
      <c r="G1757" s="1">
        <v>45000.179861111108</v>
      </c>
      <c r="H1757">
        <v>79</v>
      </c>
      <c r="I1757">
        <v>19.12</v>
      </c>
      <c r="J1757" t="str">
        <f t="shared" si="82"/>
        <v>Low</v>
      </c>
      <c r="K1757" t="s">
        <v>22</v>
      </c>
      <c r="L1757">
        <v>39</v>
      </c>
      <c r="M1757">
        <v>77</v>
      </c>
      <c r="N1757" t="str">
        <f t="shared" si="83"/>
        <v>Low Cost</v>
      </c>
      <c r="O1757">
        <v>5.3</v>
      </c>
      <c r="P1757" t="s">
        <v>43</v>
      </c>
      <c r="Q1757" t="s">
        <v>34</v>
      </c>
      <c r="R1757" t="s">
        <v>56</v>
      </c>
      <c r="S1757" t="s">
        <v>1188</v>
      </c>
      <c r="T1757" t="s">
        <v>60</v>
      </c>
      <c r="U1757">
        <v>68</v>
      </c>
      <c r="V1757">
        <v>2.1</v>
      </c>
      <c r="W1757" t="s">
        <v>28</v>
      </c>
      <c r="X1757" t="s">
        <v>68</v>
      </c>
    </row>
    <row r="1758" spans="1:24" x14ac:dyDescent="0.3">
      <c r="A1758" t="s">
        <v>3034</v>
      </c>
      <c r="B1758" t="s">
        <v>20</v>
      </c>
      <c r="C1758" t="s">
        <v>21</v>
      </c>
      <c r="D1758" t="str">
        <f t="shared" si="81"/>
        <v>Morning</v>
      </c>
      <c r="E1758">
        <f>HOUR(EV_Data[[#This Row],[Charging Start Time]])</f>
        <v>4</v>
      </c>
      <c r="F1758" s="1">
        <v>45000.166666666664</v>
      </c>
      <c r="G1758" s="1">
        <v>45000.181250000001</v>
      </c>
      <c r="H1758">
        <v>21</v>
      </c>
      <c r="I1758">
        <v>25.1</v>
      </c>
      <c r="J1758" t="str">
        <f t="shared" si="82"/>
        <v>Medium</v>
      </c>
      <c r="K1758" t="s">
        <v>55</v>
      </c>
      <c r="L1758">
        <v>78</v>
      </c>
      <c r="M1758">
        <v>100</v>
      </c>
      <c r="N1758" t="str">
        <f t="shared" si="83"/>
        <v>Medium Cost</v>
      </c>
      <c r="O1758">
        <v>8.74</v>
      </c>
      <c r="P1758" t="s">
        <v>43</v>
      </c>
      <c r="Q1758" t="s">
        <v>48</v>
      </c>
      <c r="R1758" t="s">
        <v>44</v>
      </c>
      <c r="S1758" t="s">
        <v>208</v>
      </c>
      <c r="T1758" t="s">
        <v>37</v>
      </c>
      <c r="U1758">
        <v>56</v>
      </c>
      <c r="V1758">
        <v>1.1000000000000001</v>
      </c>
      <c r="W1758" t="s">
        <v>28</v>
      </c>
      <c r="X1758" t="s">
        <v>68</v>
      </c>
    </row>
    <row r="1759" spans="1:24" x14ac:dyDescent="0.3">
      <c r="A1759" t="s">
        <v>3035</v>
      </c>
      <c r="B1759" t="s">
        <v>30</v>
      </c>
      <c r="C1759" t="s">
        <v>102</v>
      </c>
      <c r="D1759" t="str">
        <f t="shared" si="81"/>
        <v>Morning</v>
      </c>
      <c r="E1759">
        <f>HOUR(EV_Data[[#This Row],[Charging Start Time]])</f>
        <v>5</v>
      </c>
      <c r="F1759" s="1">
        <v>45000.208333333336</v>
      </c>
      <c r="G1759" s="1">
        <v>45000.257638888892</v>
      </c>
      <c r="H1759">
        <v>71</v>
      </c>
      <c r="I1759">
        <v>17.23</v>
      </c>
      <c r="J1759" t="str">
        <f t="shared" si="82"/>
        <v>Low</v>
      </c>
      <c r="K1759" t="s">
        <v>32</v>
      </c>
      <c r="L1759">
        <v>55</v>
      </c>
      <c r="M1759">
        <v>66</v>
      </c>
      <c r="N1759" t="str">
        <f t="shared" si="83"/>
        <v>Low Cost</v>
      </c>
      <c r="O1759">
        <v>6.35</v>
      </c>
      <c r="P1759" t="s">
        <v>33</v>
      </c>
      <c r="Q1759" t="s">
        <v>48</v>
      </c>
      <c r="R1759" t="s">
        <v>25</v>
      </c>
      <c r="S1759" t="s">
        <v>225</v>
      </c>
      <c r="T1759" t="s">
        <v>37</v>
      </c>
      <c r="U1759">
        <v>16</v>
      </c>
      <c r="V1759">
        <v>2.6</v>
      </c>
      <c r="W1759" t="s">
        <v>38</v>
      </c>
      <c r="X1759" t="s">
        <v>39</v>
      </c>
    </row>
    <row r="1760" spans="1:24" x14ac:dyDescent="0.3">
      <c r="A1760" t="s">
        <v>3036</v>
      </c>
      <c r="B1760" t="s">
        <v>20</v>
      </c>
      <c r="C1760" t="s">
        <v>21</v>
      </c>
      <c r="D1760" t="str">
        <f t="shared" si="81"/>
        <v>Morning</v>
      </c>
      <c r="E1760">
        <f>HOUR(EV_Data[[#This Row],[Charging Start Time]])</f>
        <v>6</v>
      </c>
      <c r="F1760" s="1">
        <v>45000.25</v>
      </c>
      <c r="G1760" s="1">
        <v>45000.298611111109</v>
      </c>
      <c r="H1760">
        <v>70</v>
      </c>
      <c r="I1760">
        <v>15.15</v>
      </c>
      <c r="J1760" t="str">
        <f t="shared" si="82"/>
        <v>Low</v>
      </c>
      <c r="K1760" t="s">
        <v>22</v>
      </c>
      <c r="L1760">
        <v>37</v>
      </c>
      <c r="M1760">
        <v>56</v>
      </c>
      <c r="N1760" t="str">
        <f t="shared" si="83"/>
        <v>Low Cost</v>
      </c>
      <c r="O1760">
        <v>4.57</v>
      </c>
      <c r="P1760" t="s">
        <v>43</v>
      </c>
      <c r="Q1760" t="s">
        <v>58</v>
      </c>
      <c r="R1760" t="s">
        <v>25</v>
      </c>
      <c r="S1760" t="s">
        <v>1189</v>
      </c>
      <c r="T1760" t="s">
        <v>37</v>
      </c>
      <c r="U1760">
        <v>81</v>
      </c>
      <c r="V1760">
        <v>3.4</v>
      </c>
      <c r="W1760" t="s">
        <v>28</v>
      </c>
      <c r="X1760" t="s">
        <v>68</v>
      </c>
    </row>
    <row r="1761" spans="1:24" x14ac:dyDescent="0.3">
      <c r="A1761" t="s">
        <v>3037</v>
      </c>
      <c r="B1761" t="s">
        <v>40</v>
      </c>
      <c r="C1761" t="s">
        <v>41</v>
      </c>
      <c r="D1761" t="str">
        <f t="shared" si="81"/>
        <v>Morning</v>
      </c>
      <c r="E1761">
        <f>HOUR(EV_Data[[#This Row],[Charging Start Time]])</f>
        <v>7</v>
      </c>
      <c r="F1761" s="1">
        <v>45000.291666666664</v>
      </c>
      <c r="G1761" s="1">
        <v>45000.363194444442</v>
      </c>
      <c r="H1761">
        <v>103</v>
      </c>
      <c r="I1761">
        <v>36.67</v>
      </c>
      <c r="J1761" t="str">
        <f t="shared" si="82"/>
        <v>Medium</v>
      </c>
      <c r="K1761" t="s">
        <v>42</v>
      </c>
      <c r="L1761">
        <v>14</v>
      </c>
      <c r="M1761">
        <v>44</v>
      </c>
      <c r="N1761" t="str">
        <f t="shared" si="83"/>
        <v>Medium Cost</v>
      </c>
      <c r="O1761">
        <v>15.41</v>
      </c>
      <c r="P1761" t="s">
        <v>33</v>
      </c>
      <c r="Q1761" t="s">
        <v>58</v>
      </c>
      <c r="R1761" t="s">
        <v>44</v>
      </c>
      <c r="S1761" t="s">
        <v>187</v>
      </c>
      <c r="T1761" t="s">
        <v>27</v>
      </c>
      <c r="U1761">
        <v>91</v>
      </c>
      <c r="V1761">
        <v>2.5</v>
      </c>
      <c r="W1761" t="s">
        <v>28</v>
      </c>
      <c r="X1761" t="s">
        <v>68</v>
      </c>
    </row>
    <row r="1762" spans="1:24" x14ac:dyDescent="0.3">
      <c r="A1762" t="s">
        <v>3038</v>
      </c>
      <c r="B1762" t="s">
        <v>71</v>
      </c>
      <c r="C1762" t="s">
        <v>72</v>
      </c>
      <c r="D1762" t="str">
        <f t="shared" si="81"/>
        <v>Morning</v>
      </c>
      <c r="E1762">
        <f>HOUR(EV_Data[[#This Row],[Charging Start Time]])</f>
        <v>8</v>
      </c>
      <c r="F1762" s="1">
        <v>45000.333333333336</v>
      </c>
      <c r="G1762" s="1">
        <v>45000.37777777778</v>
      </c>
      <c r="H1762">
        <v>64</v>
      </c>
      <c r="I1762">
        <v>14.94</v>
      </c>
      <c r="J1762" t="str">
        <f t="shared" si="82"/>
        <v>Low</v>
      </c>
      <c r="K1762" t="s">
        <v>22</v>
      </c>
      <c r="L1762">
        <v>53</v>
      </c>
      <c r="M1762">
        <v>71</v>
      </c>
      <c r="N1762" t="str">
        <f t="shared" si="83"/>
        <v>Low Cost</v>
      </c>
      <c r="O1762">
        <v>3.23</v>
      </c>
      <c r="P1762" t="s">
        <v>23</v>
      </c>
      <c r="Q1762" t="s">
        <v>34</v>
      </c>
      <c r="R1762" t="s">
        <v>44</v>
      </c>
      <c r="S1762" t="s">
        <v>979</v>
      </c>
      <c r="T1762" t="s">
        <v>60</v>
      </c>
      <c r="U1762">
        <v>84</v>
      </c>
      <c r="V1762">
        <v>4.9000000000000004</v>
      </c>
      <c r="W1762" t="s">
        <v>38</v>
      </c>
      <c r="X1762" t="s">
        <v>85</v>
      </c>
    </row>
    <row r="1763" spans="1:24" x14ac:dyDescent="0.3">
      <c r="A1763" t="s">
        <v>3039</v>
      </c>
      <c r="B1763" t="s">
        <v>53</v>
      </c>
      <c r="C1763" t="s">
        <v>54</v>
      </c>
      <c r="D1763" t="str">
        <f t="shared" si="81"/>
        <v>Morning</v>
      </c>
      <c r="E1763">
        <f>HOUR(EV_Data[[#This Row],[Charging Start Time]])</f>
        <v>9</v>
      </c>
      <c r="F1763" s="1">
        <v>45000.375</v>
      </c>
      <c r="G1763" s="1">
        <v>45000.400694444441</v>
      </c>
      <c r="H1763">
        <v>37</v>
      </c>
      <c r="I1763">
        <v>25.95</v>
      </c>
      <c r="J1763" t="str">
        <f t="shared" si="82"/>
        <v>Medium</v>
      </c>
      <c r="K1763" t="s">
        <v>42</v>
      </c>
      <c r="L1763">
        <v>53</v>
      </c>
      <c r="M1763">
        <v>66</v>
      </c>
      <c r="N1763" t="str">
        <f t="shared" si="83"/>
        <v>Medium Cost</v>
      </c>
      <c r="O1763">
        <v>9.83</v>
      </c>
      <c r="P1763" t="s">
        <v>43</v>
      </c>
      <c r="Q1763" t="s">
        <v>48</v>
      </c>
      <c r="R1763" t="s">
        <v>44</v>
      </c>
      <c r="S1763" t="s">
        <v>431</v>
      </c>
      <c r="T1763" t="s">
        <v>27</v>
      </c>
      <c r="U1763">
        <v>25</v>
      </c>
      <c r="V1763">
        <v>2.9</v>
      </c>
      <c r="W1763" t="s">
        <v>47</v>
      </c>
      <c r="X1763" t="s">
        <v>29</v>
      </c>
    </row>
    <row r="1764" spans="1:24" x14ac:dyDescent="0.3">
      <c r="A1764" t="s">
        <v>3040</v>
      </c>
      <c r="B1764" t="s">
        <v>126</v>
      </c>
      <c r="C1764" t="s">
        <v>31</v>
      </c>
      <c r="D1764" t="str">
        <f t="shared" si="81"/>
        <v>Morning</v>
      </c>
      <c r="E1764">
        <f>HOUR(EV_Data[[#This Row],[Charging Start Time]])</f>
        <v>10</v>
      </c>
      <c r="F1764" s="1">
        <v>45000.416666666664</v>
      </c>
      <c r="G1764" s="1">
        <v>45000.459027777782</v>
      </c>
      <c r="H1764">
        <v>61</v>
      </c>
      <c r="I1764">
        <v>34.21</v>
      </c>
      <c r="J1764" t="str">
        <f t="shared" si="82"/>
        <v>Medium</v>
      </c>
      <c r="K1764" t="s">
        <v>22</v>
      </c>
      <c r="L1764">
        <v>79</v>
      </c>
      <c r="M1764">
        <v>100</v>
      </c>
      <c r="N1764" t="str">
        <f t="shared" si="83"/>
        <v>Medium Cost</v>
      </c>
      <c r="O1764">
        <v>14.53</v>
      </c>
      <c r="P1764" t="s">
        <v>33</v>
      </c>
      <c r="Q1764" t="s">
        <v>58</v>
      </c>
      <c r="R1764" t="s">
        <v>35</v>
      </c>
      <c r="S1764" t="s">
        <v>795</v>
      </c>
      <c r="T1764" t="s">
        <v>46</v>
      </c>
      <c r="U1764">
        <v>46</v>
      </c>
      <c r="V1764">
        <v>3.6</v>
      </c>
      <c r="W1764" t="s">
        <v>47</v>
      </c>
      <c r="X1764" t="s">
        <v>29</v>
      </c>
    </row>
    <row r="1765" spans="1:24" x14ac:dyDescent="0.3">
      <c r="A1765" t="s">
        <v>3041</v>
      </c>
      <c r="B1765" t="s">
        <v>30</v>
      </c>
      <c r="C1765" t="s">
        <v>102</v>
      </c>
      <c r="D1765" t="str">
        <f t="shared" si="81"/>
        <v>Morning</v>
      </c>
      <c r="E1765">
        <f>HOUR(EV_Data[[#This Row],[Charging Start Time]])</f>
        <v>11</v>
      </c>
      <c r="F1765" s="1">
        <v>45000.458333333336</v>
      </c>
      <c r="G1765" s="1">
        <v>45000.490277777782</v>
      </c>
      <c r="H1765">
        <v>46</v>
      </c>
      <c r="I1765">
        <v>32.89</v>
      </c>
      <c r="J1765" t="str">
        <f t="shared" si="82"/>
        <v>Medium</v>
      </c>
      <c r="K1765" t="s">
        <v>50</v>
      </c>
      <c r="L1765">
        <v>17</v>
      </c>
      <c r="M1765">
        <v>44</v>
      </c>
      <c r="N1765" t="str">
        <f t="shared" si="83"/>
        <v>Medium Cost</v>
      </c>
      <c r="O1765">
        <v>15.49</v>
      </c>
      <c r="P1765" t="s">
        <v>23</v>
      </c>
      <c r="Q1765" t="s">
        <v>34</v>
      </c>
      <c r="R1765" t="s">
        <v>56</v>
      </c>
      <c r="S1765" t="s">
        <v>1078</v>
      </c>
      <c r="T1765" t="s">
        <v>60</v>
      </c>
      <c r="U1765">
        <v>99</v>
      </c>
      <c r="V1765">
        <v>4</v>
      </c>
      <c r="W1765" t="s">
        <v>28</v>
      </c>
      <c r="X1765" t="s">
        <v>68</v>
      </c>
    </row>
    <row r="1766" spans="1:24" x14ac:dyDescent="0.3">
      <c r="A1766" t="s">
        <v>3042</v>
      </c>
      <c r="B1766" t="s">
        <v>40</v>
      </c>
      <c r="C1766" t="s">
        <v>41</v>
      </c>
      <c r="D1766" t="str">
        <f t="shared" si="81"/>
        <v>Afternoon</v>
      </c>
      <c r="E1766">
        <f>HOUR(EV_Data[[#This Row],[Charging Start Time]])</f>
        <v>12</v>
      </c>
      <c r="F1766" s="1">
        <v>45000.5</v>
      </c>
      <c r="G1766" s="1">
        <v>45000.55</v>
      </c>
      <c r="H1766">
        <v>72</v>
      </c>
      <c r="I1766">
        <v>42</v>
      </c>
      <c r="J1766" t="str">
        <f t="shared" si="82"/>
        <v>Medium</v>
      </c>
      <c r="K1766" t="s">
        <v>22</v>
      </c>
      <c r="L1766">
        <v>58</v>
      </c>
      <c r="M1766">
        <v>82</v>
      </c>
      <c r="N1766" t="str">
        <f t="shared" si="83"/>
        <v>Medium Cost</v>
      </c>
      <c r="O1766">
        <v>16.670000000000002</v>
      </c>
      <c r="P1766" t="s">
        <v>43</v>
      </c>
      <c r="Q1766" t="s">
        <v>24</v>
      </c>
      <c r="R1766" t="s">
        <v>35</v>
      </c>
      <c r="S1766" t="s">
        <v>502</v>
      </c>
      <c r="T1766" t="s">
        <v>27</v>
      </c>
      <c r="U1766">
        <v>44</v>
      </c>
      <c r="V1766">
        <v>3.3</v>
      </c>
      <c r="W1766" t="s">
        <v>28</v>
      </c>
      <c r="X1766" t="s">
        <v>68</v>
      </c>
    </row>
    <row r="1767" spans="1:24" x14ac:dyDescent="0.3">
      <c r="A1767" t="s">
        <v>3043</v>
      </c>
      <c r="B1767" t="s">
        <v>30</v>
      </c>
      <c r="C1767" t="s">
        <v>102</v>
      </c>
      <c r="D1767" t="str">
        <f t="shared" si="81"/>
        <v>Afternoon</v>
      </c>
      <c r="E1767">
        <f>HOUR(EV_Data[[#This Row],[Charging Start Time]])</f>
        <v>13</v>
      </c>
      <c r="F1767" s="1">
        <v>45000.541666666664</v>
      </c>
      <c r="G1767" s="1">
        <v>45000.618055555547</v>
      </c>
      <c r="H1767">
        <v>110</v>
      </c>
      <c r="I1767">
        <v>33.17</v>
      </c>
      <c r="J1767" t="str">
        <f t="shared" si="82"/>
        <v>Medium</v>
      </c>
      <c r="K1767" t="s">
        <v>42</v>
      </c>
      <c r="L1767">
        <v>69</v>
      </c>
      <c r="M1767">
        <v>100</v>
      </c>
      <c r="N1767" t="str">
        <f t="shared" si="83"/>
        <v>Medium Cost</v>
      </c>
      <c r="O1767">
        <v>13.93</v>
      </c>
      <c r="P1767" t="s">
        <v>43</v>
      </c>
      <c r="Q1767" t="s">
        <v>58</v>
      </c>
      <c r="R1767" t="s">
        <v>56</v>
      </c>
      <c r="S1767" t="s">
        <v>407</v>
      </c>
      <c r="T1767" t="s">
        <v>46</v>
      </c>
      <c r="U1767">
        <v>73</v>
      </c>
      <c r="V1767">
        <v>2.2000000000000002</v>
      </c>
      <c r="W1767" t="s">
        <v>47</v>
      </c>
      <c r="X1767" t="s">
        <v>29</v>
      </c>
    </row>
    <row r="1768" spans="1:24" x14ac:dyDescent="0.3">
      <c r="A1768" t="s">
        <v>3044</v>
      </c>
      <c r="B1768" t="s">
        <v>71</v>
      </c>
      <c r="C1768" t="s">
        <v>72</v>
      </c>
      <c r="D1768" t="str">
        <f t="shared" si="81"/>
        <v>Afternoon</v>
      </c>
      <c r="E1768">
        <f>HOUR(EV_Data[[#This Row],[Charging Start Time]])</f>
        <v>14</v>
      </c>
      <c r="F1768" s="1">
        <v>45000.583333333336</v>
      </c>
      <c r="G1768" s="1">
        <v>45000.606944444437</v>
      </c>
      <c r="H1768">
        <v>34</v>
      </c>
      <c r="I1768">
        <v>30.16</v>
      </c>
      <c r="J1768" t="str">
        <f t="shared" si="82"/>
        <v>Medium</v>
      </c>
      <c r="K1768" t="s">
        <v>22</v>
      </c>
      <c r="L1768">
        <v>32</v>
      </c>
      <c r="M1768">
        <v>44</v>
      </c>
      <c r="N1768" t="str">
        <f t="shared" si="83"/>
        <v>Low Cost</v>
      </c>
      <c r="O1768">
        <v>7.86</v>
      </c>
      <c r="P1768" t="s">
        <v>64</v>
      </c>
      <c r="Q1768" t="s">
        <v>48</v>
      </c>
      <c r="R1768" t="s">
        <v>56</v>
      </c>
      <c r="S1768" t="s">
        <v>896</v>
      </c>
      <c r="T1768" t="s">
        <v>27</v>
      </c>
      <c r="U1768">
        <v>1</v>
      </c>
      <c r="V1768">
        <v>3.7</v>
      </c>
      <c r="W1768" t="s">
        <v>47</v>
      </c>
      <c r="X1768" t="s">
        <v>29</v>
      </c>
    </row>
    <row r="1769" spans="1:24" x14ac:dyDescent="0.3">
      <c r="A1769" t="s">
        <v>3045</v>
      </c>
      <c r="B1769" t="s">
        <v>92</v>
      </c>
      <c r="C1769" t="s">
        <v>93</v>
      </c>
      <c r="D1769" t="str">
        <f t="shared" si="81"/>
        <v>Afternoon</v>
      </c>
      <c r="E1769">
        <f>HOUR(EV_Data[[#This Row],[Charging Start Time]])</f>
        <v>15</v>
      </c>
      <c r="F1769" s="1">
        <v>45000.625</v>
      </c>
      <c r="G1769" s="1">
        <v>45000.67083333333</v>
      </c>
      <c r="H1769">
        <v>66</v>
      </c>
      <c r="I1769">
        <v>49.78</v>
      </c>
      <c r="J1769" t="str">
        <f t="shared" si="82"/>
        <v>Medium</v>
      </c>
      <c r="K1769" t="s">
        <v>55</v>
      </c>
      <c r="L1769">
        <v>21</v>
      </c>
      <c r="M1769">
        <v>52</v>
      </c>
      <c r="N1769" t="str">
        <f t="shared" si="83"/>
        <v>High Cost</v>
      </c>
      <c r="O1769">
        <v>21.9</v>
      </c>
      <c r="P1769" t="s">
        <v>51</v>
      </c>
      <c r="Q1769" t="s">
        <v>24</v>
      </c>
      <c r="R1769" t="s">
        <v>25</v>
      </c>
      <c r="S1769" t="s">
        <v>1190</v>
      </c>
      <c r="T1769" t="s">
        <v>27</v>
      </c>
      <c r="U1769">
        <v>100</v>
      </c>
      <c r="V1769">
        <v>2.2000000000000002</v>
      </c>
      <c r="W1769" t="s">
        <v>28</v>
      </c>
      <c r="X1769" t="s">
        <v>68</v>
      </c>
    </row>
    <row r="1770" spans="1:24" x14ac:dyDescent="0.3">
      <c r="A1770" t="s">
        <v>3046</v>
      </c>
      <c r="B1770" t="s">
        <v>92</v>
      </c>
      <c r="C1770" t="s">
        <v>93</v>
      </c>
      <c r="D1770" t="str">
        <f t="shared" si="81"/>
        <v>Afternoon</v>
      </c>
      <c r="E1770">
        <f>HOUR(EV_Data[[#This Row],[Charging Start Time]])</f>
        <v>16</v>
      </c>
      <c r="F1770" s="1">
        <v>45000.666666666664</v>
      </c>
      <c r="G1770" s="1">
        <v>45000.708333333343</v>
      </c>
      <c r="H1770">
        <v>60</v>
      </c>
      <c r="I1770">
        <v>41.88</v>
      </c>
      <c r="J1770" t="str">
        <f t="shared" si="82"/>
        <v>Medium</v>
      </c>
      <c r="K1770" t="s">
        <v>69</v>
      </c>
      <c r="L1770">
        <v>18</v>
      </c>
      <c r="M1770">
        <v>28</v>
      </c>
      <c r="N1770" t="str">
        <f t="shared" si="83"/>
        <v>Medium Cost</v>
      </c>
      <c r="O1770">
        <v>15.08</v>
      </c>
      <c r="P1770" t="s">
        <v>64</v>
      </c>
      <c r="Q1770" t="s">
        <v>24</v>
      </c>
      <c r="R1770" t="s">
        <v>56</v>
      </c>
      <c r="S1770" t="s">
        <v>592</v>
      </c>
      <c r="T1770" t="s">
        <v>60</v>
      </c>
      <c r="U1770">
        <v>26</v>
      </c>
      <c r="V1770">
        <v>2</v>
      </c>
      <c r="W1770" t="s">
        <v>47</v>
      </c>
      <c r="X1770" t="s">
        <v>29</v>
      </c>
    </row>
    <row r="1771" spans="1:24" x14ac:dyDescent="0.3">
      <c r="A1771" t="s">
        <v>3047</v>
      </c>
      <c r="B1771" t="s">
        <v>71</v>
      </c>
      <c r="C1771" t="s">
        <v>72</v>
      </c>
      <c r="D1771" t="str">
        <f t="shared" si="81"/>
        <v>Evening</v>
      </c>
      <c r="E1771">
        <f>HOUR(EV_Data[[#This Row],[Charging Start Time]])</f>
        <v>17</v>
      </c>
      <c r="F1771" s="1">
        <v>45000.708333333336</v>
      </c>
      <c r="G1771" s="1">
        <v>45000.751388888893</v>
      </c>
      <c r="H1771">
        <v>62</v>
      </c>
      <c r="I1771">
        <v>10.08</v>
      </c>
      <c r="J1771" t="str">
        <f t="shared" si="82"/>
        <v>Low</v>
      </c>
      <c r="K1771" t="s">
        <v>69</v>
      </c>
      <c r="L1771">
        <v>28</v>
      </c>
      <c r="M1771">
        <v>58</v>
      </c>
      <c r="N1771" t="str">
        <f t="shared" si="83"/>
        <v>Low Cost</v>
      </c>
      <c r="O1771">
        <v>5.0199999999999996</v>
      </c>
      <c r="P1771" t="s">
        <v>23</v>
      </c>
      <c r="Q1771" t="s">
        <v>48</v>
      </c>
      <c r="R1771" t="s">
        <v>25</v>
      </c>
      <c r="S1771" t="s">
        <v>487</v>
      </c>
      <c r="T1771" t="s">
        <v>27</v>
      </c>
      <c r="U1771">
        <v>69</v>
      </c>
      <c r="V1771">
        <v>3.2</v>
      </c>
      <c r="W1771" t="s">
        <v>47</v>
      </c>
      <c r="X1771" t="s">
        <v>29</v>
      </c>
    </row>
    <row r="1772" spans="1:24" x14ac:dyDescent="0.3">
      <c r="A1772" t="s">
        <v>3048</v>
      </c>
      <c r="B1772" t="s">
        <v>92</v>
      </c>
      <c r="C1772" t="s">
        <v>93</v>
      </c>
      <c r="D1772" t="str">
        <f t="shared" si="81"/>
        <v>Evening</v>
      </c>
      <c r="E1772">
        <f>HOUR(EV_Data[[#This Row],[Charging Start Time]])</f>
        <v>18</v>
      </c>
      <c r="F1772" s="1">
        <v>45000.75</v>
      </c>
      <c r="G1772" s="1">
        <v>45000.801388888889</v>
      </c>
      <c r="H1772">
        <v>74</v>
      </c>
      <c r="I1772">
        <v>31.63</v>
      </c>
      <c r="J1772" t="str">
        <f t="shared" si="82"/>
        <v>Medium</v>
      </c>
      <c r="K1772" t="s">
        <v>50</v>
      </c>
      <c r="L1772">
        <v>52</v>
      </c>
      <c r="M1772">
        <v>79</v>
      </c>
      <c r="N1772" t="str">
        <f t="shared" si="83"/>
        <v>Medium Cost</v>
      </c>
      <c r="O1772">
        <v>10.76</v>
      </c>
      <c r="P1772" t="s">
        <v>64</v>
      </c>
      <c r="Q1772" t="s">
        <v>34</v>
      </c>
      <c r="R1772" t="s">
        <v>25</v>
      </c>
      <c r="S1772" t="s">
        <v>891</v>
      </c>
      <c r="T1772" t="s">
        <v>46</v>
      </c>
      <c r="U1772">
        <v>100</v>
      </c>
      <c r="V1772">
        <v>1.6</v>
      </c>
      <c r="W1772" t="s">
        <v>47</v>
      </c>
      <c r="X1772" t="s">
        <v>29</v>
      </c>
    </row>
    <row r="1773" spans="1:24" x14ac:dyDescent="0.3">
      <c r="A1773" t="s">
        <v>3049</v>
      </c>
      <c r="B1773" t="s">
        <v>53</v>
      </c>
      <c r="C1773" t="s">
        <v>54</v>
      </c>
      <c r="D1773" t="str">
        <f t="shared" si="81"/>
        <v>Evening</v>
      </c>
      <c r="E1773">
        <f>HOUR(EV_Data[[#This Row],[Charging Start Time]])</f>
        <v>19</v>
      </c>
      <c r="F1773" s="1">
        <v>45000.791666666664</v>
      </c>
      <c r="G1773" s="1">
        <v>45000.8125</v>
      </c>
      <c r="H1773">
        <v>30</v>
      </c>
      <c r="I1773">
        <v>41.08</v>
      </c>
      <c r="J1773" t="str">
        <f t="shared" si="82"/>
        <v>Medium</v>
      </c>
      <c r="K1773" t="s">
        <v>22</v>
      </c>
      <c r="L1773">
        <v>23</v>
      </c>
      <c r="M1773">
        <v>47</v>
      </c>
      <c r="N1773" t="str">
        <f t="shared" si="83"/>
        <v>Medium Cost</v>
      </c>
      <c r="O1773">
        <v>11.03</v>
      </c>
      <c r="P1773" t="s">
        <v>43</v>
      </c>
      <c r="Q1773" t="s">
        <v>24</v>
      </c>
      <c r="R1773" t="s">
        <v>25</v>
      </c>
      <c r="S1773" t="s">
        <v>1191</v>
      </c>
      <c r="T1773" t="s">
        <v>37</v>
      </c>
      <c r="U1773">
        <v>47</v>
      </c>
      <c r="V1773">
        <v>2</v>
      </c>
      <c r="W1773" t="s">
        <v>28</v>
      </c>
      <c r="X1773" t="s">
        <v>68</v>
      </c>
    </row>
    <row r="1774" spans="1:24" x14ac:dyDescent="0.3">
      <c r="A1774" t="s">
        <v>3050</v>
      </c>
      <c r="B1774" t="s">
        <v>40</v>
      </c>
      <c r="C1774" t="s">
        <v>41</v>
      </c>
      <c r="D1774" t="str">
        <f t="shared" si="81"/>
        <v>Evening</v>
      </c>
      <c r="E1774">
        <f>HOUR(EV_Data[[#This Row],[Charging Start Time]])</f>
        <v>20</v>
      </c>
      <c r="F1774" s="1">
        <v>45000.833333333336</v>
      </c>
      <c r="G1774" s="1">
        <v>45000.834027777782</v>
      </c>
      <c r="H1774">
        <v>1</v>
      </c>
      <c r="I1774">
        <v>36.19</v>
      </c>
      <c r="J1774" t="str">
        <f t="shared" si="82"/>
        <v>Medium</v>
      </c>
      <c r="K1774" t="s">
        <v>55</v>
      </c>
      <c r="L1774">
        <v>79</v>
      </c>
      <c r="M1774">
        <v>100</v>
      </c>
      <c r="N1774" t="str">
        <f t="shared" si="83"/>
        <v>Medium Cost</v>
      </c>
      <c r="O1774">
        <v>9.15</v>
      </c>
      <c r="P1774" t="s">
        <v>23</v>
      </c>
      <c r="Q1774" t="s">
        <v>48</v>
      </c>
      <c r="R1774" t="s">
        <v>35</v>
      </c>
      <c r="S1774" t="s">
        <v>1192</v>
      </c>
      <c r="T1774" t="s">
        <v>60</v>
      </c>
      <c r="U1774">
        <v>37</v>
      </c>
      <c r="V1774">
        <v>1.6</v>
      </c>
      <c r="W1774" t="s">
        <v>47</v>
      </c>
      <c r="X1774" t="s">
        <v>29</v>
      </c>
    </row>
    <row r="1775" spans="1:24" x14ac:dyDescent="0.3">
      <c r="A1775" t="s">
        <v>3051</v>
      </c>
      <c r="B1775" t="s">
        <v>77</v>
      </c>
      <c r="C1775" t="s">
        <v>78</v>
      </c>
      <c r="D1775" t="str">
        <f t="shared" si="81"/>
        <v>Evening</v>
      </c>
      <c r="E1775">
        <f>HOUR(EV_Data[[#This Row],[Charging Start Time]])</f>
        <v>21</v>
      </c>
      <c r="F1775" s="1">
        <v>45000.875</v>
      </c>
      <c r="G1775" s="1">
        <v>45000.904166666667</v>
      </c>
      <c r="H1775">
        <v>42</v>
      </c>
      <c r="I1775">
        <v>27.8</v>
      </c>
      <c r="J1775" t="str">
        <f t="shared" si="82"/>
        <v>Medium</v>
      </c>
      <c r="K1775" t="s">
        <v>32</v>
      </c>
      <c r="L1775">
        <v>39</v>
      </c>
      <c r="M1775">
        <v>75</v>
      </c>
      <c r="N1775" t="str">
        <f t="shared" si="83"/>
        <v>Medium Cost</v>
      </c>
      <c r="O1775">
        <v>10.39</v>
      </c>
      <c r="P1775" t="s">
        <v>51</v>
      </c>
      <c r="Q1775" t="s">
        <v>34</v>
      </c>
      <c r="R1775" t="s">
        <v>56</v>
      </c>
      <c r="S1775" t="s">
        <v>655</v>
      </c>
      <c r="T1775" t="s">
        <v>27</v>
      </c>
      <c r="U1775">
        <v>4</v>
      </c>
      <c r="V1775">
        <v>1.5</v>
      </c>
      <c r="W1775" t="s">
        <v>47</v>
      </c>
      <c r="X1775" t="s">
        <v>29</v>
      </c>
    </row>
    <row r="1776" spans="1:24" x14ac:dyDescent="0.3">
      <c r="A1776" t="s">
        <v>3052</v>
      </c>
      <c r="B1776" t="s">
        <v>77</v>
      </c>
      <c r="C1776" t="s">
        <v>78</v>
      </c>
      <c r="D1776" t="str">
        <f t="shared" si="81"/>
        <v>Evening</v>
      </c>
      <c r="E1776">
        <f>HOUR(EV_Data[[#This Row],[Charging Start Time]])</f>
        <v>22</v>
      </c>
      <c r="F1776" s="1">
        <v>45000.916666666664</v>
      </c>
      <c r="G1776" s="1">
        <v>45000.966666666667</v>
      </c>
      <c r="H1776">
        <v>72</v>
      </c>
      <c r="I1776">
        <v>27.12</v>
      </c>
      <c r="J1776" t="str">
        <f t="shared" si="82"/>
        <v>Medium</v>
      </c>
      <c r="K1776" t="s">
        <v>69</v>
      </c>
      <c r="L1776">
        <v>61</v>
      </c>
      <c r="M1776">
        <v>84</v>
      </c>
      <c r="N1776" t="str">
        <f t="shared" si="83"/>
        <v>Low Cost</v>
      </c>
      <c r="O1776">
        <v>5.48</v>
      </c>
      <c r="P1776" t="s">
        <v>43</v>
      </c>
      <c r="Q1776" t="s">
        <v>24</v>
      </c>
      <c r="R1776" t="s">
        <v>35</v>
      </c>
      <c r="S1776" t="s">
        <v>130</v>
      </c>
      <c r="T1776" t="s">
        <v>27</v>
      </c>
      <c r="U1776">
        <v>57</v>
      </c>
      <c r="V1776">
        <v>4.0999999999999996</v>
      </c>
      <c r="W1776" t="s">
        <v>28</v>
      </c>
      <c r="X1776" t="s">
        <v>68</v>
      </c>
    </row>
    <row r="1777" spans="1:24" x14ac:dyDescent="0.3">
      <c r="A1777" t="s">
        <v>3053</v>
      </c>
      <c r="B1777" t="s">
        <v>30</v>
      </c>
      <c r="C1777" t="s">
        <v>102</v>
      </c>
      <c r="D1777" t="str">
        <f t="shared" si="81"/>
        <v>Evening</v>
      </c>
      <c r="E1777">
        <f>HOUR(EV_Data[[#This Row],[Charging Start Time]])</f>
        <v>23</v>
      </c>
      <c r="F1777" s="1">
        <v>45000.958333333336</v>
      </c>
      <c r="G1777" s="1">
        <v>45001.004166666673</v>
      </c>
      <c r="H1777">
        <v>66</v>
      </c>
      <c r="I1777">
        <v>48.21</v>
      </c>
      <c r="J1777" t="str">
        <f t="shared" si="82"/>
        <v>Medium</v>
      </c>
      <c r="K1777" t="s">
        <v>32</v>
      </c>
      <c r="L1777">
        <v>52</v>
      </c>
      <c r="M1777">
        <v>62</v>
      </c>
      <c r="N1777" t="str">
        <f t="shared" si="83"/>
        <v>Medium Cost</v>
      </c>
      <c r="O1777">
        <v>15.31</v>
      </c>
      <c r="P1777" t="s">
        <v>43</v>
      </c>
      <c r="Q1777" t="s">
        <v>58</v>
      </c>
      <c r="R1777" t="s">
        <v>25</v>
      </c>
      <c r="S1777" t="s">
        <v>203</v>
      </c>
      <c r="T1777" t="s">
        <v>37</v>
      </c>
      <c r="U1777">
        <v>78</v>
      </c>
      <c r="V1777">
        <v>2.2999999999999998</v>
      </c>
      <c r="W1777" t="s">
        <v>28</v>
      </c>
      <c r="X1777" t="s">
        <v>68</v>
      </c>
    </row>
    <row r="1778" spans="1:24" x14ac:dyDescent="0.3">
      <c r="A1778" t="s">
        <v>3054</v>
      </c>
      <c r="B1778" t="s">
        <v>71</v>
      </c>
      <c r="C1778" t="s">
        <v>72</v>
      </c>
      <c r="D1778" t="str">
        <f t="shared" si="81"/>
        <v>Morning</v>
      </c>
      <c r="E1778">
        <f>HOUR(EV_Data[[#This Row],[Charging Start Time]])</f>
        <v>0</v>
      </c>
      <c r="F1778" s="1">
        <v>45001</v>
      </c>
      <c r="G1778" s="1">
        <v>45001.043055555558</v>
      </c>
      <c r="H1778">
        <v>62</v>
      </c>
      <c r="I1778">
        <v>13.86</v>
      </c>
      <c r="J1778" t="str">
        <f t="shared" si="82"/>
        <v>Low</v>
      </c>
      <c r="K1778" t="s">
        <v>42</v>
      </c>
      <c r="L1778">
        <v>58</v>
      </c>
      <c r="M1778">
        <v>81</v>
      </c>
      <c r="N1778" t="str">
        <f t="shared" si="83"/>
        <v>Low Cost</v>
      </c>
      <c r="O1778">
        <v>5.66</v>
      </c>
      <c r="P1778" t="s">
        <v>43</v>
      </c>
      <c r="Q1778" t="s">
        <v>48</v>
      </c>
      <c r="R1778" t="s">
        <v>25</v>
      </c>
      <c r="S1778" t="s">
        <v>1193</v>
      </c>
      <c r="T1778" t="s">
        <v>37</v>
      </c>
      <c r="U1778">
        <v>69</v>
      </c>
      <c r="V1778">
        <v>4.7</v>
      </c>
      <c r="W1778" t="s">
        <v>47</v>
      </c>
      <c r="X1778" t="s">
        <v>29</v>
      </c>
    </row>
    <row r="1779" spans="1:24" x14ac:dyDescent="0.3">
      <c r="A1779" t="s">
        <v>3055</v>
      </c>
      <c r="B1779" t="s">
        <v>53</v>
      </c>
      <c r="C1779" t="s">
        <v>54</v>
      </c>
      <c r="D1779" t="str">
        <f t="shared" si="81"/>
        <v>Morning</v>
      </c>
      <c r="E1779">
        <f>HOUR(EV_Data[[#This Row],[Charging Start Time]])</f>
        <v>1</v>
      </c>
      <c r="F1779" s="1">
        <v>45001.041666666664</v>
      </c>
      <c r="G1779" s="1">
        <v>45001.075694444437</v>
      </c>
      <c r="H1779">
        <v>49</v>
      </c>
      <c r="I1779">
        <v>27.45</v>
      </c>
      <c r="J1779" t="str">
        <f t="shared" si="82"/>
        <v>Medium</v>
      </c>
      <c r="K1779" t="s">
        <v>50</v>
      </c>
      <c r="L1779">
        <v>16</v>
      </c>
      <c r="M1779">
        <v>30</v>
      </c>
      <c r="N1779" t="str">
        <f t="shared" si="83"/>
        <v>Low Cost</v>
      </c>
      <c r="O1779">
        <v>5.62</v>
      </c>
      <c r="P1779" t="s">
        <v>33</v>
      </c>
      <c r="Q1779" t="s">
        <v>34</v>
      </c>
      <c r="R1779" t="s">
        <v>44</v>
      </c>
      <c r="S1779" t="s">
        <v>1194</v>
      </c>
      <c r="T1779" t="s">
        <v>37</v>
      </c>
      <c r="U1779">
        <v>75</v>
      </c>
      <c r="V1779">
        <v>4.0999999999999996</v>
      </c>
      <c r="W1779" t="s">
        <v>28</v>
      </c>
      <c r="X1779" t="s">
        <v>68</v>
      </c>
    </row>
    <row r="1780" spans="1:24" x14ac:dyDescent="0.3">
      <c r="A1780" t="s">
        <v>3056</v>
      </c>
      <c r="B1780" t="s">
        <v>20</v>
      </c>
      <c r="C1780" t="s">
        <v>21</v>
      </c>
      <c r="D1780" t="str">
        <f t="shared" si="81"/>
        <v>Morning</v>
      </c>
      <c r="E1780">
        <f>HOUR(EV_Data[[#This Row],[Charging Start Time]])</f>
        <v>2</v>
      </c>
      <c r="F1780" s="1">
        <v>45001.083333333336</v>
      </c>
      <c r="G1780" s="1">
        <v>45001.14166666667</v>
      </c>
      <c r="H1780">
        <v>84</v>
      </c>
      <c r="I1780">
        <v>11.72</v>
      </c>
      <c r="J1780" t="str">
        <f t="shared" si="82"/>
        <v>Low</v>
      </c>
      <c r="K1780" t="s">
        <v>22</v>
      </c>
      <c r="L1780">
        <v>53</v>
      </c>
      <c r="M1780">
        <v>87</v>
      </c>
      <c r="N1780" t="str">
        <f t="shared" si="83"/>
        <v>Low Cost</v>
      </c>
      <c r="O1780">
        <v>3.99</v>
      </c>
      <c r="P1780" t="s">
        <v>43</v>
      </c>
      <c r="Q1780" t="s">
        <v>58</v>
      </c>
      <c r="R1780" t="s">
        <v>56</v>
      </c>
      <c r="S1780" t="s">
        <v>36</v>
      </c>
      <c r="T1780" t="s">
        <v>27</v>
      </c>
      <c r="U1780">
        <v>0</v>
      </c>
      <c r="V1780">
        <v>4.5</v>
      </c>
      <c r="W1780" t="s">
        <v>47</v>
      </c>
      <c r="X1780" t="s">
        <v>29</v>
      </c>
    </row>
    <row r="1781" spans="1:24" x14ac:dyDescent="0.3">
      <c r="A1781" t="s">
        <v>3057</v>
      </c>
      <c r="B1781" t="s">
        <v>71</v>
      </c>
      <c r="C1781" t="s">
        <v>72</v>
      </c>
      <c r="D1781" t="str">
        <f t="shared" si="81"/>
        <v>Morning</v>
      </c>
      <c r="E1781">
        <f>HOUR(EV_Data[[#This Row],[Charging Start Time]])</f>
        <v>3</v>
      </c>
      <c r="F1781" s="1">
        <v>45001.125</v>
      </c>
      <c r="G1781" s="1">
        <v>45001.158333333333</v>
      </c>
      <c r="H1781">
        <v>48</v>
      </c>
      <c r="I1781">
        <v>14.11</v>
      </c>
      <c r="J1781" t="str">
        <f t="shared" si="82"/>
        <v>Low</v>
      </c>
      <c r="K1781" t="s">
        <v>50</v>
      </c>
      <c r="L1781">
        <v>20</v>
      </c>
      <c r="M1781">
        <v>36</v>
      </c>
      <c r="N1781" t="str">
        <f t="shared" si="83"/>
        <v>Low Cost</v>
      </c>
      <c r="O1781">
        <v>3.73</v>
      </c>
      <c r="P1781" t="s">
        <v>33</v>
      </c>
      <c r="Q1781" t="s">
        <v>48</v>
      </c>
      <c r="R1781" t="s">
        <v>35</v>
      </c>
      <c r="S1781" t="s">
        <v>1195</v>
      </c>
      <c r="T1781" t="s">
        <v>37</v>
      </c>
      <c r="U1781">
        <v>53</v>
      </c>
      <c r="V1781">
        <v>2.9</v>
      </c>
      <c r="W1781" t="s">
        <v>38</v>
      </c>
      <c r="X1781" t="s">
        <v>83</v>
      </c>
    </row>
    <row r="1782" spans="1:24" x14ac:dyDescent="0.3">
      <c r="A1782" t="s">
        <v>3058</v>
      </c>
      <c r="B1782" t="s">
        <v>92</v>
      </c>
      <c r="C1782" t="s">
        <v>93</v>
      </c>
      <c r="D1782" t="str">
        <f t="shared" si="81"/>
        <v>Morning</v>
      </c>
      <c r="E1782">
        <f>HOUR(EV_Data[[#This Row],[Charging Start Time]])</f>
        <v>4</v>
      </c>
      <c r="F1782" s="1">
        <v>45001.166666666664</v>
      </c>
      <c r="G1782" s="1">
        <v>45001.177083333343</v>
      </c>
      <c r="H1782">
        <v>15</v>
      </c>
      <c r="I1782">
        <v>29.71</v>
      </c>
      <c r="J1782" t="str">
        <f t="shared" si="82"/>
        <v>Medium</v>
      </c>
      <c r="K1782" t="s">
        <v>69</v>
      </c>
      <c r="L1782">
        <v>77</v>
      </c>
      <c r="M1782">
        <v>100</v>
      </c>
      <c r="N1782" t="str">
        <f t="shared" si="83"/>
        <v>Medium Cost</v>
      </c>
      <c r="O1782">
        <v>13.87</v>
      </c>
      <c r="P1782" t="s">
        <v>43</v>
      </c>
      <c r="Q1782" t="s">
        <v>48</v>
      </c>
      <c r="R1782" t="s">
        <v>25</v>
      </c>
      <c r="S1782" t="s">
        <v>1030</v>
      </c>
      <c r="T1782" t="s">
        <v>46</v>
      </c>
      <c r="U1782">
        <v>92</v>
      </c>
      <c r="V1782">
        <v>1.3</v>
      </c>
      <c r="W1782" t="s">
        <v>28</v>
      </c>
      <c r="X1782" t="s">
        <v>68</v>
      </c>
    </row>
    <row r="1783" spans="1:24" x14ac:dyDescent="0.3">
      <c r="A1783" t="s">
        <v>3059</v>
      </c>
      <c r="B1783" t="s">
        <v>77</v>
      </c>
      <c r="C1783" t="s">
        <v>78</v>
      </c>
      <c r="D1783" t="str">
        <f t="shared" si="81"/>
        <v>Morning</v>
      </c>
      <c r="E1783">
        <f>HOUR(EV_Data[[#This Row],[Charging Start Time]])</f>
        <v>5</v>
      </c>
      <c r="F1783" s="1">
        <v>45001.208333333336</v>
      </c>
      <c r="G1783" s="1">
        <v>45001.256249999999</v>
      </c>
      <c r="H1783">
        <v>69</v>
      </c>
      <c r="I1783">
        <v>16.63</v>
      </c>
      <c r="J1783" t="str">
        <f t="shared" si="82"/>
        <v>Low</v>
      </c>
      <c r="K1783" t="s">
        <v>22</v>
      </c>
      <c r="L1783">
        <v>65</v>
      </c>
      <c r="M1783">
        <v>99</v>
      </c>
      <c r="N1783" t="str">
        <f t="shared" si="83"/>
        <v>Low Cost</v>
      </c>
      <c r="O1783">
        <v>4.91</v>
      </c>
      <c r="P1783" t="s">
        <v>51</v>
      </c>
      <c r="Q1783" t="s">
        <v>48</v>
      </c>
      <c r="R1783" t="s">
        <v>25</v>
      </c>
      <c r="S1783" t="s">
        <v>1196</v>
      </c>
      <c r="T1783" t="s">
        <v>37</v>
      </c>
      <c r="U1783">
        <v>40</v>
      </c>
      <c r="V1783">
        <v>1.9</v>
      </c>
      <c r="W1783" t="s">
        <v>28</v>
      </c>
      <c r="X1783" t="s">
        <v>68</v>
      </c>
    </row>
    <row r="1784" spans="1:24" x14ac:dyDescent="0.3">
      <c r="A1784" t="s">
        <v>3060</v>
      </c>
      <c r="B1784" t="s">
        <v>20</v>
      </c>
      <c r="C1784" t="s">
        <v>21</v>
      </c>
      <c r="D1784" t="str">
        <f t="shared" si="81"/>
        <v>Morning</v>
      </c>
      <c r="E1784">
        <f>HOUR(EV_Data[[#This Row],[Charging Start Time]])</f>
        <v>6</v>
      </c>
      <c r="F1784" s="1">
        <v>45001.25</v>
      </c>
      <c r="G1784" s="1">
        <v>45001.281944444447</v>
      </c>
      <c r="H1784">
        <v>46</v>
      </c>
      <c r="I1784">
        <v>31.37</v>
      </c>
      <c r="J1784" t="str">
        <f t="shared" si="82"/>
        <v>Medium</v>
      </c>
      <c r="K1784" t="s">
        <v>50</v>
      </c>
      <c r="L1784">
        <v>17</v>
      </c>
      <c r="M1784">
        <v>32</v>
      </c>
      <c r="N1784" t="str">
        <f t="shared" si="83"/>
        <v>Medium Cost</v>
      </c>
      <c r="O1784">
        <v>15.03</v>
      </c>
      <c r="P1784" t="s">
        <v>51</v>
      </c>
      <c r="Q1784" t="s">
        <v>58</v>
      </c>
      <c r="R1784" t="s">
        <v>35</v>
      </c>
      <c r="S1784" t="s">
        <v>1197</v>
      </c>
      <c r="T1784" t="s">
        <v>60</v>
      </c>
      <c r="U1784">
        <v>36</v>
      </c>
      <c r="V1784">
        <v>5</v>
      </c>
      <c r="W1784" t="s">
        <v>28</v>
      </c>
      <c r="X1784" t="s">
        <v>68</v>
      </c>
    </row>
    <row r="1785" spans="1:24" x14ac:dyDescent="0.3">
      <c r="A1785" t="s">
        <v>3061</v>
      </c>
      <c r="B1785" t="s">
        <v>30</v>
      </c>
      <c r="C1785" t="s">
        <v>102</v>
      </c>
      <c r="D1785" t="str">
        <f t="shared" si="81"/>
        <v>Morning</v>
      </c>
      <c r="E1785">
        <f>HOUR(EV_Data[[#This Row],[Charging Start Time]])</f>
        <v>7</v>
      </c>
      <c r="F1785" s="1">
        <v>45001.291666666664</v>
      </c>
      <c r="G1785" s="1">
        <v>45001.321527777778</v>
      </c>
      <c r="H1785">
        <v>43</v>
      </c>
      <c r="I1785">
        <v>47.14</v>
      </c>
      <c r="J1785" t="str">
        <f t="shared" si="82"/>
        <v>Medium</v>
      </c>
      <c r="K1785" t="s">
        <v>42</v>
      </c>
      <c r="L1785">
        <v>54</v>
      </c>
      <c r="M1785">
        <v>73</v>
      </c>
      <c r="N1785" t="str">
        <f t="shared" si="83"/>
        <v>Medium Cost</v>
      </c>
      <c r="O1785">
        <v>14.21</v>
      </c>
      <c r="P1785" t="s">
        <v>64</v>
      </c>
      <c r="Q1785" t="s">
        <v>24</v>
      </c>
      <c r="R1785" t="s">
        <v>35</v>
      </c>
      <c r="S1785" t="s">
        <v>117</v>
      </c>
      <c r="T1785" t="s">
        <v>27</v>
      </c>
      <c r="U1785">
        <v>39</v>
      </c>
      <c r="V1785">
        <v>1.2</v>
      </c>
      <c r="W1785" t="s">
        <v>47</v>
      </c>
      <c r="X1785" t="s">
        <v>29</v>
      </c>
    </row>
    <row r="1786" spans="1:24" x14ac:dyDescent="0.3">
      <c r="A1786" t="s">
        <v>3062</v>
      </c>
      <c r="B1786" t="s">
        <v>92</v>
      </c>
      <c r="C1786" t="s">
        <v>93</v>
      </c>
      <c r="D1786" t="str">
        <f t="shared" si="81"/>
        <v>Morning</v>
      </c>
      <c r="E1786">
        <f>HOUR(EV_Data[[#This Row],[Charging Start Time]])</f>
        <v>8</v>
      </c>
      <c r="F1786" s="1">
        <v>45001.333333333336</v>
      </c>
      <c r="G1786" s="1">
        <v>45001.359722222223</v>
      </c>
      <c r="H1786">
        <v>38</v>
      </c>
      <c r="I1786">
        <v>37.21</v>
      </c>
      <c r="J1786" t="str">
        <f t="shared" si="82"/>
        <v>Medium</v>
      </c>
      <c r="K1786" t="s">
        <v>69</v>
      </c>
      <c r="L1786">
        <v>26</v>
      </c>
      <c r="M1786">
        <v>54</v>
      </c>
      <c r="N1786" t="str">
        <f t="shared" si="83"/>
        <v>Medium Cost</v>
      </c>
      <c r="O1786">
        <v>9.91</v>
      </c>
      <c r="P1786" t="s">
        <v>23</v>
      </c>
      <c r="Q1786" t="s">
        <v>48</v>
      </c>
      <c r="R1786" t="s">
        <v>25</v>
      </c>
      <c r="S1786" t="s">
        <v>1198</v>
      </c>
      <c r="T1786" t="s">
        <v>27</v>
      </c>
      <c r="U1786">
        <v>91</v>
      </c>
      <c r="V1786">
        <v>3</v>
      </c>
      <c r="W1786" t="s">
        <v>47</v>
      </c>
      <c r="X1786" t="s">
        <v>29</v>
      </c>
    </row>
    <row r="1787" spans="1:24" x14ac:dyDescent="0.3">
      <c r="A1787" t="s">
        <v>3063</v>
      </c>
      <c r="B1787" t="s">
        <v>30</v>
      </c>
      <c r="C1787" t="s">
        <v>102</v>
      </c>
      <c r="D1787" t="str">
        <f t="shared" si="81"/>
        <v>Morning</v>
      </c>
      <c r="E1787">
        <f>HOUR(EV_Data[[#This Row],[Charging Start Time]])</f>
        <v>9</v>
      </c>
      <c r="F1787" s="1">
        <v>45001.375</v>
      </c>
      <c r="G1787" s="1">
        <v>45001.406944444447</v>
      </c>
      <c r="H1787">
        <v>46</v>
      </c>
      <c r="I1787">
        <v>20.07</v>
      </c>
      <c r="J1787" t="str">
        <f t="shared" si="82"/>
        <v>Medium</v>
      </c>
      <c r="K1787" t="s">
        <v>42</v>
      </c>
      <c r="L1787">
        <v>18</v>
      </c>
      <c r="M1787">
        <v>50</v>
      </c>
      <c r="N1787" t="str">
        <f t="shared" si="83"/>
        <v>Low Cost</v>
      </c>
      <c r="O1787">
        <v>6.85</v>
      </c>
      <c r="P1787" t="s">
        <v>64</v>
      </c>
      <c r="Q1787" t="s">
        <v>34</v>
      </c>
      <c r="R1787" t="s">
        <v>56</v>
      </c>
      <c r="S1787" t="s">
        <v>895</v>
      </c>
      <c r="T1787" t="s">
        <v>60</v>
      </c>
      <c r="U1787">
        <v>16</v>
      </c>
      <c r="V1787">
        <v>4.9000000000000004</v>
      </c>
      <c r="W1787" t="s">
        <v>47</v>
      </c>
      <c r="X1787" t="s">
        <v>29</v>
      </c>
    </row>
    <row r="1788" spans="1:24" x14ac:dyDescent="0.3">
      <c r="A1788" t="s">
        <v>3064</v>
      </c>
      <c r="B1788" t="s">
        <v>92</v>
      </c>
      <c r="C1788" t="s">
        <v>93</v>
      </c>
      <c r="D1788" t="str">
        <f t="shared" si="81"/>
        <v>Morning</v>
      </c>
      <c r="E1788">
        <f>HOUR(EV_Data[[#This Row],[Charging Start Time]])</f>
        <v>10</v>
      </c>
      <c r="F1788" s="1">
        <v>45001.416666666664</v>
      </c>
      <c r="G1788" s="1">
        <v>45001.464583333327</v>
      </c>
      <c r="H1788">
        <v>69</v>
      </c>
      <c r="I1788">
        <v>17.54</v>
      </c>
      <c r="J1788" t="str">
        <f t="shared" si="82"/>
        <v>Low</v>
      </c>
      <c r="K1788" t="s">
        <v>22</v>
      </c>
      <c r="L1788">
        <v>74</v>
      </c>
      <c r="M1788">
        <v>95</v>
      </c>
      <c r="N1788" t="str">
        <f t="shared" si="83"/>
        <v>Low Cost</v>
      </c>
      <c r="O1788">
        <v>4.8</v>
      </c>
      <c r="P1788" t="s">
        <v>43</v>
      </c>
      <c r="Q1788" t="s">
        <v>48</v>
      </c>
      <c r="R1788" t="s">
        <v>35</v>
      </c>
      <c r="S1788" t="s">
        <v>1199</v>
      </c>
      <c r="T1788" t="s">
        <v>46</v>
      </c>
      <c r="U1788">
        <v>19</v>
      </c>
      <c r="V1788">
        <v>3.2</v>
      </c>
      <c r="W1788" t="s">
        <v>38</v>
      </c>
      <c r="X1788" t="s">
        <v>62</v>
      </c>
    </row>
    <row r="1789" spans="1:24" x14ac:dyDescent="0.3">
      <c r="A1789" t="s">
        <v>3065</v>
      </c>
      <c r="B1789" t="s">
        <v>53</v>
      </c>
      <c r="C1789" t="s">
        <v>54</v>
      </c>
      <c r="D1789" t="str">
        <f t="shared" si="81"/>
        <v>Morning</v>
      </c>
      <c r="E1789">
        <f>HOUR(EV_Data[[#This Row],[Charging Start Time]])</f>
        <v>11</v>
      </c>
      <c r="F1789" s="1">
        <v>45001.458333333336</v>
      </c>
      <c r="G1789" s="1">
        <v>45001.493055555547</v>
      </c>
      <c r="H1789">
        <v>50</v>
      </c>
      <c r="I1789">
        <v>45.9</v>
      </c>
      <c r="J1789" t="str">
        <f t="shared" si="82"/>
        <v>Medium</v>
      </c>
      <c r="K1789" t="s">
        <v>42</v>
      </c>
      <c r="L1789">
        <v>5</v>
      </c>
      <c r="M1789">
        <v>29</v>
      </c>
      <c r="N1789" t="str">
        <f t="shared" si="83"/>
        <v>Medium Cost</v>
      </c>
      <c r="O1789">
        <v>10.64</v>
      </c>
      <c r="P1789" t="s">
        <v>64</v>
      </c>
      <c r="Q1789" t="s">
        <v>34</v>
      </c>
      <c r="R1789" t="s">
        <v>25</v>
      </c>
      <c r="S1789" t="s">
        <v>608</v>
      </c>
      <c r="T1789" t="s">
        <v>27</v>
      </c>
      <c r="U1789">
        <v>28</v>
      </c>
      <c r="V1789">
        <v>3.7</v>
      </c>
      <c r="W1789" t="s">
        <v>28</v>
      </c>
      <c r="X1789" t="s">
        <v>68</v>
      </c>
    </row>
    <row r="1790" spans="1:24" x14ac:dyDescent="0.3">
      <c r="A1790" t="s">
        <v>3066</v>
      </c>
      <c r="B1790" t="s">
        <v>71</v>
      </c>
      <c r="C1790" t="s">
        <v>72</v>
      </c>
      <c r="D1790" t="str">
        <f t="shared" si="81"/>
        <v>Afternoon</v>
      </c>
      <c r="E1790">
        <f>HOUR(EV_Data[[#This Row],[Charging Start Time]])</f>
        <v>12</v>
      </c>
      <c r="F1790" s="1">
        <v>45001.5</v>
      </c>
      <c r="G1790" s="1">
        <v>45001.506944444453</v>
      </c>
      <c r="H1790">
        <v>10</v>
      </c>
      <c r="I1790">
        <v>7.66</v>
      </c>
      <c r="J1790" t="str">
        <f t="shared" si="82"/>
        <v>Low</v>
      </c>
      <c r="K1790" t="s">
        <v>69</v>
      </c>
      <c r="L1790">
        <v>76</v>
      </c>
      <c r="M1790">
        <v>100</v>
      </c>
      <c r="N1790" t="str">
        <f t="shared" si="83"/>
        <v>Low Cost</v>
      </c>
      <c r="O1790">
        <v>3.16</v>
      </c>
      <c r="P1790" t="s">
        <v>51</v>
      </c>
      <c r="Q1790" t="s">
        <v>48</v>
      </c>
      <c r="R1790" t="s">
        <v>35</v>
      </c>
      <c r="S1790" t="s">
        <v>935</v>
      </c>
      <c r="T1790" t="s">
        <v>46</v>
      </c>
      <c r="U1790">
        <v>65</v>
      </c>
      <c r="V1790">
        <v>1.8</v>
      </c>
      <c r="W1790" t="s">
        <v>28</v>
      </c>
      <c r="X1790" t="s">
        <v>68</v>
      </c>
    </row>
    <row r="1791" spans="1:24" x14ac:dyDescent="0.3">
      <c r="A1791" t="s">
        <v>3067</v>
      </c>
      <c r="B1791" t="s">
        <v>53</v>
      </c>
      <c r="C1791" t="s">
        <v>54</v>
      </c>
      <c r="D1791" t="str">
        <f t="shared" si="81"/>
        <v>Afternoon</v>
      </c>
      <c r="E1791">
        <f>HOUR(EV_Data[[#This Row],[Charging Start Time]])</f>
        <v>13</v>
      </c>
      <c r="F1791" s="1">
        <v>45001.541666666664</v>
      </c>
      <c r="G1791" s="1">
        <v>45001.574999999997</v>
      </c>
      <c r="H1791">
        <v>48</v>
      </c>
      <c r="I1791">
        <v>46.76</v>
      </c>
      <c r="J1791" t="str">
        <f t="shared" si="82"/>
        <v>Medium</v>
      </c>
      <c r="K1791" t="s">
        <v>50</v>
      </c>
      <c r="L1791">
        <v>24</v>
      </c>
      <c r="M1791">
        <v>47</v>
      </c>
      <c r="N1791" t="str">
        <f t="shared" si="83"/>
        <v>Medium Cost</v>
      </c>
      <c r="O1791">
        <v>13.51</v>
      </c>
      <c r="P1791" t="s">
        <v>51</v>
      </c>
      <c r="Q1791" t="s">
        <v>58</v>
      </c>
      <c r="R1791" t="s">
        <v>56</v>
      </c>
      <c r="S1791" t="s">
        <v>563</v>
      </c>
      <c r="T1791" t="s">
        <v>37</v>
      </c>
      <c r="U1791">
        <v>6</v>
      </c>
      <c r="V1791">
        <v>3.8</v>
      </c>
      <c r="W1791" t="s">
        <v>47</v>
      </c>
      <c r="X1791" t="s">
        <v>29</v>
      </c>
    </row>
    <row r="1792" spans="1:24" x14ac:dyDescent="0.3">
      <c r="A1792" t="s">
        <v>3068</v>
      </c>
      <c r="B1792" t="s">
        <v>30</v>
      </c>
      <c r="C1792" t="s">
        <v>102</v>
      </c>
      <c r="D1792" t="str">
        <f t="shared" si="81"/>
        <v>Afternoon</v>
      </c>
      <c r="E1792">
        <f>HOUR(EV_Data[[#This Row],[Charging Start Time]])</f>
        <v>14</v>
      </c>
      <c r="F1792" s="1">
        <v>45001.583333333336</v>
      </c>
      <c r="G1792" s="1">
        <v>45001.618750000001</v>
      </c>
      <c r="H1792">
        <v>51</v>
      </c>
      <c r="I1792">
        <v>36.31</v>
      </c>
      <c r="J1792" t="str">
        <f t="shared" si="82"/>
        <v>Medium</v>
      </c>
      <c r="K1792" t="s">
        <v>50</v>
      </c>
      <c r="L1792">
        <v>38</v>
      </c>
      <c r="M1792">
        <v>62</v>
      </c>
      <c r="N1792" t="str">
        <f t="shared" si="83"/>
        <v>Medium Cost</v>
      </c>
      <c r="O1792">
        <v>9.49</v>
      </c>
      <c r="P1792" t="s">
        <v>64</v>
      </c>
      <c r="Q1792" t="s">
        <v>34</v>
      </c>
      <c r="R1792" t="s">
        <v>35</v>
      </c>
      <c r="S1792" t="s">
        <v>990</v>
      </c>
      <c r="T1792" t="s">
        <v>27</v>
      </c>
      <c r="U1792">
        <v>5</v>
      </c>
      <c r="V1792">
        <v>4.0999999999999996</v>
      </c>
      <c r="W1792" t="s">
        <v>28</v>
      </c>
      <c r="X1792" t="s">
        <v>68</v>
      </c>
    </row>
    <row r="1793" spans="1:24" x14ac:dyDescent="0.3">
      <c r="A1793" t="s">
        <v>3069</v>
      </c>
      <c r="B1793" t="s">
        <v>20</v>
      </c>
      <c r="C1793" t="s">
        <v>21</v>
      </c>
      <c r="D1793" t="str">
        <f t="shared" si="81"/>
        <v>Afternoon</v>
      </c>
      <c r="E1793">
        <f>HOUR(EV_Data[[#This Row],[Charging Start Time]])</f>
        <v>15</v>
      </c>
      <c r="F1793" s="1">
        <v>45001.625</v>
      </c>
      <c r="G1793" s="1">
        <v>45001.679861111108</v>
      </c>
      <c r="H1793">
        <v>79</v>
      </c>
      <c r="I1793">
        <v>37.450000000000003</v>
      </c>
      <c r="J1793" t="str">
        <f t="shared" si="82"/>
        <v>Medium</v>
      </c>
      <c r="K1793" t="s">
        <v>32</v>
      </c>
      <c r="L1793">
        <v>29</v>
      </c>
      <c r="M1793">
        <v>46</v>
      </c>
      <c r="N1793" t="str">
        <f t="shared" si="83"/>
        <v>Medium Cost</v>
      </c>
      <c r="O1793">
        <v>8.01</v>
      </c>
      <c r="P1793" t="s">
        <v>23</v>
      </c>
      <c r="Q1793" t="s">
        <v>58</v>
      </c>
      <c r="R1793" t="s">
        <v>56</v>
      </c>
      <c r="S1793" t="s">
        <v>564</v>
      </c>
      <c r="T1793" t="s">
        <v>37</v>
      </c>
      <c r="U1793">
        <v>80</v>
      </c>
      <c r="V1793">
        <v>1.3</v>
      </c>
      <c r="W1793" t="s">
        <v>28</v>
      </c>
      <c r="X1793" t="s">
        <v>68</v>
      </c>
    </row>
    <row r="1794" spans="1:24" x14ac:dyDescent="0.3">
      <c r="A1794" t="s">
        <v>3070</v>
      </c>
      <c r="B1794" t="s">
        <v>92</v>
      </c>
      <c r="C1794" t="s">
        <v>93</v>
      </c>
      <c r="D1794" t="str">
        <f t="shared" ref="D1794:D1857" si="84">IF(E1794&lt;12,"Morning",IF(E1794&lt;17,"Afternoon","Evening"))</f>
        <v>Afternoon</v>
      </c>
      <c r="E1794">
        <f>HOUR(EV_Data[[#This Row],[Charging Start Time]])</f>
        <v>16</v>
      </c>
      <c r="F1794" s="1">
        <v>45001.666666666664</v>
      </c>
      <c r="G1794" s="1">
        <v>45001.715277777781</v>
      </c>
      <c r="H1794">
        <v>70</v>
      </c>
      <c r="I1794">
        <v>15.72</v>
      </c>
      <c r="J1794" t="str">
        <f t="shared" ref="J1794:J1857" si="85">IF(I1794&lt;20,"Low",IF(I1794&lt;50,"Medium","High"))</f>
        <v>Low</v>
      </c>
      <c r="K1794" t="s">
        <v>55</v>
      </c>
      <c r="L1794">
        <v>45</v>
      </c>
      <c r="M1794">
        <v>84</v>
      </c>
      <c r="N1794" t="str">
        <f t="shared" ref="N1794:N1857" si="86">IF(O1794&lt;8,"Low Cost",IF(O1794&lt;17,"Medium Cost","High Cost"))</f>
        <v>Low Cost</v>
      </c>
      <c r="O1794">
        <v>7.28</v>
      </c>
      <c r="P1794" t="s">
        <v>33</v>
      </c>
      <c r="Q1794" t="s">
        <v>24</v>
      </c>
      <c r="R1794" t="s">
        <v>25</v>
      </c>
      <c r="S1794" t="s">
        <v>737</v>
      </c>
      <c r="T1794" t="s">
        <v>37</v>
      </c>
      <c r="U1794">
        <v>71</v>
      </c>
      <c r="V1794">
        <v>4.3</v>
      </c>
      <c r="W1794" t="s">
        <v>38</v>
      </c>
    </row>
    <row r="1795" spans="1:24" x14ac:dyDescent="0.3">
      <c r="A1795" t="s">
        <v>3071</v>
      </c>
      <c r="B1795" t="s">
        <v>20</v>
      </c>
      <c r="C1795" t="s">
        <v>21</v>
      </c>
      <c r="D1795" t="str">
        <f t="shared" si="84"/>
        <v>Evening</v>
      </c>
      <c r="E1795">
        <f>HOUR(EV_Data[[#This Row],[Charging Start Time]])</f>
        <v>17</v>
      </c>
      <c r="F1795" s="1">
        <v>45001.708333333336</v>
      </c>
      <c r="G1795" s="1">
        <v>45001.75277777778</v>
      </c>
      <c r="H1795">
        <v>64</v>
      </c>
      <c r="I1795">
        <v>19.25</v>
      </c>
      <c r="J1795" t="str">
        <f t="shared" si="85"/>
        <v>Low</v>
      </c>
      <c r="K1795" t="s">
        <v>42</v>
      </c>
      <c r="L1795">
        <v>44</v>
      </c>
      <c r="M1795">
        <v>75</v>
      </c>
      <c r="N1795" t="str">
        <f t="shared" si="86"/>
        <v>Medium Cost</v>
      </c>
      <c r="O1795">
        <v>8.65</v>
      </c>
      <c r="P1795" t="s">
        <v>33</v>
      </c>
      <c r="Q1795" t="s">
        <v>48</v>
      </c>
      <c r="R1795" t="s">
        <v>25</v>
      </c>
      <c r="S1795" t="s">
        <v>862</v>
      </c>
      <c r="T1795" t="s">
        <v>27</v>
      </c>
      <c r="U1795">
        <v>10</v>
      </c>
      <c r="V1795">
        <v>5</v>
      </c>
      <c r="W1795" t="s">
        <v>38</v>
      </c>
      <c r="X1795" t="s">
        <v>39</v>
      </c>
    </row>
    <row r="1796" spans="1:24" x14ac:dyDescent="0.3">
      <c r="A1796" t="s">
        <v>3072</v>
      </c>
      <c r="B1796" t="s">
        <v>92</v>
      </c>
      <c r="C1796" t="s">
        <v>93</v>
      </c>
      <c r="D1796" t="str">
        <f t="shared" si="84"/>
        <v>Evening</v>
      </c>
      <c r="E1796">
        <f>HOUR(EV_Data[[#This Row],[Charging Start Time]])</f>
        <v>18</v>
      </c>
      <c r="F1796" s="1">
        <v>45001.75</v>
      </c>
      <c r="G1796" s="1">
        <v>45001.804861111108</v>
      </c>
      <c r="H1796">
        <v>79</v>
      </c>
      <c r="I1796">
        <v>30.81</v>
      </c>
      <c r="J1796" t="str">
        <f t="shared" si="85"/>
        <v>Medium</v>
      </c>
      <c r="K1796" t="s">
        <v>22</v>
      </c>
      <c r="L1796">
        <v>67</v>
      </c>
      <c r="M1796">
        <v>88</v>
      </c>
      <c r="N1796" t="str">
        <f t="shared" si="86"/>
        <v>Medium Cost</v>
      </c>
      <c r="O1796">
        <v>10.34</v>
      </c>
      <c r="P1796" t="s">
        <v>51</v>
      </c>
      <c r="Q1796" t="s">
        <v>34</v>
      </c>
      <c r="R1796" t="s">
        <v>25</v>
      </c>
      <c r="S1796" t="s">
        <v>1200</v>
      </c>
      <c r="T1796" t="s">
        <v>46</v>
      </c>
      <c r="U1796">
        <v>63</v>
      </c>
      <c r="V1796">
        <v>1.2</v>
      </c>
      <c r="W1796" t="s">
        <v>28</v>
      </c>
      <c r="X1796" t="s">
        <v>68</v>
      </c>
    </row>
    <row r="1797" spans="1:24" x14ac:dyDescent="0.3">
      <c r="A1797" t="s">
        <v>3073</v>
      </c>
      <c r="B1797" t="s">
        <v>126</v>
      </c>
      <c r="C1797" t="s">
        <v>31</v>
      </c>
      <c r="D1797" t="str">
        <f t="shared" si="84"/>
        <v>Evening</v>
      </c>
      <c r="E1797">
        <f>HOUR(EV_Data[[#This Row],[Charging Start Time]])</f>
        <v>19</v>
      </c>
      <c r="F1797" s="1">
        <v>45001.791666666664</v>
      </c>
      <c r="G1797" s="1">
        <v>45001.849305555559</v>
      </c>
      <c r="H1797">
        <v>83</v>
      </c>
      <c r="I1797">
        <v>36.85</v>
      </c>
      <c r="J1797" t="str">
        <f t="shared" si="85"/>
        <v>Medium</v>
      </c>
      <c r="K1797" t="s">
        <v>69</v>
      </c>
      <c r="L1797">
        <v>40</v>
      </c>
      <c r="M1797">
        <v>54</v>
      </c>
      <c r="N1797" t="str">
        <f t="shared" si="86"/>
        <v>Medium Cost</v>
      </c>
      <c r="O1797">
        <v>14.99</v>
      </c>
      <c r="P1797" t="s">
        <v>51</v>
      </c>
      <c r="Q1797" t="s">
        <v>34</v>
      </c>
      <c r="R1797" t="s">
        <v>25</v>
      </c>
      <c r="S1797" t="s">
        <v>1201</v>
      </c>
      <c r="T1797" t="s">
        <v>60</v>
      </c>
      <c r="U1797">
        <v>85</v>
      </c>
      <c r="V1797">
        <v>2.8</v>
      </c>
      <c r="W1797" t="s">
        <v>47</v>
      </c>
      <c r="X1797" t="s">
        <v>29</v>
      </c>
    </row>
    <row r="1798" spans="1:24" x14ac:dyDescent="0.3">
      <c r="A1798" t="s">
        <v>3074</v>
      </c>
      <c r="B1798" t="s">
        <v>71</v>
      </c>
      <c r="C1798" t="s">
        <v>72</v>
      </c>
      <c r="D1798" t="str">
        <f t="shared" si="84"/>
        <v>Evening</v>
      </c>
      <c r="E1798">
        <f>HOUR(EV_Data[[#This Row],[Charging Start Time]])</f>
        <v>20</v>
      </c>
      <c r="F1798" s="1">
        <v>45001.833333333336</v>
      </c>
      <c r="G1798" s="1">
        <v>45001.868055555547</v>
      </c>
      <c r="H1798">
        <v>50</v>
      </c>
      <c r="I1798">
        <v>14.7</v>
      </c>
      <c r="J1798" t="str">
        <f t="shared" si="85"/>
        <v>Low</v>
      </c>
      <c r="K1798" t="s">
        <v>50</v>
      </c>
      <c r="L1798">
        <v>34</v>
      </c>
      <c r="M1798">
        <v>52</v>
      </c>
      <c r="N1798" t="str">
        <f t="shared" si="86"/>
        <v>Low Cost</v>
      </c>
      <c r="O1798">
        <v>5.36</v>
      </c>
      <c r="P1798" t="s">
        <v>51</v>
      </c>
      <c r="Q1798" t="s">
        <v>24</v>
      </c>
      <c r="R1798" t="s">
        <v>35</v>
      </c>
      <c r="S1798" t="s">
        <v>287</v>
      </c>
      <c r="T1798" t="s">
        <v>37</v>
      </c>
      <c r="U1798">
        <v>95</v>
      </c>
      <c r="V1798">
        <v>4</v>
      </c>
      <c r="W1798" t="s">
        <v>47</v>
      </c>
      <c r="X1798" t="s">
        <v>29</v>
      </c>
    </row>
    <row r="1799" spans="1:24" x14ac:dyDescent="0.3">
      <c r="A1799" t="s">
        <v>3075</v>
      </c>
      <c r="B1799" t="s">
        <v>20</v>
      </c>
      <c r="C1799" t="s">
        <v>21</v>
      </c>
      <c r="D1799" t="str">
        <f t="shared" si="84"/>
        <v>Evening</v>
      </c>
      <c r="E1799">
        <f>HOUR(EV_Data[[#This Row],[Charging Start Time]])</f>
        <v>21</v>
      </c>
      <c r="F1799" s="1">
        <v>45001.875</v>
      </c>
      <c r="G1799" s="1">
        <v>45001.875694444447</v>
      </c>
      <c r="H1799">
        <v>1</v>
      </c>
      <c r="I1799">
        <v>33.68</v>
      </c>
      <c r="J1799" t="str">
        <f t="shared" si="85"/>
        <v>Medium</v>
      </c>
      <c r="K1799" t="s">
        <v>50</v>
      </c>
      <c r="L1799">
        <v>44</v>
      </c>
      <c r="M1799">
        <v>55</v>
      </c>
      <c r="N1799" t="str">
        <f t="shared" si="86"/>
        <v>Medium Cost</v>
      </c>
      <c r="O1799">
        <v>12.89</v>
      </c>
      <c r="P1799" t="s">
        <v>43</v>
      </c>
      <c r="Q1799" t="s">
        <v>58</v>
      </c>
      <c r="R1799" t="s">
        <v>25</v>
      </c>
      <c r="S1799" t="s">
        <v>1202</v>
      </c>
      <c r="T1799" t="s">
        <v>46</v>
      </c>
      <c r="U1799">
        <v>74</v>
      </c>
      <c r="V1799">
        <v>1.9</v>
      </c>
      <c r="W1799" t="s">
        <v>47</v>
      </c>
      <c r="X1799" t="s">
        <v>29</v>
      </c>
    </row>
    <row r="1800" spans="1:24" x14ac:dyDescent="0.3">
      <c r="A1800" t="s">
        <v>3076</v>
      </c>
      <c r="B1800" t="s">
        <v>71</v>
      </c>
      <c r="C1800" t="s">
        <v>72</v>
      </c>
      <c r="D1800" t="str">
        <f t="shared" si="84"/>
        <v>Evening</v>
      </c>
      <c r="E1800">
        <f>HOUR(EV_Data[[#This Row],[Charging Start Time]])</f>
        <v>22</v>
      </c>
      <c r="F1800" s="1">
        <v>45001.916666666664</v>
      </c>
      <c r="G1800" s="1">
        <v>45001.936805555553</v>
      </c>
      <c r="H1800">
        <v>29</v>
      </c>
      <c r="I1800">
        <v>20.78</v>
      </c>
      <c r="J1800" t="str">
        <f t="shared" si="85"/>
        <v>Medium</v>
      </c>
      <c r="K1800" t="s">
        <v>55</v>
      </c>
      <c r="L1800">
        <v>12</v>
      </c>
      <c r="M1800">
        <v>40</v>
      </c>
      <c r="N1800" t="str">
        <f t="shared" si="86"/>
        <v>Low Cost</v>
      </c>
      <c r="O1800">
        <v>5.49</v>
      </c>
      <c r="P1800" t="s">
        <v>23</v>
      </c>
      <c r="Q1800" t="s">
        <v>34</v>
      </c>
      <c r="R1800" t="s">
        <v>25</v>
      </c>
      <c r="S1800" t="s">
        <v>1203</v>
      </c>
      <c r="T1800" t="s">
        <v>27</v>
      </c>
      <c r="U1800">
        <v>39</v>
      </c>
      <c r="V1800">
        <v>3.5</v>
      </c>
      <c r="W1800" t="s">
        <v>28</v>
      </c>
      <c r="X1800" t="s">
        <v>68</v>
      </c>
    </row>
    <row r="1801" spans="1:24" x14ac:dyDescent="0.3">
      <c r="A1801" t="s">
        <v>3077</v>
      </c>
      <c r="B1801" t="s">
        <v>71</v>
      </c>
      <c r="C1801" t="s">
        <v>72</v>
      </c>
      <c r="D1801" t="str">
        <f t="shared" si="84"/>
        <v>Evening</v>
      </c>
      <c r="E1801">
        <f>HOUR(EV_Data[[#This Row],[Charging Start Time]])</f>
        <v>23</v>
      </c>
      <c r="F1801" s="1">
        <v>45001.958333333336</v>
      </c>
      <c r="G1801" s="1">
        <v>45002.026388888888</v>
      </c>
      <c r="H1801">
        <v>98</v>
      </c>
      <c r="I1801">
        <v>17.14</v>
      </c>
      <c r="J1801" t="str">
        <f t="shared" si="85"/>
        <v>Low</v>
      </c>
      <c r="K1801" t="s">
        <v>22</v>
      </c>
      <c r="L1801">
        <v>67</v>
      </c>
      <c r="M1801">
        <v>90</v>
      </c>
      <c r="N1801" t="str">
        <f t="shared" si="86"/>
        <v>Medium Cost</v>
      </c>
      <c r="O1801">
        <v>8.08</v>
      </c>
      <c r="P1801" t="s">
        <v>23</v>
      </c>
      <c r="Q1801" t="s">
        <v>34</v>
      </c>
      <c r="R1801" t="s">
        <v>35</v>
      </c>
      <c r="S1801" t="s">
        <v>765</v>
      </c>
      <c r="T1801" t="s">
        <v>37</v>
      </c>
      <c r="U1801">
        <v>23</v>
      </c>
      <c r="V1801">
        <v>4.8</v>
      </c>
      <c r="W1801" t="s">
        <v>28</v>
      </c>
      <c r="X1801" t="s">
        <v>68</v>
      </c>
    </row>
    <row r="1802" spans="1:24" x14ac:dyDescent="0.3">
      <c r="A1802" t="s">
        <v>3078</v>
      </c>
      <c r="B1802" t="s">
        <v>77</v>
      </c>
      <c r="C1802" t="s">
        <v>78</v>
      </c>
      <c r="D1802" t="str">
        <f t="shared" si="84"/>
        <v>Morning</v>
      </c>
      <c r="E1802">
        <f>HOUR(EV_Data[[#This Row],[Charging Start Time]])</f>
        <v>0</v>
      </c>
      <c r="F1802" s="1">
        <v>45002</v>
      </c>
      <c r="G1802" s="1">
        <v>45002.022916666669</v>
      </c>
      <c r="H1802">
        <v>33</v>
      </c>
      <c r="I1802">
        <v>48.56</v>
      </c>
      <c r="J1802" t="str">
        <f t="shared" si="85"/>
        <v>Medium</v>
      </c>
      <c r="K1802" t="s">
        <v>55</v>
      </c>
      <c r="L1802">
        <v>37</v>
      </c>
      <c r="M1802">
        <v>47</v>
      </c>
      <c r="N1802" t="str">
        <f t="shared" si="86"/>
        <v>Medium Cost</v>
      </c>
      <c r="O1802">
        <v>10.23</v>
      </c>
      <c r="P1802" t="s">
        <v>33</v>
      </c>
      <c r="Q1802" t="s">
        <v>48</v>
      </c>
      <c r="R1802" t="s">
        <v>35</v>
      </c>
      <c r="S1802" t="s">
        <v>255</v>
      </c>
      <c r="T1802" t="s">
        <v>27</v>
      </c>
      <c r="U1802">
        <v>86</v>
      </c>
      <c r="V1802">
        <v>2</v>
      </c>
      <c r="W1802" t="s">
        <v>38</v>
      </c>
      <c r="X1802" t="s">
        <v>85</v>
      </c>
    </row>
    <row r="1803" spans="1:24" x14ac:dyDescent="0.3">
      <c r="A1803" t="s">
        <v>3079</v>
      </c>
      <c r="B1803" t="s">
        <v>30</v>
      </c>
      <c r="C1803" t="s">
        <v>102</v>
      </c>
      <c r="D1803" t="str">
        <f t="shared" si="84"/>
        <v>Morning</v>
      </c>
      <c r="E1803">
        <f>HOUR(EV_Data[[#This Row],[Charging Start Time]])</f>
        <v>1</v>
      </c>
      <c r="F1803" s="1">
        <v>45002.041666666664</v>
      </c>
      <c r="G1803" s="1">
        <v>45002.088888888888</v>
      </c>
      <c r="H1803">
        <v>68</v>
      </c>
      <c r="I1803">
        <v>6.5</v>
      </c>
      <c r="J1803" t="str">
        <f t="shared" si="85"/>
        <v>Low</v>
      </c>
      <c r="K1803" t="s">
        <v>55</v>
      </c>
      <c r="L1803">
        <v>26</v>
      </c>
      <c r="M1803">
        <v>62</v>
      </c>
      <c r="N1803" t="str">
        <f t="shared" si="86"/>
        <v>Low Cost</v>
      </c>
      <c r="O1803">
        <v>3.17</v>
      </c>
      <c r="P1803" t="s">
        <v>43</v>
      </c>
      <c r="Q1803" t="s">
        <v>24</v>
      </c>
      <c r="R1803" t="s">
        <v>56</v>
      </c>
      <c r="S1803" t="s">
        <v>1204</v>
      </c>
      <c r="T1803" t="s">
        <v>27</v>
      </c>
      <c r="U1803">
        <v>63</v>
      </c>
      <c r="V1803">
        <v>4.0999999999999996</v>
      </c>
      <c r="W1803" t="s">
        <v>47</v>
      </c>
      <c r="X1803" t="s">
        <v>29</v>
      </c>
    </row>
    <row r="1804" spans="1:24" x14ac:dyDescent="0.3">
      <c r="A1804" t="s">
        <v>3080</v>
      </c>
      <c r="B1804" t="s">
        <v>77</v>
      </c>
      <c r="C1804" t="s">
        <v>78</v>
      </c>
      <c r="D1804" t="str">
        <f t="shared" si="84"/>
        <v>Morning</v>
      </c>
      <c r="E1804">
        <f>HOUR(EV_Data[[#This Row],[Charging Start Time]])</f>
        <v>2</v>
      </c>
      <c r="F1804" s="1">
        <v>45002.083333333336</v>
      </c>
      <c r="G1804" s="1">
        <v>45002.131944444453</v>
      </c>
      <c r="H1804">
        <v>70</v>
      </c>
      <c r="I1804">
        <v>6.06</v>
      </c>
      <c r="J1804" t="str">
        <f t="shared" si="85"/>
        <v>Low</v>
      </c>
      <c r="K1804" t="s">
        <v>32</v>
      </c>
      <c r="L1804">
        <v>53</v>
      </c>
      <c r="M1804">
        <v>89</v>
      </c>
      <c r="N1804" t="str">
        <f t="shared" si="86"/>
        <v>Low Cost</v>
      </c>
      <c r="O1804">
        <v>1.53</v>
      </c>
      <c r="P1804" t="s">
        <v>43</v>
      </c>
      <c r="Q1804" t="s">
        <v>58</v>
      </c>
      <c r="R1804" t="s">
        <v>44</v>
      </c>
      <c r="S1804" t="s">
        <v>1205</v>
      </c>
      <c r="T1804" t="s">
        <v>37</v>
      </c>
      <c r="U1804">
        <v>100</v>
      </c>
      <c r="V1804">
        <v>3.7</v>
      </c>
      <c r="W1804" t="s">
        <v>47</v>
      </c>
      <c r="X1804" t="s">
        <v>29</v>
      </c>
    </row>
    <row r="1805" spans="1:24" x14ac:dyDescent="0.3">
      <c r="A1805" t="s">
        <v>3081</v>
      </c>
      <c r="B1805" t="s">
        <v>53</v>
      </c>
      <c r="C1805" t="s">
        <v>54</v>
      </c>
      <c r="D1805" t="str">
        <f t="shared" si="84"/>
        <v>Morning</v>
      </c>
      <c r="E1805">
        <f>HOUR(EV_Data[[#This Row],[Charging Start Time]])</f>
        <v>3</v>
      </c>
      <c r="F1805" s="1">
        <v>45002.125</v>
      </c>
      <c r="G1805" s="1">
        <v>45002.155555555553</v>
      </c>
      <c r="H1805">
        <v>44</v>
      </c>
      <c r="I1805">
        <v>41.68</v>
      </c>
      <c r="J1805" t="str">
        <f t="shared" si="85"/>
        <v>Medium</v>
      </c>
      <c r="K1805" t="s">
        <v>22</v>
      </c>
      <c r="L1805">
        <v>25</v>
      </c>
      <c r="M1805">
        <v>57</v>
      </c>
      <c r="N1805" t="str">
        <f t="shared" si="86"/>
        <v>Medium Cost</v>
      </c>
      <c r="O1805">
        <v>12.51</v>
      </c>
      <c r="P1805" t="s">
        <v>43</v>
      </c>
      <c r="Q1805" t="s">
        <v>34</v>
      </c>
      <c r="R1805" t="s">
        <v>44</v>
      </c>
      <c r="S1805" t="s">
        <v>1206</v>
      </c>
      <c r="T1805" t="s">
        <v>60</v>
      </c>
      <c r="U1805">
        <v>41</v>
      </c>
      <c r="V1805">
        <v>4.7</v>
      </c>
      <c r="W1805" t="s">
        <v>47</v>
      </c>
      <c r="X1805" t="s">
        <v>29</v>
      </c>
    </row>
    <row r="1806" spans="1:24" x14ac:dyDescent="0.3">
      <c r="A1806" t="s">
        <v>3082</v>
      </c>
      <c r="B1806" t="s">
        <v>40</v>
      </c>
      <c r="C1806" t="s">
        <v>41</v>
      </c>
      <c r="D1806" t="str">
        <f t="shared" si="84"/>
        <v>Morning</v>
      </c>
      <c r="E1806">
        <f>HOUR(EV_Data[[#This Row],[Charging Start Time]])</f>
        <v>4</v>
      </c>
      <c r="F1806" s="1">
        <v>45002.166666666664</v>
      </c>
      <c r="G1806" s="1">
        <v>45002.231249999997</v>
      </c>
      <c r="H1806">
        <v>93</v>
      </c>
      <c r="I1806">
        <v>46.07</v>
      </c>
      <c r="J1806" t="str">
        <f t="shared" si="85"/>
        <v>Medium</v>
      </c>
      <c r="K1806" t="s">
        <v>50</v>
      </c>
      <c r="L1806">
        <v>43</v>
      </c>
      <c r="M1806">
        <v>59</v>
      </c>
      <c r="N1806" t="str">
        <f t="shared" si="86"/>
        <v>Medium Cost</v>
      </c>
      <c r="O1806">
        <v>10.130000000000001</v>
      </c>
      <c r="P1806" t="s">
        <v>23</v>
      </c>
      <c r="Q1806" t="s">
        <v>58</v>
      </c>
      <c r="R1806" t="s">
        <v>25</v>
      </c>
      <c r="S1806" t="s">
        <v>700</v>
      </c>
      <c r="T1806" t="s">
        <v>27</v>
      </c>
      <c r="U1806">
        <v>42</v>
      </c>
      <c r="V1806">
        <v>4.0999999999999996</v>
      </c>
      <c r="W1806" t="s">
        <v>47</v>
      </c>
      <c r="X1806" t="s">
        <v>29</v>
      </c>
    </row>
    <row r="1807" spans="1:24" x14ac:dyDescent="0.3">
      <c r="A1807" t="s">
        <v>3083</v>
      </c>
      <c r="B1807" t="s">
        <v>126</v>
      </c>
      <c r="C1807" t="s">
        <v>31</v>
      </c>
      <c r="D1807" t="str">
        <f t="shared" si="84"/>
        <v>Morning</v>
      </c>
      <c r="E1807">
        <f>HOUR(EV_Data[[#This Row],[Charging Start Time]])</f>
        <v>5</v>
      </c>
      <c r="F1807" s="1">
        <v>45002.208333333336</v>
      </c>
      <c r="G1807" s="1">
        <v>45002.26666666667</v>
      </c>
      <c r="H1807">
        <v>84</v>
      </c>
      <c r="I1807">
        <v>20.97</v>
      </c>
      <c r="J1807" t="str">
        <f t="shared" si="85"/>
        <v>Medium</v>
      </c>
      <c r="K1807" t="s">
        <v>69</v>
      </c>
      <c r="L1807">
        <v>67</v>
      </c>
      <c r="M1807">
        <v>98</v>
      </c>
      <c r="N1807" t="str">
        <f t="shared" si="86"/>
        <v>Medium Cost</v>
      </c>
      <c r="O1807">
        <v>9.06</v>
      </c>
      <c r="P1807" t="s">
        <v>43</v>
      </c>
      <c r="Q1807" t="s">
        <v>34</v>
      </c>
      <c r="R1807" t="s">
        <v>35</v>
      </c>
      <c r="S1807" t="s">
        <v>1207</v>
      </c>
      <c r="T1807" t="s">
        <v>46</v>
      </c>
      <c r="U1807">
        <v>51</v>
      </c>
      <c r="V1807">
        <v>1.3</v>
      </c>
      <c r="W1807" t="s">
        <v>38</v>
      </c>
      <c r="X1807" t="s">
        <v>83</v>
      </c>
    </row>
    <row r="1808" spans="1:24" x14ac:dyDescent="0.3">
      <c r="A1808" t="s">
        <v>3084</v>
      </c>
      <c r="B1808" t="s">
        <v>20</v>
      </c>
      <c r="C1808" t="s">
        <v>21</v>
      </c>
      <c r="D1808" t="str">
        <f t="shared" si="84"/>
        <v>Morning</v>
      </c>
      <c r="E1808">
        <f>HOUR(EV_Data[[#This Row],[Charging Start Time]])</f>
        <v>6</v>
      </c>
      <c r="F1808" s="1">
        <v>45002.25</v>
      </c>
      <c r="G1808" s="1">
        <v>45002.280555555553</v>
      </c>
      <c r="H1808">
        <v>44</v>
      </c>
      <c r="I1808">
        <v>31.4</v>
      </c>
      <c r="J1808" t="str">
        <f t="shared" si="85"/>
        <v>Medium</v>
      </c>
      <c r="K1808" t="s">
        <v>42</v>
      </c>
      <c r="L1808">
        <v>11</v>
      </c>
      <c r="M1808">
        <v>49</v>
      </c>
      <c r="N1808" t="str">
        <f t="shared" si="86"/>
        <v>Medium Cost</v>
      </c>
      <c r="O1808">
        <v>13.24</v>
      </c>
      <c r="P1808" t="s">
        <v>64</v>
      </c>
      <c r="Q1808" t="s">
        <v>34</v>
      </c>
      <c r="R1808" t="s">
        <v>25</v>
      </c>
      <c r="S1808" t="s">
        <v>1208</v>
      </c>
      <c r="T1808" t="s">
        <v>37</v>
      </c>
      <c r="U1808">
        <v>14</v>
      </c>
      <c r="V1808">
        <v>5</v>
      </c>
      <c r="W1808" t="s">
        <v>47</v>
      </c>
      <c r="X1808" t="s">
        <v>29</v>
      </c>
    </row>
    <row r="1809" spans="1:24" x14ac:dyDescent="0.3">
      <c r="A1809" t="s">
        <v>3085</v>
      </c>
      <c r="B1809" t="s">
        <v>40</v>
      </c>
      <c r="C1809" t="s">
        <v>41</v>
      </c>
      <c r="D1809" t="str">
        <f t="shared" si="84"/>
        <v>Morning</v>
      </c>
      <c r="E1809">
        <f>HOUR(EV_Data[[#This Row],[Charging Start Time]])</f>
        <v>7</v>
      </c>
      <c r="F1809" s="1">
        <v>45002.291666666664</v>
      </c>
      <c r="G1809" s="1">
        <v>45002.336111111108</v>
      </c>
      <c r="H1809">
        <v>64</v>
      </c>
      <c r="I1809">
        <v>47.19</v>
      </c>
      <c r="J1809" t="str">
        <f t="shared" si="85"/>
        <v>Medium</v>
      </c>
      <c r="K1809" t="s">
        <v>55</v>
      </c>
      <c r="L1809">
        <v>53</v>
      </c>
      <c r="M1809">
        <v>68</v>
      </c>
      <c r="N1809" t="str">
        <f t="shared" si="86"/>
        <v>High Cost</v>
      </c>
      <c r="O1809">
        <v>22.27</v>
      </c>
      <c r="P1809" t="s">
        <v>23</v>
      </c>
      <c r="Q1809" t="s">
        <v>58</v>
      </c>
      <c r="R1809" t="s">
        <v>25</v>
      </c>
      <c r="S1809" t="s">
        <v>360</v>
      </c>
      <c r="T1809" t="s">
        <v>46</v>
      </c>
      <c r="U1809">
        <v>21</v>
      </c>
      <c r="V1809">
        <v>2.7</v>
      </c>
      <c r="W1809" t="s">
        <v>28</v>
      </c>
      <c r="X1809" t="s">
        <v>68</v>
      </c>
    </row>
    <row r="1810" spans="1:24" x14ac:dyDescent="0.3">
      <c r="A1810" t="s">
        <v>3086</v>
      </c>
      <c r="B1810" t="s">
        <v>20</v>
      </c>
      <c r="C1810" t="s">
        <v>21</v>
      </c>
      <c r="D1810" t="str">
        <f t="shared" si="84"/>
        <v>Morning</v>
      </c>
      <c r="E1810">
        <f>HOUR(EV_Data[[#This Row],[Charging Start Time]])</f>
        <v>8</v>
      </c>
      <c r="F1810" s="1">
        <v>45002.333333333336</v>
      </c>
      <c r="G1810" s="1">
        <v>45002.37222222222</v>
      </c>
      <c r="H1810">
        <v>56</v>
      </c>
      <c r="I1810">
        <v>11.48</v>
      </c>
      <c r="J1810" t="str">
        <f t="shared" si="85"/>
        <v>Low</v>
      </c>
      <c r="K1810" t="s">
        <v>22</v>
      </c>
      <c r="L1810">
        <v>39</v>
      </c>
      <c r="M1810">
        <v>71</v>
      </c>
      <c r="N1810" t="str">
        <f t="shared" si="86"/>
        <v>Low Cost</v>
      </c>
      <c r="O1810">
        <v>2.85</v>
      </c>
      <c r="P1810" t="s">
        <v>33</v>
      </c>
      <c r="Q1810" t="s">
        <v>34</v>
      </c>
      <c r="R1810" t="s">
        <v>56</v>
      </c>
      <c r="S1810" t="s">
        <v>1159</v>
      </c>
      <c r="T1810" t="s">
        <v>60</v>
      </c>
      <c r="U1810">
        <v>93</v>
      </c>
      <c r="V1810">
        <v>3.8</v>
      </c>
      <c r="W1810" t="s">
        <v>28</v>
      </c>
      <c r="X1810" t="s">
        <v>68</v>
      </c>
    </row>
    <row r="1811" spans="1:24" x14ac:dyDescent="0.3">
      <c r="A1811" t="s">
        <v>3087</v>
      </c>
      <c r="B1811" t="s">
        <v>77</v>
      </c>
      <c r="C1811" t="s">
        <v>78</v>
      </c>
      <c r="D1811" t="str">
        <f t="shared" si="84"/>
        <v>Morning</v>
      </c>
      <c r="E1811">
        <f>HOUR(EV_Data[[#This Row],[Charging Start Time]])</f>
        <v>9</v>
      </c>
      <c r="F1811" s="1">
        <v>45002.375</v>
      </c>
      <c r="G1811" s="1">
        <v>45002.375694444447</v>
      </c>
      <c r="H1811">
        <v>1</v>
      </c>
      <c r="I1811">
        <v>17.5</v>
      </c>
      <c r="J1811" t="str">
        <f t="shared" si="85"/>
        <v>Low</v>
      </c>
      <c r="K1811" t="s">
        <v>50</v>
      </c>
      <c r="L1811">
        <v>79</v>
      </c>
      <c r="M1811">
        <v>92</v>
      </c>
      <c r="N1811" t="str">
        <f t="shared" si="86"/>
        <v>Low Cost</v>
      </c>
      <c r="O1811">
        <v>7.83</v>
      </c>
      <c r="P1811" t="s">
        <v>23</v>
      </c>
      <c r="Q1811" t="s">
        <v>58</v>
      </c>
      <c r="R1811" t="s">
        <v>56</v>
      </c>
      <c r="S1811" t="s">
        <v>1209</v>
      </c>
      <c r="T1811" t="s">
        <v>60</v>
      </c>
      <c r="U1811">
        <v>7</v>
      </c>
      <c r="V1811">
        <v>3.5</v>
      </c>
      <c r="W1811" t="s">
        <v>38</v>
      </c>
      <c r="X1811" t="s">
        <v>62</v>
      </c>
    </row>
    <row r="1812" spans="1:24" x14ac:dyDescent="0.3">
      <c r="A1812" t="s">
        <v>3088</v>
      </c>
      <c r="B1812" t="s">
        <v>92</v>
      </c>
      <c r="C1812" t="s">
        <v>93</v>
      </c>
      <c r="D1812" t="str">
        <f t="shared" si="84"/>
        <v>Morning</v>
      </c>
      <c r="E1812">
        <f>HOUR(EV_Data[[#This Row],[Charging Start Time]])</f>
        <v>10</v>
      </c>
      <c r="F1812" s="1">
        <v>45002.416666666664</v>
      </c>
      <c r="G1812" s="1">
        <v>45002.470833333333</v>
      </c>
      <c r="H1812">
        <v>78</v>
      </c>
      <c r="I1812">
        <v>40.24</v>
      </c>
      <c r="J1812" t="str">
        <f t="shared" si="85"/>
        <v>Medium</v>
      </c>
      <c r="K1812" t="s">
        <v>42</v>
      </c>
      <c r="L1812">
        <v>14</v>
      </c>
      <c r="M1812">
        <v>53</v>
      </c>
      <c r="N1812" t="str">
        <f t="shared" si="86"/>
        <v>Medium Cost</v>
      </c>
      <c r="O1812">
        <v>14.66</v>
      </c>
      <c r="P1812" t="s">
        <v>51</v>
      </c>
      <c r="Q1812" t="s">
        <v>48</v>
      </c>
      <c r="R1812" t="s">
        <v>56</v>
      </c>
      <c r="S1812" t="s">
        <v>687</v>
      </c>
      <c r="T1812" t="s">
        <v>60</v>
      </c>
      <c r="U1812">
        <v>46</v>
      </c>
      <c r="V1812">
        <v>4.9000000000000004</v>
      </c>
      <c r="W1812" t="s">
        <v>38</v>
      </c>
    </row>
    <row r="1813" spans="1:24" x14ac:dyDescent="0.3">
      <c r="A1813" t="s">
        <v>3089</v>
      </c>
      <c r="B1813" t="s">
        <v>40</v>
      </c>
      <c r="C1813" t="s">
        <v>41</v>
      </c>
      <c r="D1813" t="str">
        <f t="shared" si="84"/>
        <v>Morning</v>
      </c>
      <c r="E1813">
        <f>HOUR(EV_Data[[#This Row],[Charging Start Time]])</f>
        <v>11</v>
      </c>
      <c r="F1813" s="1">
        <v>45002.458333333336</v>
      </c>
      <c r="G1813" s="1">
        <v>45002.49722222222</v>
      </c>
      <c r="H1813">
        <v>56</v>
      </c>
      <c r="I1813">
        <v>48.39</v>
      </c>
      <c r="J1813" t="str">
        <f t="shared" si="85"/>
        <v>Medium</v>
      </c>
      <c r="K1813" t="s">
        <v>42</v>
      </c>
      <c r="L1813">
        <v>9</v>
      </c>
      <c r="M1813">
        <v>37</v>
      </c>
      <c r="N1813" t="str">
        <f t="shared" si="86"/>
        <v>High Cost</v>
      </c>
      <c r="O1813">
        <v>23.98</v>
      </c>
      <c r="P1813" t="s">
        <v>33</v>
      </c>
      <c r="Q1813" t="s">
        <v>24</v>
      </c>
      <c r="R1813" t="s">
        <v>56</v>
      </c>
      <c r="S1813" t="s">
        <v>108</v>
      </c>
      <c r="T1813" t="s">
        <v>27</v>
      </c>
      <c r="U1813">
        <v>72</v>
      </c>
      <c r="V1813">
        <v>4.5999999999999996</v>
      </c>
      <c r="W1813" t="s">
        <v>28</v>
      </c>
      <c r="X1813" t="s">
        <v>68</v>
      </c>
    </row>
    <row r="1814" spans="1:24" x14ac:dyDescent="0.3">
      <c r="A1814" t="s">
        <v>3090</v>
      </c>
      <c r="B1814" t="s">
        <v>92</v>
      </c>
      <c r="C1814" t="s">
        <v>93</v>
      </c>
      <c r="D1814" t="str">
        <f t="shared" si="84"/>
        <v>Afternoon</v>
      </c>
      <c r="E1814">
        <f>HOUR(EV_Data[[#This Row],[Charging Start Time]])</f>
        <v>12</v>
      </c>
      <c r="F1814" s="1">
        <v>45002.5</v>
      </c>
      <c r="G1814" s="1">
        <v>45002.569444444453</v>
      </c>
      <c r="H1814">
        <v>100</v>
      </c>
      <c r="I1814">
        <v>23.28</v>
      </c>
      <c r="J1814" t="str">
        <f t="shared" si="85"/>
        <v>Medium</v>
      </c>
      <c r="K1814" t="s">
        <v>55</v>
      </c>
      <c r="L1814">
        <v>22</v>
      </c>
      <c r="M1814">
        <v>49</v>
      </c>
      <c r="N1814" t="str">
        <f t="shared" si="86"/>
        <v>Low Cost</v>
      </c>
      <c r="O1814">
        <v>5.03</v>
      </c>
      <c r="P1814" t="s">
        <v>43</v>
      </c>
      <c r="Q1814" t="s">
        <v>58</v>
      </c>
      <c r="R1814" t="s">
        <v>56</v>
      </c>
      <c r="S1814" t="s">
        <v>792</v>
      </c>
      <c r="T1814" t="s">
        <v>46</v>
      </c>
      <c r="U1814">
        <v>41</v>
      </c>
      <c r="V1814">
        <v>4.5999999999999996</v>
      </c>
      <c r="W1814" t="s">
        <v>38</v>
      </c>
      <c r="X1814" t="s">
        <v>85</v>
      </c>
    </row>
    <row r="1815" spans="1:24" x14ac:dyDescent="0.3">
      <c r="A1815" t="s">
        <v>3091</v>
      </c>
      <c r="B1815" t="s">
        <v>20</v>
      </c>
      <c r="C1815" t="s">
        <v>21</v>
      </c>
      <c r="D1815" t="str">
        <f t="shared" si="84"/>
        <v>Afternoon</v>
      </c>
      <c r="E1815">
        <f>HOUR(EV_Data[[#This Row],[Charging Start Time]])</f>
        <v>13</v>
      </c>
      <c r="F1815" s="1">
        <v>45002.541666666664</v>
      </c>
      <c r="G1815" s="1">
        <v>45002.59097222222</v>
      </c>
      <c r="H1815">
        <v>71</v>
      </c>
      <c r="I1815">
        <v>24</v>
      </c>
      <c r="J1815" t="str">
        <f t="shared" si="85"/>
        <v>Medium</v>
      </c>
      <c r="K1815" t="s">
        <v>50</v>
      </c>
      <c r="L1815">
        <v>11</v>
      </c>
      <c r="M1815">
        <v>44</v>
      </c>
      <c r="N1815" t="str">
        <f t="shared" si="86"/>
        <v>Medium Cost</v>
      </c>
      <c r="O1815">
        <v>10.57</v>
      </c>
      <c r="P1815" t="s">
        <v>23</v>
      </c>
      <c r="Q1815" t="s">
        <v>24</v>
      </c>
      <c r="R1815" t="s">
        <v>35</v>
      </c>
      <c r="S1815" t="s">
        <v>1210</v>
      </c>
      <c r="T1815" t="s">
        <v>46</v>
      </c>
      <c r="U1815">
        <v>71</v>
      </c>
      <c r="V1815">
        <v>1.7</v>
      </c>
      <c r="W1815" t="s">
        <v>38</v>
      </c>
      <c r="X1815" t="s">
        <v>62</v>
      </c>
    </row>
    <row r="1816" spans="1:24" x14ac:dyDescent="0.3">
      <c r="A1816" t="s">
        <v>3092</v>
      </c>
      <c r="B1816" t="s">
        <v>71</v>
      </c>
      <c r="C1816" t="s">
        <v>72</v>
      </c>
      <c r="D1816" t="str">
        <f t="shared" si="84"/>
        <v>Afternoon</v>
      </c>
      <c r="E1816">
        <f>HOUR(EV_Data[[#This Row],[Charging Start Time]])</f>
        <v>14</v>
      </c>
      <c r="F1816" s="1">
        <v>45002.583333333336</v>
      </c>
      <c r="G1816" s="1">
        <v>45002.638194444437</v>
      </c>
      <c r="H1816">
        <v>79</v>
      </c>
      <c r="I1816">
        <v>24.15</v>
      </c>
      <c r="J1816" t="str">
        <f t="shared" si="85"/>
        <v>Medium</v>
      </c>
      <c r="K1816" t="s">
        <v>22</v>
      </c>
      <c r="L1816">
        <v>15</v>
      </c>
      <c r="M1816">
        <v>44</v>
      </c>
      <c r="N1816" t="str">
        <f t="shared" si="86"/>
        <v>Low Cost</v>
      </c>
      <c r="O1816">
        <v>4.8600000000000003</v>
      </c>
      <c r="P1816" t="s">
        <v>23</v>
      </c>
      <c r="Q1816" t="s">
        <v>24</v>
      </c>
      <c r="R1816" t="s">
        <v>44</v>
      </c>
      <c r="S1816" t="s">
        <v>714</v>
      </c>
      <c r="T1816" t="s">
        <v>37</v>
      </c>
      <c r="U1816">
        <v>44</v>
      </c>
      <c r="V1816">
        <v>2.1</v>
      </c>
      <c r="W1816" t="s">
        <v>47</v>
      </c>
      <c r="X1816" t="s">
        <v>29</v>
      </c>
    </row>
    <row r="1817" spans="1:24" x14ac:dyDescent="0.3">
      <c r="A1817" t="s">
        <v>3093</v>
      </c>
      <c r="B1817" t="s">
        <v>92</v>
      </c>
      <c r="C1817" t="s">
        <v>93</v>
      </c>
      <c r="D1817" t="str">
        <f t="shared" si="84"/>
        <v>Afternoon</v>
      </c>
      <c r="E1817">
        <f>HOUR(EV_Data[[#This Row],[Charging Start Time]])</f>
        <v>15</v>
      </c>
      <c r="F1817" s="1">
        <v>45002.625</v>
      </c>
      <c r="G1817" s="1">
        <v>45002.691666666673</v>
      </c>
      <c r="H1817">
        <v>96</v>
      </c>
      <c r="I1817">
        <v>41.63</v>
      </c>
      <c r="J1817" t="str">
        <f t="shared" si="85"/>
        <v>Medium</v>
      </c>
      <c r="K1817" t="s">
        <v>22</v>
      </c>
      <c r="L1817">
        <v>60</v>
      </c>
      <c r="M1817">
        <v>82</v>
      </c>
      <c r="N1817" t="str">
        <f t="shared" si="86"/>
        <v>High Cost</v>
      </c>
      <c r="O1817">
        <v>17.43</v>
      </c>
      <c r="P1817" t="s">
        <v>23</v>
      </c>
      <c r="Q1817" t="s">
        <v>48</v>
      </c>
      <c r="R1817" t="s">
        <v>35</v>
      </c>
      <c r="S1817" t="s">
        <v>1211</v>
      </c>
      <c r="T1817" t="s">
        <v>60</v>
      </c>
      <c r="U1817">
        <v>52</v>
      </c>
      <c r="V1817">
        <v>4.7</v>
      </c>
      <c r="W1817" t="s">
        <v>47</v>
      </c>
      <c r="X1817" t="s">
        <v>29</v>
      </c>
    </row>
    <row r="1818" spans="1:24" x14ac:dyDescent="0.3">
      <c r="A1818" t="s">
        <v>3094</v>
      </c>
      <c r="B1818" t="s">
        <v>30</v>
      </c>
      <c r="C1818" t="s">
        <v>102</v>
      </c>
      <c r="D1818" t="str">
        <f t="shared" si="84"/>
        <v>Afternoon</v>
      </c>
      <c r="E1818">
        <f>HOUR(EV_Data[[#This Row],[Charging Start Time]])</f>
        <v>16</v>
      </c>
      <c r="F1818" s="1">
        <v>45002.666666666664</v>
      </c>
      <c r="G1818" s="1">
        <v>45002.701388888891</v>
      </c>
      <c r="H1818">
        <v>50</v>
      </c>
      <c r="I1818">
        <v>15.99</v>
      </c>
      <c r="J1818" t="str">
        <f t="shared" si="85"/>
        <v>Low</v>
      </c>
      <c r="K1818" t="s">
        <v>50</v>
      </c>
      <c r="L1818">
        <v>7</v>
      </c>
      <c r="M1818">
        <v>31</v>
      </c>
      <c r="N1818" t="str">
        <f t="shared" si="86"/>
        <v>Low Cost</v>
      </c>
      <c r="O1818">
        <v>7.6</v>
      </c>
      <c r="P1818" t="s">
        <v>33</v>
      </c>
      <c r="Q1818" t="s">
        <v>34</v>
      </c>
      <c r="R1818" t="s">
        <v>44</v>
      </c>
      <c r="S1818" t="s">
        <v>1212</v>
      </c>
      <c r="T1818" t="s">
        <v>46</v>
      </c>
      <c r="U1818">
        <v>31</v>
      </c>
      <c r="V1818">
        <v>2</v>
      </c>
      <c r="W1818" t="s">
        <v>28</v>
      </c>
      <c r="X1818" t="s">
        <v>68</v>
      </c>
    </row>
    <row r="1819" spans="1:24" x14ac:dyDescent="0.3">
      <c r="A1819" t="s">
        <v>3095</v>
      </c>
      <c r="B1819" t="s">
        <v>40</v>
      </c>
      <c r="C1819" t="s">
        <v>41</v>
      </c>
      <c r="D1819" t="str">
        <f t="shared" si="84"/>
        <v>Evening</v>
      </c>
      <c r="E1819">
        <f>HOUR(EV_Data[[#This Row],[Charging Start Time]])</f>
        <v>17</v>
      </c>
      <c r="F1819" s="1">
        <v>45002.708333333336</v>
      </c>
      <c r="G1819" s="1">
        <v>45002.742361111108</v>
      </c>
      <c r="H1819">
        <v>49</v>
      </c>
      <c r="I1819">
        <v>5.25</v>
      </c>
      <c r="J1819" t="str">
        <f t="shared" si="85"/>
        <v>Low</v>
      </c>
      <c r="K1819" t="s">
        <v>22</v>
      </c>
      <c r="L1819">
        <v>6</v>
      </c>
      <c r="M1819">
        <v>36</v>
      </c>
      <c r="N1819" t="str">
        <f t="shared" si="86"/>
        <v>Low Cost</v>
      </c>
      <c r="O1819">
        <v>1.86</v>
      </c>
      <c r="P1819" t="s">
        <v>64</v>
      </c>
      <c r="Q1819" t="s">
        <v>34</v>
      </c>
      <c r="R1819" t="s">
        <v>35</v>
      </c>
      <c r="S1819" t="s">
        <v>1213</v>
      </c>
      <c r="T1819" t="s">
        <v>37</v>
      </c>
      <c r="U1819">
        <v>70</v>
      </c>
      <c r="V1819">
        <v>1.7</v>
      </c>
      <c r="W1819" t="s">
        <v>47</v>
      </c>
      <c r="X1819" t="s">
        <v>29</v>
      </c>
    </row>
    <row r="1820" spans="1:24" x14ac:dyDescent="0.3">
      <c r="A1820" t="s">
        <v>3096</v>
      </c>
      <c r="B1820" t="s">
        <v>20</v>
      </c>
      <c r="C1820" t="s">
        <v>21</v>
      </c>
      <c r="D1820" t="str">
        <f t="shared" si="84"/>
        <v>Evening</v>
      </c>
      <c r="E1820">
        <f>HOUR(EV_Data[[#This Row],[Charging Start Time]])</f>
        <v>18</v>
      </c>
      <c r="F1820" s="1">
        <v>45002.75</v>
      </c>
      <c r="G1820" s="1">
        <v>45002.767361111109</v>
      </c>
      <c r="H1820">
        <v>25</v>
      </c>
      <c r="I1820">
        <v>34.54</v>
      </c>
      <c r="J1820" t="str">
        <f t="shared" si="85"/>
        <v>Medium</v>
      </c>
      <c r="K1820" t="s">
        <v>22</v>
      </c>
      <c r="L1820">
        <v>7</v>
      </c>
      <c r="M1820">
        <v>19</v>
      </c>
      <c r="N1820" t="str">
        <f t="shared" si="86"/>
        <v>Medium Cost</v>
      </c>
      <c r="O1820">
        <v>16.829999999999998</v>
      </c>
      <c r="P1820" t="s">
        <v>64</v>
      </c>
      <c r="Q1820" t="s">
        <v>58</v>
      </c>
      <c r="R1820" t="s">
        <v>56</v>
      </c>
      <c r="S1820" t="s">
        <v>815</v>
      </c>
      <c r="T1820" t="s">
        <v>27</v>
      </c>
      <c r="U1820">
        <v>43</v>
      </c>
      <c r="V1820">
        <v>1.4</v>
      </c>
      <c r="W1820" t="s">
        <v>47</v>
      </c>
      <c r="X1820" t="s">
        <v>29</v>
      </c>
    </row>
    <row r="1821" spans="1:24" x14ac:dyDescent="0.3">
      <c r="A1821" t="s">
        <v>3097</v>
      </c>
      <c r="B1821" t="s">
        <v>53</v>
      </c>
      <c r="C1821" t="s">
        <v>54</v>
      </c>
      <c r="D1821" t="str">
        <f t="shared" si="84"/>
        <v>Evening</v>
      </c>
      <c r="E1821">
        <f>HOUR(EV_Data[[#This Row],[Charging Start Time]])</f>
        <v>19</v>
      </c>
      <c r="F1821" s="1">
        <v>45002.791666666664</v>
      </c>
      <c r="G1821" s="1">
        <v>45002.833333333343</v>
      </c>
      <c r="H1821">
        <v>60</v>
      </c>
      <c r="I1821">
        <v>20.05</v>
      </c>
      <c r="J1821" t="str">
        <f t="shared" si="85"/>
        <v>Medium</v>
      </c>
      <c r="K1821" t="s">
        <v>50</v>
      </c>
      <c r="L1821">
        <v>29</v>
      </c>
      <c r="M1821">
        <v>49</v>
      </c>
      <c r="N1821" t="str">
        <f t="shared" si="86"/>
        <v>Low Cost</v>
      </c>
      <c r="O1821">
        <v>7.65</v>
      </c>
      <c r="P1821" t="s">
        <v>51</v>
      </c>
      <c r="Q1821" t="s">
        <v>48</v>
      </c>
      <c r="R1821" t="s">
        <v>25</v>
      </c>
      <c r="S1821" t="s">
        <v>1214</v>
      </c>
      <c r="T1821" t="s">
        <v>60</v>
      </c>
      <c r="U1821">
        <v>64</v>
      </c>
      <c r="V1821">
        <v>2.6</v>
      </c>
      <c r="W1821" t="s">
        <v>38</v>
      </c>
    </row>
    <row r="1822" spans="1:24" x14ac:dyDescent="0.3">
      <c r="A1822" t="s">
        <v>3098</v>
      </c>
      <c r="B1822" t="s">
        <v>30</v>
      </c>
      <c r="C1822" t="s">
        <v>102</v>
      </c>
      <c r="D1822" t="str">
        <f t="shared" si="84"/>
        <v>Evening</v>
      </c>
      <c r="E1822">
        <f>HOUR(EV_Data[[#This Row],[Charging Start Time]])</f>
        <v>20</v>
      </c>
      <c r="F1822" s="1">
        <v>45002.833333333336</v>
      </c>
      <c r="G1822" s="1">
        <v>45002.834027777782</v>
      </c>
      <c r="H1822">
        <v>1</v>
      </c>
      <c r="I1822">
        <v>23.53</v>
      </c>
      <c r="J1822" t="str">
        <f t="shared" si="85"/>
        <v>Medium</v>
      </c>
      <c r="K1822" t="s">
        <v>69</v>
      </c>
      <c r="L1822">
        <v>57</v>
      </c>
      <c r="M1822">
        <v>89</v>
      </c>
      <c r="N1822" t="str">
        <f t="shared" si="86"/>
        <v>Low Cost</v>
      </c>
      <c r="O1822">
        <v>5.54</v>
      </c>
      <c r="P1822" t="s">
        <v>23</v>
      </c>
      <c r="Q1822" t="s">
        <v>48</v>
      </c>
      <c r="R1822" t="s">
        <v>25</v>
      </c>
      <c r="S1822" t="s">
        <v>507</v>
      </c>
      <c r="T1822" t="s">
        <v>46</v>
      </c>
      <c r="U1822">
        <v>87</v>
      </c>
      <c r="V1822">
        <v>4.8</v>
      </c>
      <c r="W1822" t="s">
        <v>38</v>
      </c>
      <c r="X1822" t="s">
        <v>83</v>
      </c>
    </row>
    <row r="1823" spans="1:24" x14ac:dyDescent="0.3">
      <c r="A1823" t="s">
        <v>3099</v>
      </c>
      <c r="B1823" t="s">
        <v>30</v>
      </c>
      <c r="C1823" t="s">
        <v>102</v>
      </c>
      <c r="D1823" t="str">
        <f t="shared" si="84"/>
        <v>Evening</v>
      </c>
      <c r="E1823">
        <f>HOUR(EV_Data[[#This Row],[Charging Start Time]])</f>
        <v>21</v>
      </c>
      <c r="F1823" s="1">
        <v>45002.875</v>
      </c>
      <c r="G1823" s="1">
        <v>45002.888888888891</v>
      </c>
      <c r="H1823">
        <v>20</v>
      </c>
      <c r="I1823">
        <v>46.78</v>
      </c>
      <c r="J1823" t="str">
        <f t="shared" si="85"/>
        <v>Medium</v>
      </c>
      <c r="K1823" t="s">
        <v>22</v>
      </c>
      <c r="L1823">
        <v>80</v>
      </c>
      <c r="M1823">
        <v>100</v>
      </c>
      <c r="N1823" t="str">
        <f t="shared" si="86"/>
        <v>Medium Cost</v>
      </c>
      <c r="O1823">
        <v>9.6999999999999993</v>
      </c>
      <c r="P1823" t="s">
        <v>43</v>
      </c>
      <c r="Q1823" t="s">
        <v>34</v>
      </c>
      <c r="R1823" t="s">
        <v>44</v>
      </c>
      <c r="S1823" t="s">
        <v>366</v>
      </c>
      <c r="T1823" t="s">
        <v>60</v>
      </c>
      <c r="U1823">
        <v>1</v>
      </c>
      <c r="V1823">
        <v>1.3</v>
      </c>
      <c r="W1823" t="s">
        <v>28</v>
      </c>
      <c r="X1823" t="s">
        <v>68</v>
      </c>
    </row>
    <row r="1824" spans="1:24" x14ac:dyDescent="0.3">
      <c r="A1824" t="s">
        <v>3100</v>
      </c>
      <c r="B1824" t="s">
        <v>92</v>
      </c>
      <c r="C1824" t="s">
        <v>93</v>
      </c>
      <c r="D1824" t="str">
        <f t="shared" si="84"/>
        <v>Evening</v>
      </c>
      <c r="E1824">
        <f>HOUR(EV_Data[[#This Row],[Charging Start Time]])</f>
        <v>22</v>
      </c>
      <c r="F1824" s="1">
        <v>45002.916666666664</v>
      </c>
      <c r="G1824" s="1">
        <v>45002.936111111107</v>
      </c>
      <c r="H1824">
        <v>28</v>
      </c>
      <c r="I1824">
        <v>16.73</v>
      </c>
      <c r="J1824" t="str">
        <f t="shared" si="85"/>
        <v>Low</v>
      </c>
      <c r="K1824" t="s">
        <v>50</v>
      </c>
      <c r="L1824">
        <v>58</v>
      </c>
      <c r="M1824">
        <v>82</v>
      </c>
      <c r="N1824" t="str">
        <f t="shared" si="86"/>
        <v>Low Cost</v>
      </c>
      <c r="O1824">
        <v>3.85</v>
      </c>
      <c r="P1824" t="s">
        <v>64</v>
      </c>
      <c r="Q1824" t="s">
        <v>34</v>
      </c>
      <c r="R1824" t="s">
        <v>25</v>
      </c>
      <c r="S1824" t="s">
        <v>1215</v>
      </c>
      <c r="T1824" t="s">
        <v>37</v>
      </c>
      <c r="U1824">
        <v>28</v>
      </c>
      <c r="V1824">
        <v>4.3</v>
      </c>
      <c r="W1824" t="s">
        <v>28</v>
      </c>
      <c r="X1824" t="s">
        <v>68</v>
      </c>
    </row>
    <row r="1825" spans="1:24" x14ac:dyDescent="0.3">
      <c r="A1825" t="s">
        <v>3101</v>
      </c>
      <c r="B1825" t="s">
        <v>77</v>
      </c>
      <c r="C1825" t="s">
        <v>78</v>
      </c>
      <c r="D1825" t="str">
        <f t="shared" si="84"/>
        <v>Evening</v>
      </c>
      <c r="E1825">
        <f>HOUR(EV_Data[[#This Row],[Charging Start Time]])</f>
        <v>23</v>
      </c>
      <c r="F1825" s="1">
        <v>45002.958333333336</v>
      </c>
      <c r="G1825" s="1">
        <v>45002.961111111108</v>
      </c>
      <c r="H1825">
        <v>4</v>
      </c>
      <c r="I1825">
        <v>9.2899999999999991</v>
      </c>
      <c r="J1825" t="str">
        <f t="shared" si="85"/>
        <v>Low</v>
      </c>
      <c r="K1825" t="s">
        <v>55</v>
      </c>
      <c r="L1825">
        <v>45</v>
      </c>
      <c r="M1825">
        <v>84</v>
      </c>
      <c r="N1825" t="str">
        <f t="shared" si="86"/>
        <v>Low Cost</v>
      </c>
      <c r="O1825">
        <v>1.98</v>
      </c>
      <c r="P1825" t="s">
        <v>51</v>
      </c>
      <c r="Q1825" t="s">
        <v>24</v>
      </c>
      <c r="R1825" t="s">
        <v>25</v>
      </c>
      <c r="S1825" t="s">
        <v>1008</v>
      </c>
      <c r="T1825" t="s">
        <v>60</v>
      </c>
      <c r="U1825">
        <v>87</v>
      </c>
      <c r="V1825">
        <v>4.7</v>
      </c>
      <c r="W1825" t="s">
        <v>28</v>
      </c>
      <c r="X1825" t="s">
        <v>68</v>
      </c>
    </row>
    <row r="1826" spans="1:24" x14ac:dyDescent="0.3">
      <c r="A1826" t="s">
        <v>3102</v>
      </c>
      <c r="B1826" t="s">
        <v>92</v>
      </c>
      <c r="C1826" t="s">
        <v>93</v>
      </c>
      <c r="D1826" t="str">
        <f t="shared" si="84"/>
        <v>Morning</v>
      </c>
      <c r="E1826">
        <f>HOUR(EV_Data[[#This Row],[Charging Start Time]])</f>
        <v>0</v>
      </c>
      <c r="F1826" s="1">
        <v>45003</v>
      </c>
      <c r="G1826" s="1">
        <v>45003.020833333343</v>
      </c>
      <c r="H1826">
        <v>30</v>
      </c>
      <c r="I1826">
        <v>21.23</v>
      </c>
      <c r="J1826" t="str">
        <f t="shared" si="85"/>
        <v>Medium</v>
      </c>
      <c r="K1826" t="s">
        <v>69</v>
      </c>
      <c r="L1826">
        <v>41</v>
      </c>
      <c r="M1826">
        <v>71</v>
      </c>
      <c r="N1826" t="str">
        <f t="shared" si="86"/>
        <v>Low Cost</v>
      </c>
      <c r="O1826">
        <v>7.22</v>
      </c>
      <c r="P1826" t="s">
        <v>51</v>
      </c>
      <c r="Q1826" t="s">
        <v>58</v>
      </c>
      <c r="R1826" t="s">
        <v>25</v>
      </c>
      <c r="S1826" t="s">
        <v>1216</v>
      </c>
      <c r="T1826" t="s">
        <v>60</v>
      </c>
      <c r="U1826">
        <v>13</v>
      </c>
      <c r="V1826">
        <v>4.9000000000000004</v>
      </c>
      <c r="W1826" t="s">
        <v>47</v>
      </c>
      <c r="X1826" t="s">
        <v>29</v>
      </c>
    </row>
    <row r="1827" spans="1:24" x14ac:dyDescent="0.3">
      <c r="A1827" t="s">
        <v>3103</v>
      </c>
      <c r="B1827" t="s">
        <v>20</v>
      </c>
      <c r="C1827" t="s">
        <v>21</v>
      </c>
      <c r="D1827" t="str">
        <f t="shared" si="84"/>
        <v>Morning</v>
      </c>
      <c r="E1827">
        <f>HOUR(EV_Data[[#This Row],[Charging Start Time]])</f>
        <v>1</v>
      </c>
      <c r="F1827" s="1">
        <v>45003.041666666664</v>
      </c>
      <c r="G1827" s="1">
        <v>45003.04791666667</v>
      </c>
      <c r="H1827">
        <v>9</v>
      </c>
      <c r="I1827">
        <v>44.42</v>
      </c>
      <c r="J1827" t="str">
        <f t="shared" si="85"/>
        <v>Medium</v>
      </c>
      <c r="K1827" t="s">
        <v>69</v>
      </c>
      <c r="L1827">
        <v>8</v>
      </c>
      <c r="M1827">
        <v>34</v>
      </c>
      <c r="N1827" t="str">
        <f t="shared" si="86"/>
        <v>Medium Cost</v>
      </c>
      <c r="O1827">
        <v>16.97</v>
      </c>
      <c r="P1827" t="s">
        <v>33</v>
      </c>
      <c r="Q1827" t="s">
        <v>34</v>
      </c>
      <c r="R1827" t="s">
        <v>44</v>
      </c>
      <c r="S1827" t="s">
        <v>255</v>
      </c>
      <c r="T1827" t="s">
        <v>27</v>
      </c>
      <c r="U1827">
        <v>14</v>
      </c>
      <c r="V1827">
        <v>4.5</v>
      </c>
      <c r="W1827" t="s">
        <v>28</v>
      </c>
      <c r="X1827" t="s">
        <v>68</v>
      </c>
    </row>
    <row r="1828" spans="1:24" x14ac:dyDescent="0.3">
      <c r="A1828" t="s">
        <v>3104</v>
      </c>
      <c r="B1828" t="s">
        <v>71</v>
      </c>
      <c r="C1828" t="s">
        <v>72</v>
      </c>
      <c r="D1828" t="str">
        <f t="shared" si="84"/>
        <v>Morning</v>
      </c>
      <c r="E1828">
        <f>HOUR(EV_Data[[#This Row],[Charging Start Time]])</f>
        <v>2</v>
      </c>
      <c r="F1828" s="1">
        <v>45003.083333333336</v>
      </c>
      <c r="G1828" s="1">
        <v>45003.138194444437</v>
      </c>
      <c r="H1828">
        <v>79</v>
      </c>
      <c r="I1828">
        <v>9.92</v>
      </c>
      <c r="J1828" t="str">
        <f t="shared" si="85"/>
        <v>Low</v>
      </c>
      <c r="K1828" t="s">
        <v>22</v>
      </c>
      <c r="L1828">
        <v>15</v>
      </c>
      <c r="M1828">
        <v>47</v>
      </c>
      <c r="N1828" t="str">
        <f t="shared" si="86"/>
        <v>Low Cost</v>
      </c>
      <c r="O1828">
        <v>3.83</v>
      </c>
      <c r="P1828" t="s">
        <v>33</v>
      </c>
      <c r="Q1828" t="s">
        <v>24</v>
      </c>
      <c r="R1828" t="s">
        <v>44</v>
      </c>
      <c r="S1828" t="s">
        <v>1217</v>
      </c>
      <c r="T1828" t="s">
        <v>27</v>
      </c>
      <c r="U1828">
        <v>55</v>
      </c>
      <c r="V1828">
        <v>3.2</v>
      </c>
      <c r="W1828" t="s">
        <v>38</v>
      </c>
      <c r="X1828" t="s">
        <v>39</v>
      </c>
    </row>
    <row r="1829" spans="1:24" x14ac:dyDescent="0.3">
      <c r="A1829" t="s">
        <v>3105</v>
      </c>
      <c r="B1829" t="s">
        <v>92</v>
      </c>
      <c r="C1829" t="s">
        <v>93</v>
      </c>
      <c r="D1829" t="str">
        <f t="shared" si="84"/>
        <v>Morning</v>
      </c>
      <c r="E1829">
        <f>HOUR(EV_Data[[#This Row],[Charging Start Time]])</f>
        <v>3</v>
      </c>
      <c r="F1829" s="1">
        <v>45003.125</v>
      </c>
      <c r="G1829" s="1">
        <v>45003.156944444447</v>
      </c>
      <c r="H1829">
        <v>46</v>
      </c>
      <c r="I1829">
        <v>42.7</v>
      </c>
      <c r="J1829" t="str">
        <f t="shared" si="85"/>
        <v>Medium</v>
      </c>
      <c r="K1829" t="s">
        <v>50</v>
      </c>
      <c r="L1829">
        <v>58</v>
      </c>
      <c r="M1829">
        <v>82</v>
      </c>
      <c r="N1829" t="str">
        <f t="shared" si="86"/>
        <v>High Cost</v>
      </c>
      <c r="O1829">
        <v>17.22</v>
      </c>
      <c r="P1829" t="s">
        <v>33</v>
      </c>
      <c r="Q1829" t="s">
        <v>24</v>
      </c>
      <c r="R1829" t="s">
        <v>44</v>
      </c>
      <c r="S1829" t="s">
        <v>1218</v>
      </c>
      <c r="T1829" t="s">
        <v>27</v>
      </c>
      <c r="U1829">
        <v>37</v>
      </c>
      <c r="V1829">
        <v>1.6</v>
      </c>
      <c r="W1829" t="s">
        <v>28</v>
      </c>
      <c r="X1829" t="s">
        <v>68</v>
      </c>
    </row>
    <row r="1830" spans="1:24" x14ac:dyDescent="0.3">
      <c r="A1830" t="s">
        <v>3106</v>
      </c>
      <c r="B1830" t="s">
        <v>71</v>
      </c>
      <c r="C1830" t="s">
        <v>72</v>
      </c>
      <c r="D1830" t="str">
        <f t="shared" si="84"/>
        <v>Morning</v>
      </c>
      <c r="E1830">
        <f>HOUR(EV_Data[[#This Row],[Charging Start Time]])</f>
        <v>4</v>
      </c>
      <c r="F1830" s="1">
        <v>45003.166666666664</v>
      </c>
      <c r="G1830" s="1">
        <v>45003.210416666669</v>
      </c>
      <c r="H1830">
        <v>63</v>
      </c>
      <c r="I1830">
        <v>8.8000000000000007</v>
      </c>
      <c r="J1830" t="str">
        <f t="shared" si="85"/>
        <v>Low</v>
      </c>
      <c r="K1830" t="s">
        <v>69</v>
      </c>
      <c r="L1830">
        <v>71</v>
      </c>
      <c r="M1830">
        <v>98</v>
      </c>
      <c r="N1830" t="str">
        <f t="shared" si="86"/>
        <v>Low Cost</v>
      </c>
      <c r="O1830">
        <v>4.3499999999999996</v>
      </c>
      <c r="P1830" t="s">
        <v>64</v>
      </c>
      <c r="Q1830" t="s">
        <v>48</v>
      </c>
      <c r="R1830" t="s">
        <v>35</v>
      </c>
      <c r="S1830" t="s">
        <v>1219</v>
      </c>
      <c r="T1830" t="s">
        <v>46</v>
      </c>
      <c r="U1830">
        <v>7</v>
      </c>
      <c r="V1830">
        <v>5</v>
      </c>
      <c r="W1830" t="s">
        <v>47</v>
      </c>
      <c r="X1830" t="s">
        <v>29</v>
      </c>
    </row>
    <row r="1831" spans="1:24" x14ac:dyDescent="0.3">
      <c r="A1831" t="s">
        <v>3107</v>
      </c>
      <c r="B1831" t="s">
        <v>71</v>
      </c>
      <c r="C1831" t="s">
        <v>72</v>
      </c>
      <c r="D1831" t="str">
        <f t="shared" si="84"/>
        <v>Morning</v>
      </c>
      <c r="E1831">
        <f>HOUR(EV_Data[[#This Row],[Charging Start Time]])</f>
        <v>5</v>
      </c>
      <c r="F1831" s="1">
        <v>45003.208333333336</v>
      </c>
      <c r="G1831" s="1">
        <v>45003.251388888893</v>
      </c>
      <c r="H1831">
        <v>62</v>
      </c>
      <c r="I1831">
        <v>39.159999999999997</v>
      </c>
      <c r="J1831" t="str">
        <f t="shared" si="85"/>
        <v>Medium</v>
      </c>
      <c r="K1831" t="s">
        <v>55</v>
      </c>
      <c r="L1831">
        <v>28</v>
      </c>
      <c r="M1831">
        <v>67</v>
      </c>
      <c r="N1831" t="str">
        <f t="shared" si="86"/>
        <v>Medium Cost</v>
      </c>
      <c r="O1831">
        <v>14.43</v>
      </c>
      <c r="P1831" t="s">
        <v>51</v>
      </c>
      <c r="Q1831" t="s">
        <v>48</v>
      </c>
      <c r="R1831" t="s">
        <v>25</v>
      </c>
      <c r="S1831" t="s">
        <v>327</v>
      </c>
      <c r="T1831" t="s">
        <v>46</v>
      </c>
      <c r="U1831">
        <v>87</v>
      </c>
      <c r="V1831">
        <v>4.9000000000000004</v>
      </c>
      <c r="W1831" t="s">
        <v>47</v>
      </c>
      <c r="X1831" t="s">
        <v>29</v>
      </c>
    </row>
    <row r="1832" spans="1:24" x14ac:dyDescent="0.3">
      <c r="A1832" t="s">
        <v>3108</v>
      </c>
      <c r="B1832" t="s">
        <v>40</v>
      </c>
      <c r="C1832" t="s">
        <v>41</v>
      </c>
      <c r="D1832" t="str">
        <f t="shared" si="84"/>
        <v>Morning</v>
      </c>
      <c r="E1832">
        <f>HOUR(EV_Data[[#This Row],[Charging Start Time]])</f>
        <v>6</v>
      </c>
      <c r="F1832" s="1">
        <v>45003.25</v>
      </c>
      <c r="G1832" s="1">
        <v>45003.314583333333</v>
      </c>
      <c r="H1832">
        <v>93</v>
      </c>
      <c r="I1832">
        <v>40.46</v>
      </c>
      <c r="J1832" t="str">
        <f t="shared" si="85"/>
        <v>Medium</v>
      </c>
      <c r="K1832" t="s">
        <v>55</v>
      </c>
      <c r="L1832">
        <v>74</v>
      </c>
      <c r="M1832">
        <v>90</v>
      </c>
      <c r="N1832" t="str">
        <f t="shared" si="86"/>
        <v>High Cost</v>
      </c>
      <c r="O1832">
        <v>17.760000000000002</v>
      </c>
      <c r="P1832" t="s">
        <v>23</v>
      </c>
      <c r="Q1832" t="s">
        <v>24</v>
      </c>
      <c r="R1832" t="s">
        <v>25</v>
      </c>
      <c r="S1832" t="s">
        <v>764</v>
      </c>
      <c r="T1832" t="s">
        <v>60</v>
      </c>
      <c r="U1832">
        <v>36</v>
      </c>
      <c r="V1832">
        <v>3.1</v>
      </c>
      <c r="W1832" t="s">
        <v>28</v>
      </c>
      <c r="X1832" t="s">
        <v>68</v>
      </c>
    </row>
    <row r="1833" spans="1:24" x14ac:dyDescent="0.3">
      <c r="A1833" t="s">
        <v>3109</v>
      </c>
      <c r="B1833" t="s">
        <v>30</v>
      </c>
      <c r="C1833" t="s">
        <v>102</v>
      </c>
      <c r="D1833" t="str">
        <f t="shared" si="84"/>
        <v>Morning</v>
      </c>
      <c r="E1833">
        <f>HOUR(EV_Data[[#This Row],[Charging Start Time]])</f>
        <v>7</v>
      </c>
      <c r="F1833" s="1">
        <v>45003.291666666664</v>
      </c>
      <c r="G1833" s="1">
        <v>45003.349305555559</v>
      </c>
      <c r="H1833">
        <v>83</v>
      </c>
      <c r="I1833">
        <v>6.52</v>
      </c>
      <c r="J1833" t="str">
        <f t="shared" si="85"/>
        <v>Low</v>
      </c>
      <c r="K1833" t="s">
        <v>55</v>
      </c>
      <c r="L1833">
        <v>40</v>
      </c>
      <c r="M1833">
        <v>61</v>
      </c>
      <c r="N1833" t="str">
        <f t="shared" si="86"/>
        <v>Low Cost</v>
      </c>
      <c r="O1833">
        <v>3.03</v>
      </c>
      <c r="P1833" t="s">
        <v>64</v>
      </c>
      <c r="Q1833" t="s">
        <v>34</v>
      </c>
      <c r="R1833" t="s">
        <v>44</v>
      </c>
      <c r="S1833" t="s">
        <v>1220</v>
      </c>
      <c r="T1833" t="s">
        <v>46</v>
      </c>
      <c r="U1833">
        <v>9</v>
      </c>
      <c r="V1833">
        <v>1.2</v>
      </c>
      <c r="W1833" t="s">
        <v>38</v>
      </c>
      <c r="X1833" t="s">
        <v>62</v>
      </c>
    </row>
    <row r="1834" spans="1:24" x14ac:dyDescent="0.3">
      <c r="A1834" t="s">
        <v>3110</v>
      </c>
      <c r="B1834" t="s">
        <v>40</v>
      </c>
      <c r="C1834" t="s">
        <v>41</v>
      </c>
      <c r="D1834" t="str">
        <f t="shared" si="84"/>
        <v>Morning</v>
      </c>
      <c r="E1834">
        <f>HOUR(EV_Data[[#This Row],[Charging Start Time]])</f>
        <v>8</v>
      </c>
      <c r="F1834" s="1">
        <v>45003.333333333336</v>
      </c>
      <c r="G1834" s="1">
        <v>45003.398611111108</v>
      </c>
      <c r="H1834">
        <v>94</v>
      </c>
      <c r="I1834">
        <v>38.18</v>
      </c>
      <c r="J1834" t="str">
        <f t="shared" si="85"/>
        <v>Medium</v>
      </c>
      <c r="K1834" t="s">
        <v>42</v>
      </c>
      <c r="L1834">
        <v>35</v>
      </c>
      <c r="M1834">
        <v>53</v>
      </c>
      <c r="N1834" t="str">
        <f t="shared" si="86"/>
        <v>Medium Cost</v>
      </c>
      <c r="O1834">
        <v>15.33</v>
      </c>
      <c r="P1834" t="s">
        <v>43</v>
      </c>
      <c r="Q1834" t="s">
        <v>34</v>
      </c>
      <c r="R1834" t="s">
        <v>56</v>
      </c>
      <c r="S1834" t="s">
        <v>693</v>
      </c>
      <c r="T1834" t="s">
        <v>60</v>
      </c>
      <c r="U1834">
        <v>82</v>
      </c>
      <c r="V1834">
        <v>3.7</v>
      </c>
      <c r="W1834" t="s">
        <v>38</v>
      </c>
      <c r="X1834" t="s">
        <v>85</v>
      </c>
    </row>
    <row r="1835" spans="1:24" x14ac:dyDescent="0.3">
      <c r="A1835" t="s">
        <v>3111</v>
      </c>
      <c r="B1835" t="s">
        <v>92</v>
      </c>
      <c r="C1835" t="s">
        <v>93</v>
      </c>
      <c r="D1835" t="str">
        <f t="shared" si="84"/>
        <v>Morning</v>
      </c>
      <c r="E1835">
        <f>HOUR(EV_Data[[#This Row],[Charging Start Time]])</f>
        <v>9</v>
      </c>
      <c r="F1835" s="1">
        <v>45003.375</v>
      </c>
      <c r="G1835" s="1">
        <v>45003.392361111109</v>
      </c>
      <c r="H1835">
        <v>25</v>
      </c>
      <c r="I1835">
        <v>49.98</v>
      </c>
      <c r="J1835" t="str">
        <f t="shared" si="85"/>
        <v>Medium</v>
      </c>
      <c r="K1835" t="s">
        <v>22</v>
      </c>
      <c r="L1835">
        <v>80</v>
      </c>
      <c r="M1835">
        <v>100</v>
      </c>
      <c r="N1835" t="str">
        <f t="shared" si="86"/>
        <v>Medium Cost</v>
      </c>
      <c r="O1835">
        <v>12.31</v>
      </c>
      <c r="P1835" t="s">
        <v>64</v>
      </c>
      <c r="Q1835" t="s">
        <v>24</v>
      </c>
      <c r="R1835" t="s">
        <v>25</v>
      </c>
      <c r="S1835" t="s">
        <v>1221</v>
      </c>
      <c r="T1835" t="s">
        <v>27</v>
      </c>
      <c r="U1835">
        <v>92</v>
      </c>
      <c r="V1835">
        <v>3.3</v>
      </c>
      <c r="W1835" t="s">
        <v>28</v>
      </c>
      <c r="X1835" t="s">
        <v>68</v>
      </c>
    </row>
    <row r="1836" spans="1:24" x14ac:dyDescent="0.3">
      <c r="A1836" t="s">
        <v>3112</v>
      </c>
      <c r="B1836" t="s">
        <v>71</v>
      </c>
      <c r="C1836" t="s">
        <v>72</v>
      </c>
      <c r="D1836" t="str">
        <f t="shared" si="84"/>
        <v>Morning</v>
      </c>
      <c r="E1836">
        <f>HOUR(EV_Data[[#This Row],[Charging Start Time]])</f>
        <v>10</v>
      </c>
      <c r="F1836" s="1">
        <v>45003.416666666664</v>
      </c>
      <c r="G1836" s="1">
        <v>45003.459722222222</v>
      </c>
      <c r="H1836">
        <v>62</v>
      </c>
      <c r="I1836">
        <v>18.84</v>
      </c>
      <c r="J1836" t="str">
        <f t="shared" si="85"/>
        <v>Low</v>
      </c>
      <c r="K1836" t="s">
        <v>69</v>
      </c>
      <c r="L1836">
        <v>43</v>
      </c>
      <c r="M1836">
        <v>79</v>
      </c>
      <c r="N1836" t="str">
        <f t="shared" si="86"/>
        <v>Medium Cost</v>
      </c>
      <c r="O1836">
        <v>8.8699999999999992</v>
      </c>
      <c r="P1836" t="s">
        <v>33</v>
      </c>
      <c r="Q1836" t="s">
        <v>58</v>
      </c>
      <c r="R1836" t="s">
        <v>35</v>
      </c>
      <c r="S1836" t="s">
        <v>737</v>
      </c>
      <c r="T1836" t="s">
        <v>46</v>
      </c>
      <c r="U1836">
        <v>12</v>
      </c>
      <c r="V1836">
        <v>3.8</v>
      </c>
      <c r="W1836" t="s">
        <v>47</v>
      </c>
      <c r="X1836" t="s">
        <v>29</v>
      </c>
    </row>
    <row r="1837" spans="1:24" x14ac:dyDescent="0.3">
      <c r="A1837" t="s">
        <v>3113</v>
      </c>
      <c r="B1837" t="s">
        <v>53</v>
      </c>
      <c r="C1837" t="s">
        <v>54</v>
      </c>
      <c r="D1837" t="str">
        <f t="shared" si="84"/>
        <v>Morning</v>
      </c>
      <c r="E1837">
        <f>HOUR(EV_Data[[#This Row],[Charging Start Time]])</f>
        <v>11</v>
      </c>
      <c r="F1837" s="1">
        <v>45003.458333333336</v>
      </c>
      <c r="G1837" s="1">
        <v>45003.50277777778</v>
      </c>
      <c r="H1837">
        <v>64</v>
      </c>
      <c r="I1837">
        <v>18.14</v>
      </c>
      <c r="J1837" t="str">
        <f t="shared" si="85"/>
        <v>Low</v>
      </c>
      <c r="K1837" t="s">
        <v>50</v>
      </c>
      <c r="L1837">
        <v>35</v>
      </c>
      <c r="M1837">
        <v>53</v>
      </c>
      <c r="N1837" t="str">
        <f t="shared" si="86"/>
        <v>Low Cost</v>
      </c>
      <c r="O1837">
        <v>4.91</v>
      </c>
      <c r="P1837" t="s">
        <v>64</v>
      </c>
      <c r="Q1837" t="s">
        <v>24</v>
      </c>
      <c r="R1837" t="s">
        <v>25</v>
      </c>
      <c r="S1837" t="s">
        <v>1222</v>
      </c>
      <c r="T1837" t="s">
        <v>60</v>
      </c>
      <c r="U1837">
        <v>43</v>
      </c>
      <c r="V1837">
        <v>2.6</v>
      </c>
      <c r="W1837" t="s">
        <v>38</v>
      </c>
      <c r="X1837" t="s">
        <v>62</v>
      </c>
    </row>
    <row r="1838" spans="1:24" x14ac:dyDescent="0.3">
      <c r="A1838" t="s">
        <v>3114</v>
      </c>
      <c r="B1838" t="s">
        <v>30</v>
      </c>
      <c r="C1838" t="s">
        <v>102</v>
      </c>
      <c r="D1838" t="str">
        <f t="shared" si="84"/>
        <v>Afternoon</v>
      </c>
      <c r="E1838">
        <f>HOUR(EV_Data[[#This Row],[Charging Start Time]])</f>
        <v>12</v>
      </c>
      <c r="F1838" s="1">
        <v>45003.5</v>
      </c>
      <c r="G1838" s="1">
        <v>45003.525694444441</v>
      </c>
      <c r="H1838">
        <v>37</v>
      </c>
      <c r="I1838">
        <v>42.9</v>
      </c>
      <c r="J1838" t="str">
        <f t="shared" si="85"/>
        <v>Medium</v>
      </c>
      <c r="K1838" t="s">
        <v>32</v>
      </c>
      <c r="L1838">
        <v>30</v>
      </c>
      <c r="M1838">
        <v>40</v>
      </c>
      <c r="N1838" t="str">
        <f t="shared" si="86"/>
        <v>High Cost</v>
      </c>
      <c r="O1838">
        <v>21.02</v>
      </c>
      <c r="P1838" t="s">
        <v>23</v>
      </c>
      <c r="Q1838" t="s">
        <v>34</v>
      </c>
      <c r="R1838" t="s">
        <v>56</v>
      </c>
      <c r="S1838" t="s">
        <v>1223</v>
      </c>
      <c r="T1838" t="s">
        <v>27</v>
      </c>
      <c r="U1838">
        <v>26</v>
      </c>
      <c r="V1838">
        <v>3.3</v>
      </c>
      <c r="W1838" t="s">
        <v>47</v>
      </c>
      <c r="X1838" t="s">
        <v>29</v>
      </c>
    </row>
    <row r="1839" spans="1:24" x14ac:dyDescent="0.3">
      <c r="A1839" t="s">
        <v>3115</v>
      </c>
      <c r="B1839" t="s">
        <v>71</v>
      </c>
      <c r="C1839" t="s">
        <v>72</v>
      </c>
      <c r="D1839" t="str">
        <f t="shared" si="84"/>
        <v>Afternoon</v>
      </c>
      <c r="E1839">
        <f>HOUR(EV_Data[[#This Row],[Charging Start Time]])</f>
        <v>13</v>
      </c>
      <c r="F1839" s="1">
        <v>45003.541666666664</v>
      </c>
      <c r="G1839" s="1">
        <v>45003.565972222219</v>
      </c>
      <c r="H1839">
        <v>35</v>
      </c>
      <c r="I1839">
        <v>27.73</v>
      </c>
      <c r="J1839" t="str">
        <f t="shared" si="85"/>
        <v>Medium</v>
      </c>
      <c r="K1839" t="s">
        <v>50</v>
      </c>
      <c r="L1839">
        <v>49</v>
      </c>
      <c r="M1839">
        <v>66</v>
      </c>
      <c r="N1839" t="str">
        <f t="shared" si="86"/>
        <v>Low Cost</v>
      </c>
      <c r="O1839">
        <v>6.81</v>
      </c>
      <c r="P1839" t="s">
        <v>43</v>
      </c>
      <c r="Q1839" t="s">
        <v>48</v>
      </c>
      <c r="R1839" t="s">
        <v>35</v>
      </c>
      <c r="S1839" t="s">
        <v>764</v>
      </c>
      <c r="T1839" t="s">
        <v>27</v>
      </c>
      <c r="U1839">
        <v>85</v>
      </c>
      <c r="V1839">
        <v>2.1</v>
      </c>
      <c r="W1839" t="s">
        <v>47</v>
      </c>
      <c r="X1839" t="s">
        <v>29</v>
      </c>
    </row>
    <row r="1840" spans="1:24" x14ac:dyDescent="0.3">
      <c r="A1840" t="s">
        <v>3116</v>
      </c>
      <c r="B1840" t="s">
        <v>126</v>
      </c>
      <c r="C1840" t="s">
        <v>31</v>
      </c>
      <c r="D1840" t="str">
        <f t="shared" si="84"/>
        <v>Afternoon</v>
      </c>
      <c r="E1840">
        <f>HOUR(EV_Data[[#This Row],[Charging Start Time]])</f>
        <v>14</v>
      </c>
      <c r="F1840" s="1">
        <v>45003.583333333336</v>
      </c>
      <c r="G1840" s="1">
        <v>45003.609027777777</v>
      </c>
      <c r="H1840">
        <v>37</v>
      </c>
      <c r="I1840">
        <v>37</v>
      </c>
      <c r="J1840" t="str">
        <f t="shared" si="85"/>
        <v>Medium</v>
      </c>
      <c r="K1840" t="s">
        <v>69</v>
      </c>
      <c r="L1840">
        <v>46</v>
      </c>
      <c r="M1840">
        <v>68</v>
      </c>
      <c r="N1840" t="str">
        <f t="shared" si="86"/>
        <v>Medium Cost</v>
      </c>
      <c r="O1840">
        <v>9.32</v>
      </c>
      <c r="P1840" t="s">
        <v>64</v>
      </c>
      <c r="Q1840" t="s">
        <v>24</v>
      </c>
      <c r="R1840" t="s">
        <v>25</v>
      </c>
      <c r="S1840" t="s">
        <v>1126</v>
      </c>
      <c r="T1840" t="s">
        <v>46</v>
      </c>
      <c r="U1840">
        <v>9</v>
      </c>
      <c r="V1840">
        <v>1.7</v>
      </c>
      <c r="W1840" t="s">
        <v>28</v>
      </c>
      <c r="X1840" t="s">
        <v>68</v>
      </c>
    </row>
    <row r="1841" spans="1:24" x14ac:dyDescent="0.3">
      <c r="A1841" t="s">
        <v>3117</v>
      </c>
      <c r="B1841" t="s">
        <v>30</v>
      </c>
      <c r="C1841" t="s">
        <v>102</v>
      </c>
      <c r="D1841" t="str">
        <f t="shared" si="84"/>
        <v>Afternoon</v>
      </c>
      <c r="E1841">
        <f>HOUR(EV_Data[[#This Row],[Charging Start Time]])</f>
        <v>15</v>
      </c>
      <c r="F1841" s="1">
        <v>45003.625</v>
      </c>
      <c r="G1841" s="1">
        <v>45003.64166666667</v>
      </c>
      <c r="H1841">
        <v>24</v>
      </c>
      <c r="I1841">
        <v>39.51</v>
      </c>
      <c r="J1841" t="str">
        <f t="shared" si="85"/>
        <v>Medium</v>
      </c>
      <c r="K1841" t="s">
        <v>42</v>
      </c>
      <c r="L1841">
        <v>41</v>
      </c>
      <c r="M1841">
        <v>55</v>
      </c>
      <c r="N1841" t="str">
        <f t="shared" si="86"/>
        <v>Medium Cost</v>
      </c>
      <c r="O1841">
        <v>10.89</v>
      </c>
      <c r="P1841" t="s">
        <v>33</v>
      </c>
      <c r="Q1841" t="s">
        <v>24</v>
      </c>
      <c r="R1841" t="s">
        <v>56</v>
      </c>
      <c r="S1841" t="s">
        <v>1224</v>
      </c>
      <c r="T1841" t="s">
        <v>46</v>
      </c>
      <c r="U1841">
        <v>97</v>
      </c>
      <c r="V1841">
        <v>1.4</v>
      </c>
      <c r="W1841" t="s">
        <v>47</v>
      </c>
      <c r="X1841" t="s">
        <v>29</v>
      </c>
    </row>
    <row r="1842" spans="1:24" x14ac:dyDescent="0.3">
      <c r="A1842" t="s">
        <v>3118</v>
      </c>
      <c r="B1842" t="s">
        <v>40</v>
      </c>
      <c r="C1842" t="s">
        <v>41</v>
      </c>
      <c r="D1842" t="str">
        <f t="shared" si="84"/>
        <v>Afternoon</v>
      </c>
      <c r="E1842">
        <f>HOUR(EV_Data[[#This Row],[Charging Start Time]])</f>
        <v>16</v>
      </c>
      <c r="F1842" s="1">
        <v>45003.666666666664</v>
      </c>
      <c r="G1842" s="1">
        <v>45003.667361111111</v>
      </c>
      <c r="H1842">
        <v>1</v>
      </c>
      <c r="I1842">
        <v>15.31</v>
      </c>
      <c r="J1842" t="str">
        <f t="shared" si="85"/>
        <v>Low</v>
      </c>
      <c r="K1842" t="s">
        <v>22</v>
      </c>
      <c r="L1842">
        <v>28</v>
      </c>
      <c r="M1842">
        <v>39</v>
      </c>
      <c r="N1842" t="str">
        <f t="shared" si="86"/>
        <v>Low Cost</v>
      </c>
      <c r="O1842">
        <v>5.96</v>
      </c>
      <c r="P1842" t="s">
        <v>33</v>
      </c>
      <c r="Q1842" t="s">
        <v>34</v>
      </c>
      <c r="R1842" t="s">
        <v>35</v>
      </c>
      <c r="S1842" t="s">
        <v>541</v>
      </c>
      <c r="T1842" t="s">
        <v>46</v>
      </c>
      <c r="U1842">
        <v>31</v>
      </c>
      <c r="V1842">
        <v>3.2</v>
      </c>
      <c r="W1842" t="s">
        <v>38</v>
      </c>
    </row>
    <row r="1843" spans="1:24" x14ac:dyDescent="0.3">
      <c r="A1843" t="s">
        <v>3119</v>
      </c>
      <c r="B1843" t="s">
        <v>92</v>
      </c>
      <c r="C1843" t="s">
        <v>93</v>
      </c>
      <c r="D1843" t="str">
        <f t="shared" si="84"/>
        <v>Evening</v>
      </c>
      <c r="E1843">
        <f>HOUR(EV_Data[[#This Row],[Charging Start Time]])</f>
        <v>17</v>
      </c>
      <c r="F1843" s="1">
        <v>45003.708333333336</v>
      </c>
      <c r="G1843" s="1">
        <v>45003.750694444447</v>
      </c>
      <c r="H1843">
        <v>61</v>
      </c>
      <c r="I1843">
        <v>42.7</v>
      </c>
      <c r="J1843" t="str">
        <f t="shared" si="85"/>
        <v>Medium</v>
      </c>
      <c r="K1843" t="s">
        <v>50</v>
      </c>
      <c r="L1843">
        <v>38</v>
      </c>
      <c r="M1843">
        <v>62</v>
      </c>
      <c r="N1843" t="str">
        <f t="shared" si="86"/>
        <v>Medium Cost</v>
      </c>
      <c r="O1843">
        <v>12.48</v>
      </c>
      <c r="P1843" t="s">
        <v>51</v>
      </c>
      <c r="Q1843" t="s">
        <v>58</v>
      </c>
      <c r="R1843" t="s">
        <v>35</v>
      </c>
      <c r="S1843" t="s">
        <v>292</v>
      </c>
      <c r="T1843" t="s">
        <v>60</v>
      </c>
      <c r="U1843">
        <v>47</v>
      </c>
      <c r="V1843">
        <v>3.7</v>
      </c>
      <c r="W1843" t="s">
        <v>47</v>
      </c>
      <c r="X1843" t="s">
        <v>29</v>
      </c>
    </row>
    <row r="1844" spans="1:24" x14ac:dyDescent="0.3">
      <c r="A1844" t="s">
        <v>3120</v>
      </c>
      <c r="B1844" t="s">
        <v>30</v>
      </c>
      <c r="C1844" t="s">
        <v>102</v>
      </c>
      <c r="D1844" t="str">
        <f t="shared" si="84"/>
        <v>Evening</v>
      </c>
      <c r="E1844">
        <f>HOUR(EV_Data[[#This Row],[Charging Start Time]])</f>
        <v>18</v>
      </c>
      <c r="F1844" s="1">
        <v>45003.75</v>
      </c>
      <c r="G1844" s="1">
        <v>45003.77847222222</v>
      </c>
      <c r="H1844">
        <v>41</v>
      </c>
      <c r="I1844">
        <v>26.1</v>
      </c>
      <c r="J1844" t="str">
        <f t="shared" si="85"/>
        <v>Medium</v>
      </c>
      <c r="K1844" t="s">
        <v>32</v>
      </c>
      <c r="L1844">
        <v>44</v>
      </c>
      <c r="M1844">
        <v>62</v>
      </c>
      <c r="N1844" t="str">
        <f t="shared" si="86"/>
        <v>Low Cost</v>
      </c>
      <c r="O1844">
        <v>7.9</v>
      </c>
      <c r="P1844" t="s">
        <v>51</v>
      </c>
      <c r="Q1844" t="s">
        <v>58</v>
      </c>
      <c r="R1844" t="s">
        <v>25</v>
      </c>
      <c r="S1844" t="s">
        <v>45</v>
      </c>
      <c r="T1844" t="s">
        <v>46</v>
      </c>
      <c r="U1844">
        <v>52</v>
      </c>
      <c r="V1844">
        <v>3.3</v>
      </c>
      <c r="W1844" t="s">
        <v>47</v>
      </c>
      <c r="X1844" t="s">
        <v>29</v>
      </c>
    </row>
    <row r="1845" spans="1:24" x14ac:dyDescent="0.3">
      <c r="A1845" t="s">
        <v>3121</v>
      </c>
      <c r="B1845" t="s">
        <v>77</v>
      </c>
      <c r="C1845" t="s">
        <v>78</v>
      </c>
      <c r="D1845" t="str">
        <f t="shared" si="84"/>
        <v>Evening</v>
      </c>
      <c r="E1845">
        <f>HOUR(EV_Data[[#This Row],[Charging Start Time]])</f>
        <v>19</v>
      </c>
      <c r="F1845" s="1">
        <v>45003.791666666664</v>
      </c>
      <c r="G1845" s="1">
        <v>45003.820138888892</v>
      </c>
      <c r="H1845">
        <v>41</v>
      </c>
      <c r="I1845">
        <v>23.43</v>
      </c>
      <c r="J1845" t="str">
        <f t="shared" si="85"/>
        <v>Medium</v>
      </c>
      <c r="K1845" t="s">
        <v>42</v>
      </c>
      <c r="L1845">
        <v>32</v>
      </c>
      <c r="M1845">
        <v>59</v>
      </c>
      <c r="N1845" t="str">
        <f t="shared" si="86"/>
        <v>Low Cost</v>
      </c>
      <c r="O1845">
        <v>5.31</v>
      </c>
      <c r="P1845" t="s">
        <v>43</v>
      </c>
      <c r="Q1845" t="s">
        <v>48</v>
      </c>
      <c r="R1845" t="s">
        <v>44</v>
      </c>
      <c r="S1845" t="s">
        <v>1225</v>
      </c>
      <c r="T1845" t="s">
        <v>46</v>
      </c>
      <c r="U1845">
        <v>50</v>
      </c>
      <c r="V1845">
        <v>2.8</v>
      </c>
      <c r="W1845" t="s">
        <v>28</v>
      </c>
      <c r="X1845" t="s">
        <v>68</v>
      </c>
    </row>
    <row r="1846" spans="1:24" x14ac:dyDescent="0.3">
      <c r="A1846" t="s">
        <v>3122</v>
      </c>
      <c r="B1846" t="s">
        <v>92</v>
      </c>
      <c r="C1846" t="s">
        <v>93</v>
      </c>
      <c r="D1846" t="str">
        <f t="shared" si="84"/>
        <v>Evening</v>
      </c>
      <c r="E1846">
        <f>HOUR(EV_Data[[#This Row],[Charging Start Time]])</f>
        <v>20</v>
      </c>
      <c r="F1846" s="1">
        <v>45003.833333333336</v>
      </c>
      <c r="G1846" s="1">
        <v>45003.899305555547</v>
      </c>
      <c r="H1846">
        <v>95</v>
      </c>
      <c r="I1846">
        <v>49.31</v>
      </c>
      <c r="J1846" t="str">
        <f t="shared" si="85"/>
        <v>Medium</v>
      </c>
      <c r="K1846" t="s">
        <v>42</v>
      </c>
      <c r="L1846">
        <v>25</v>
      </c>
      <c r="M1846">
        <v>59</v>
      </c>
      <c r="N1846" t="str">
        <f t="shared" si="86"/>
        <v>High Cost</v>
      </c>
      <c r="O1846">
        <v>17.71</v>
      </c>
      <c r="P1846" t="s">
        <v>33</v>
      </c>
      <c r="Q1846" t="s">
        <v>34</v>
      </c>
      <c r="R1846" t="s">
        <v>56</v>
      </c>
      <c r="S1846" t="s">
        <v>828</v>
      </c>
      <c r="T1846" t="s">
        <v>46</v>
      </c>
      <c r="U1846">
        <v>80</v>
      </c>
      <c r="V1846">
        <v>3.4</v>
      </c>
      <c r="W1846" t="s">
        <v>28</v>
      </c>
      <c r="X1846" t="s">
        <v>68</v>
      </c>
    </row>
    <row r="1847" spans="1:24" x14ac:dyDescent="0.3">
      <c r="A1847" t="s">
        <v>3123</v>
      </c>
      <c r="B1847" t="s">
        <v>40</v>
      </c>
      <c r="C1847" t="s">
        <v>41</v>
      </c>
      <c r="D1847" t="str">
        <f t="shared" si="84"/>
        <v>Evening</v>
      </c>
      <c r="E1847">
        <f>HOUR(EV_Data[[#This Row],[Charging Start Time]])</f>
        <v>21</v>
      </c>
      <c r="F1847" s="1">
        <v>45003.875</v>
      </c>
      <c r="G1847" s="1">
        <v>45003.875694444447</v>
      </c>
      <c r="H1847">
        <v>1</v>
      </c>
      <c r="I1847">
        <v>12.2</v>
      </c>
      <c r="J1847" t="str">
        <f t="shared" si="85"/>
        <v>Low</v>
      </c>
      <c r="K1847" t="s">
        <v>42</v>
      </c>
      <c r="L1847">
        <v>22</v>
      </c>
      <c r="M1847">
        <v>43</v>
      </c>
      <c r="N1847" t="str">
        <f t="shared" si="86"/>
        <v>Low Cost</v>
      </c>
      <c r="O1847">
        <v>3.95</v>
      </c>
      <c r="P1847" t="s">
        <v>64</v>
      </c>
      <c r="Q1847" t="s">
        <v>48</v>
      </c>
      <c r="R1847" t="s">
        <v>56</v>
      </c>
      <c r="S1847" t="s">
        <v>1226</v>
      </c>
      <c r="T1847" t="s">
        <v>37</v>
      </c>
      <c r="U1847">
        <v>24</v>
      </c>
      <c r="V1847">
        <v>1.9</v>
      </c>
      <c r="W1847" t="s">
        <v>38</v>
      </c>
      <c r="X1847" t="s">
        <v>39</v>
      </c>
    </row>
    <row r="1848" spans="1:24" x14ac:dyDescent="0.3">
      <c r="A1848" t="s">
        <v>3124</v>
      </c>
      <c r="B1848" t="s">
        <v>71</v>
      </c>
      <c r="C1848" t="s">
        <v>72</v>
      </c>
      <c r="D1848" t="str">
        <f t="shared" si="84"/>
        <v>Evening</v>
      </c>
      <c r="E1848">
        <f>HOUR(EV_Data[[#This Row],[Charging Start Time]])</f>
        <v>22</v>
      </c>
      <c r="F1848" s="1">
        <v>45003.916666666664</v>
      </c>
      <c r="G1848" s="1">
        <v>45003.944444444453</v>
      </c>
      <c r="H1848">
        <v>40</v>
      </c>
      <c r="I1848">
        <v>8.8800000000000008</v>
      </c>
      <c r="J1848" t="str">
        <f t="shared" si="85"/>
        <v>Low</v>
      </c>
      <c r="K1848" t="s">
        <v>55</v>
      </c>
      <c r="L1848">
        <v>44</v>
      </c>
      <c r="M1848">
        <v>71</v>
      </c>
      <c r="N1848" t="str">
        <f t="shared" si="86"/>
        <v>Low Cost</v>
      </c>
      <c r="O1848">
        <v>2.42</v>
      </c>
      <c r="P1848" t="s">
        <v>43</v>
      </c>
      <c r="Q1848" t="s">
        <v>48</v>
      </c>
      <c r="R1848" t="s">
        <v>56</v>
      </c>
      <c r="S1848" t="s">
        <v>1227</v>
      </c>
      <c r="T1848" t="s">
        <v>60</v>
      </c>
      <c r="U1848">
        <v>7</v>
      </c>
      <c r="V1848">
        <v>2.7</v>
      </c>
      <c r="W1848" t="s">
        <v>47</v>
      </c>
      <c r="X1848" t="s">
        <v>29</v>
      </c>
    </row>
    <row r="1849" spans="1:24" x14ac:dyDescent="0.3">
      <c r="A1849" t="s">
        <v>3125</v>
      </c>
      <c r="B1849" t="s">
        <v>77</v>
      </c>
      <c r="C1849" t="s">
        <v>78</v>
      </c>
      <c r="D1849" t="str">
        <f t="shared" si="84"/>
        <v>Evening</v>
      </c>
      <c r="E1849">
        <f>HOUR(EV_Data[[#This Row],[Charging Start Time]])</f>
        <v>23</v>
      </c>
      <c r="F1849" s="1">
        <v>45003.958333333336</v>
      </c>
      <c r="G1849" s="1">
        <v>45004.010416666657</v>
      </c>
      <c r="H1849">
        <v>75</v>
      </c>
      <c r="I1849">
        <v>17.14</v>
      </c>
      <c r="J1849" t="str">
        <f t="shared" si="85"/>
        <v>Low</v>
      </c>
      <c r="K1849" t="s">
        <v>32</v>
      </c>
      <c r="L1849">
        <v>43</v>
      </c>
      <c r="M1849">
        <v>55</v>
      </c>
      <c r="N1849" t="str">
        <f t="shared" si="86"/>
        <v>Low Cost</v>
      </c>
      <c r="O1849">
        <v>6.65</v>
      </c>
      <c r="P1849" t="s">
        <v>51</v>
      </c>
      <c r="Q1849" t="s">
        <v>58</v>
      </c>
      <c r="R1849" t="s">
        <v>25</v>
      </c>
      <c r="S1849" t="s">
        <v>1228</v>
      </c>
      <c r="T1849" t="s">
        <v>60</v>
      </c>
      <c r="U1849">
        <v>73</v>
      </c>
      <c r="V1849">
        <v>4.0999999999999996</v>
      </c>
      <c r="W1849" t="s">
        <v>47</v>
      </c>
      <c r="X1849" t="s">
        <v>29</v>
      </c>
    </row>
    <row r="1850" spans="1:24" x14ac:dyDescent="0.3">
      <c r="A1850" t="s">
        <v>3126</v>
      </c>
      <c r="B1850" t="s">
        <v>53</v>
      </c>
      <c r="C1850" t="s">
        <v>54</v>
      </c>
      <c r="D1850" t="str">
        <f t="shared" si="84"/>
        <v>Morning</v>
      </c>
      <c r="E1850">
        <f>HOUR(EV_Data[[#This Row],[Charging Start Time]])</f>
        <v>0</v>
      </c>
      <c r="F1850" s="1">
        <v>45004</v>
      </c>
      <c r="G1850" s="1">
        <v>45004.057638888888</v>
      </c>
      <c r="H1850">
        <v>83</v>
      </c>
      <c r="I1850">
        <v>13.2</v>
      </c>
      <c r="J1850" t="str">
        <f t="shared" si="85"/>
        <v>Low</v>
      </c>
      <c r="K1850" t="s">
        <v>55</v>
      </c>
      <c r="L1850">
        <v>50</v>
      </c>
      <c r="M1850">
        <v>63</v>
      </c>
      <c r="N1850" t="str">
        <f t="shared" si="86"/>
        <v>Low Cost</v>
      </c>
      <c r="O1850">
        <v>3.52</v>
      </c>
      <c r="P1850" t="s">
        <v>64</v>
      </c>
      <c r="Q1850" t="s">
        <v>24</v>
      </c>
      <c r="R1850" t="s">
        <v>56</v>
      </c>
      <c r="S1850" t="s">
        <v>218</v>
      </c>
      <c r="T1850" t="s">
        <v>46</v>
      </c>
      <c r="U1850">
        <v>68</v>
      </c>
      <c r="V1850">
        <v>1.7</v>
      </c>
      <c r="W1850" t="s">
        <v>38</v>
      </c>
      <c r="X1850" t="s">
        <v>39</v>
      </c>
    </row>
    <row r="1851" spans="1:24" x14ac:dyDescent="0.3">
      <c r="A1851" t="s">
        <v>3127</v>
      </c>
      <c r="B1851" t="s">
        <v>20</v>
      </c>
      <c r="C1851" t="s">
        <v>21</v>
      </c>
      <c r="D1851" t="str">
        <f t="shared" si="84"/>
        <v>Morning</v>
      </c>
      <c r="E1851">
        <f>HOUR(EV_Data[[#This Row],[Charging Start Time]])</f>
        <v>1</v>
      </c>
      <c r="F1851" s="1">
        <v>45004.041666666664</v>
      </c>
      <c r="G1851" s="1">
        <v>45004.042361111111</v>
      </c>
      <c r="H1851">
        <v>1</v>
      </c>
      <c r="I1851">
        <v>26.18</v>
      </c>
      <c r="J1851" t="str">
        <f t="shared" si="85"/>
        <v>Medium</v>
      </c>
      <c r="K1851" t="s">
        <v>69</v>
      </c>
      <c r="L1851">
        <v>45</v>
      </c>
      <c r="M1851">
        <v>58</v>
      </c>
      <c r="N1851" t="str">
        <f t="shared" si="86"/>
        <v>Medium Cost</v>
      </c>
      <c r="O1851">
        <v>12.16</v>
      </c>
      <c r="P1851" t="s">
        <v>43</v>
      </c>
      <c r="Q1851" t="s">
        <v>58</v>
      </c>
      <c r="R1851" t="s">
        <v>44</v>
      </c>
      <c r="S1851" t="s">
        <v>1229</v>
      </c>
      <c r="T1851" t="s">
        <v>37</v>
      </c>
      <c r="U1851">
        <v>17</v>
      </c>
      <c r="V1851">
        <v>2.2000000000000002</v>
      </c>
      <c r="W1851" t="s">
        <v>47</v>
      </c>
      <c r="X1851" t="s">
        <v>29</v>
      </c>
    </row>
    <row r="1852" spans="1:24" x14ac:dyDescent="0.3">
      <c r="A1852" t="s">
        <v>3128</v>
      </c>
      <c r="B1852" t="s">
        <v>126</v>
      </c>
      <c r="C1852" t="s">
        <v>31</v>
      </c>
      <c r="D1852" t="str">
        <f t="shared" si="84"/>
        <v>Morning</v>
      </c>
      <c r="E1852">
        <f>HOUR(EV_Data[[#This Row],[Charging Start Time]])</f>
        <v>2</v>
      </c>
      <c r="F1852" s="1">
        <v>45004.083333333336</v>
      </c>
      <c r="G1852" s="1">
        <v>45004.10833333333</v>
      </c>
      <c r="H1852">
        <v>36</v>
      </c>
      <c r="I1852">
        <v>42.57</v>
      </c>
      <c r="J1852" t="str">
        <f t="shared" si="85"/>
        <v>Medium</v>
      </c>
      <c r="K1852" t="s">
        <v>69</v>
      </c>
      <c r="L1852">
        <v>25</v>
      </c>
      <c r="M1852">
        <v>38</v>
      </c>
      <c r="N1852" t="str">
        <f t="shared" si="86"/>
        <v>High Cost</v>
      </c>
      <c r="O1852">
        <v>18.29</v>
      </c>
      <c r="P1852" t="s">
        <v>43</v>
      </c>
      <c r="Q1852" t="s">
        <v>24</v>
      </c>
      <c r="R1852" t="s">
        <v>35</v>
      </c>
      <c r="S1852" t="s">
        <v>1230</v>
      </c>
      <c r="T1852" t="s">
        <v>27</v>
      </c>
      <c r="U1852">
        <v>80</v>
      </c>
      <c r="V1852">
        <v>1.4</v>
      </c>
      <c r="W1852" t="s">
        <v>47</v>
      </c>
      <c r="X1852" t="s">
        <v>29</v>
      </c>
    </row>
    <row r="1853" spans="1:24" x14ac:dyDescent="0.3">
      <c r="A1853" t="s">
        <v>3129</v>
      </c>
      <c r="B1853" t="s">
        <v>71</v>
      </c>
      <c r="C1853" t="s">
        <v>72</v>
      </c>
      <c r="D1853" t="str">
        <f t="shared" si="84"/>
        <v>Morning</v>
      </c>
      <c r="E1853">
        <f>HOUR(EV_Data[[#This Row],[Charging Start Time]])</f>
        <v>3</v>
      </c>
      <c r="F1853" s="1">
        <v>45004.125</v>
      </c>
      <c r="G1853" s="1">
        <v>45004.144444444442</v>
      </c>
      <c r="H1853">
        <v>28</v>
      </c>
      <c r="I1853">
        <v>20.21</v>
      </c>
      <c r="J1853" t="str">
        <f t="shared" si="85"/>
        <v>Medium</v>
      </c>
      <c r="K1853" t="s">
        <v>50</v>
      </c>
      <c r="L1853">
        <v>9</v>
      </c>
      <c r="M1853">
        <v>43</v>
      </c>
      <c r="N1853" t="str">
        <f t="shared" si="86"/>
        <v>Low Cost</v>
      </c>
      <c r="O1853">
        <v>6.73</v>
      </c>
      <c r="P1853" t="s">
        <v>64</v>
      </c>
      <c r="Q1853" t="s">
        <v>34</v>
      </c>
      <c r="R1853" t="s">
        <v>44</v>
      </c>
      <c r="S1853" t="s">
        <v>1231</v>
      </c>
      <c r="T1853" t="s">
        <v>27</v>
      </c>
      <c r="U1853">
        <v>96</v>
      </c>
      <c r="V1853">
        <v>1.4</v>
      </c>
      <c r="W1853" t="s">
        <v>28</v>
      </c>
      <c r="X1853" t="s">
        <v>68</v>
      </c>
    </row>
    <row r="1854" spans="1:24" x14ac:dyDescent="0.3">
      <c r="A1854" t="s">
        <v>3130</v>
      </c>
      <c r="B1854" t="s">
        <v>77</v>
      </c>
      <c r="C1854" t="s">
        <v>78</v>
      </c>
      <c r="D1854" t="str">
        <f t="shared" si="84"/>
        <v>Morning</v>
      </c>
      <c r="E1854">
        <f>HOUR(EV_Data[[#This Row],[Charging Start Time]])</f>
        <v>4</v>
      </c>
      <c r="F1854" s="1">
        <v>45004.166666666664</v>
      </c>
      <c r="G1854" s="1">
        <v>45004.186111111107</v>
      </c>
      <c r="H1854">
        <v>28</v>
      </c>
      <c r="I1854">
        <v>39.97</v>
      </c>
      <c r="J1854" t="str">
        <f t="shared" si="85"/>
        <v>Medium</v>
      </c>
      <c r="K1854" t="s">
        <v>55</v>
      </c>
      <c r="L1854">
        <v>60</v>
      </c>
      <c r="M1854">
        <v>92</v>
      </c>
      <c r="N1854" t="str">
        <f t="shared" si="86"/>
        <v>High Cost</v>
      </c>
      <c r="O1854">
        <v>18.27</v>
      </c>
      <c r="P1854" t="s">
        <v>33</v>
      </c>
      <c r="Q1854" t="s">
        <v>58</v>
      </c>
      <c r="R1854" t="s">
        <v>56</v>
      </c>
      <c r="S1854" t="s">
        <v>400</v>
      </c>
      <c r="T1854" t="s">
        <v>37</v>
      </c>
      <c r="U1854">
        <v>84</v>
      </c>
      <c r="V1854">
        <v>2.9</v>
      </c>
      <c r="W1854" t="s">
        <v>28</v>
      </c>
      <c r="X1854" t="s">
        <v>68</v>
      </c>
    </row>
    <row r="1855" spans="1:24" x14ac:dyDescent="0.3">
      <c r="A1855" t="s">
        <v>3131</v>
      </c>
      <c r="B1855" t="s">
        <v>40</v>
      </c>
      <c r="C1855" t="s">
        <v>41</v>
      </c>
      <c r="D1855" t="str">
        <f t="shared" si="84"/>
        <v>Morning</v>
      </c>
      <c r="E1855">
        <f>HOUR(EV_Data[[#This Row],[Charging Start Time]])</f>
        <v>5</v>
      </c>
      <c r="F1855" s="1">
        <v>45004.208333333336</v>
      </c>
      <c r="G1855" s="1">
        <v>45004.226388888892</v>
      </c>
      <c r="H1855">
        <v>26</v>
      </c>
      <c r="I1855">
        <v>6.59</v>
      </c>
      <c r="J1855" t="str">
        <f t="shared" si="85"/>
        <v>Low</v>
      </c>
      <c r="K1855" t="s">
        <v>69</v>
      </c>
      <c r="L1855">
        <v>72</v>
      </c>
      <c r="M1855">
        <v>100</v>
      </c>
      <c r="N1855" t="str">
        <f t="shared" si="86"/>
        <v>Low Cost</v>
      </c>
      <c r="O1855">
        <v>2.17</v>
      </c>
      <c r="P1855" t="s">
        <v>23</v>
      </c>
      <c r="Q1855" t="s">
        <v>24</v>
      </c>
      <c r="R1855" t="s">
        <v>56</v>
      </c>
      <c r="S1855" t="s">
        <v>1026</v>
      </c>
      <c r="T1855" t="s">
        <v>60</v>
      </c>
      <c r="U1855">
        <v>49</v>
      </c>
      <c r="V1855">
        <v>2.2000000000000002</v>
      </c>
      <c r="W1855" t="s">
        <v>38</v>
      </c>
      <c r="X1855" t="s">
        <v>83</v>
      </c>
    </row>
    <row r="1856" spans="1:24" x14ac:dyDescent="0.3">
      <c r="A1856" t="s">
        <v>3132</v>
      </c>
      <c r="B1856" t="s">
        <v>126</v>
      </c>
      <c r="C1856" t="s">
        <v>31</v>
      </c>
      <c r="D1856" t="str">
        <f t="shared" si="84"/>
        <v>Morning</v>
      </c>
      <c r="E1856">
        <f>HOUR(EV_Data[[#This Row],[Charging Start Time]])</f>
        <v>6</v>
      </c>
      <c r="F1856" s="1">
        <v>45004.25</v>
      </c>
      <c r="G1856" s="1">
        <v>45004.293055555558</v>
      </c>
      <c r="H1856">
        <v>62</v>
      </c>
      <c r="I1856">
        <v>20.09</v>
      </c>
      <c r="J1856" t="str">
        <f t="shared" si="85"/>
        <v>Medium</v>
      </c>
      <c r="K1856" t="s">
        <v>22</v>
      </c>
      <c r="L1856">
        <v>54</v>
      </c>
      <c r="M1856">
        <v>85</v>
      </c>
      <c r="N1856" t="str">
        <f t="shared" si="86"/>
        <v>Medium Cost</v>
      </c>
      <c r="O1856">
        <v>8.8699999999999992</v>
      </c>
      <c r="P1856" t="s">
        <v>64</v>
      </c>
      <c r="Q1856" t="s">
        <v>48</v>
      </c>
      <c r="R1856" t="s">
        <v>25</v>
      </c>
      <c r="S1856" t="s">
        <v>879</v>
      </c>
      <c r="T1856" t="s">
        <v>60</v>
      </c>
      <c r="U1856">
        <v>3</v>
      </c>
      <c r="V1856">
        <v>3.7</v>
      </c>
      <c r="W1856" t="s">
        <v>28</v>
      </c>
      <c r="X1856" t="s">
        <v>68</v>
      </c>
    </row>
    <row r="1857" spans="1:24" x14ac:dyDescent="0.3">
      <c r="A1857" t="s">
        <v>3133</v>
      </c>
      <c r="B1857" t="s">
        <v>77</v>
      </c>
      <c r="C1857" t="s">
        <v>78</v>
      </c>
      <c r="D1857" t="str">
        <f t="shared" si="84"/>
        <v>Morning</v>
      </c>
      <c r="E1857">
        <f>HOUR(EV_Data[[#This Row],[Charging Start Time]])</f>
        <v>7</v>
      </c>
      <c r="F1857" s="1">
        <v>45004.291666666664</v>
      </c>
      <c r="G1857" s="1">
        <v>45004.342361111107</v>
      </c>
      <c r="H1857">
        <v>73</v>
      </c>
      <c r="I1857">
        <v>14.75</v>
      </c>
      <c r="J1857" t="str">
        <f t="shared" si="85"/>
        <v>Low</v>
      </c>
      <c r="K1857" t="s">
        <v>50</v>
      </c>
      <c r="L1857">
        <v>11</v>
      </c>
      <c r="M1857">
        <v>34</v>
      </c>
      <c r="N1857" t="str">
        <f t="shared" si="86"/>
        <v>Low Cost</v>
      </c>
      <c r="O1857">
        <v>3.03</v>
      </c>
      <c r="P1857" t="s">
        <v>51</v>
      </c>
      <c r="Q1857" t="s">
        <v>58</v>
      </c>
      <c r="R1857" t="s">
        <v>35</v>
      </c>
      <c r="S1857" t="s">
        <v>1232</v>
      </c>
      <c r="T1857" t="s">
        <v>27</v>
      </c>
      <c r="U1857">
        <v>41</v>
      </c>
      <c r="V1857">
        <v>2.4</v>
      </c>
      <c r="W1857" t="s">
        <v>28</v>
      </c>
      <c r="X1857" t="s">
        <v>68</v>
      </c>
    </row>
    <row r="1858" spans="1:24" x14ac:dyDescent="0.3">
      <c r="A1858" t="s">
        <v>3134</v>
      </c>
      <c r="B1858" t="s">
        <v>30</v>
      </c>
      <c r="C1858" t="s">
        <v>102</v>
      </c>
      <c r="D1858" t="str">
        <f t="shared" ref="D1858:D1921" si="87">IF(E1858&lt;12,"Morning",IF(E1858&lt;17,"Afternoon","Evening"))</f>
        <v>Morning</v>
      </c>
      <c r="E1858">
        <f>HOUR(EV_Data[[#This Row],[Charging Start Time]])</f>
        <v>8</v>
      </c>
      <c r="F1858" s="1">
        <v>45004.333333333336</v>
      </c>
      <c r="G1858" s="1">
        <v>45004.371527777781</v>
      </c>
      <c r="H1858">
        <v>55</v>
      </c>
      <c r="I1858">
        <v>15.3</v>
      </c>
      <c r="J1858" t="str">
        <f t="shared" ref="J1858:J1921" si="88">IF(I1858&lt;20,"Low",IF(I1858&lt;50,"Medium","High"))</f>
        <v>Low</v>
      </c>
      <c r="K1858" t="s">
        <v>22</v>
      </c>
      <c r="L1858">
        <v>30</v>
      </c>
      <c r="M1858">
        <v>70</v>
      </c>
      <c r="N1858" t="str">
        <f t="shared" ref="N1858:N1921" si="89">IF(O1858&lt;8,"Low Cost",IF(O1858&lt;17,"Medium Cost","High Cost"))</f>
        <v>Low Cost</v>
      </c>
      <c r="O1858">
        <v>7.16</v>
      </c>
      <c r="P1858" t="s">
        <v>64</v>
      </c>
      <c r="Q1858" t="s">
        <v>24</v>
      </c>
      <c r="R1858" t="s">
        <v>44</v>
      </c>
      <c r="S1858" t="s">
        <v>1233</v>
      </c>
      <c r="T1858" t="s">
        <v>27</v>
      </c>
      <c r="U1858">
        <v>15</v>
      </c>
      <c r="V1858">
        <v>2.7</v>
      </c>
      <c r="W1858" t="s">
        <v>47</v>
      </c>
      <c r="X1858" t="s">
        <v>29</v>
      </c>
    </row>
    <row r="1859" spans="1:24" x14ac:dyDescent="0.3">
      <c r="A1859" t="s">
        <v>3135</v>
      </c>
      <c r="B1859" t="s">
        <v>20</v>
      </c>
      <c r="C1859" t="s">
        <v>21</v>
      </c>
      <c r="D1859" t="str">
        <f t="shared" si="87"/>
        <v>Morning</v>
      </c>
      <c r="E1859">
        <f>HOUR(EV_Data[[#This Row],[Charging Start Time]])</f>
        <v>9</v>
      </c>
      <c r="F1859" s="1">
        <v>45004.375</v>
      </c>
      <c r="G1859" s="1">
        <v>45004.434027777781</v>
      </c>
      <c r="H1859">
        <v>85</v>
      </c>
      <c r="I1859">
        <v>21.06</v>
      </c>
      <c r="J1859" t="str">
        <f t="shared" si="88"/>
        <v>Medium</v>
      </c>
      <c r="K1859" t="s">
        <v>50</v>
      </c>
      <c r="L1859">
        <v>14</v>
      </c>
      <c r="M1859">
        <v>30</v>
      </c>
      <c r="N1859" t="str">
        <f t="shared" si="89"/>
        <v>Medium Cost</v>
      </c>
      <c r="O1859">
        <v>10.11</v>
      </c>
      <c r="P1859" t="s">
        <v>23</v>
      </c>
      <c r="Q1859" t="s">
        <v>34</v>
      </c>
      <c r="R1859" t="s">
        <v>35</v>
      </c>
      <c r="S1859" t="s">
        <v>207</v>
      </c>
      <c r="T1859" t="s">
        <v>60</v>
      </c>
      <c r="U1859">
        <v>39</v>
      </c>
      <c r="V1859">
        <v>2.5</v>
      </c>
      <c r="W1859" t="s">
        <v>28</v>
      </c>
      <c r="X1859" t="s">
        <v>68</v>
      </c>
    </row>
    <row r="1860" spans="1:24" x14ac:dyDescent="0.3">
      <c r="A1860" t="s">
        <v>3136</v>
      </c>
      <c r="B1860" t="s">
        <v>20</v>
      </c>
      <c r="C1860" t="s">
        <v>21</v>
      </c>
      <c r="D1860" t="str">
        <f t="shared" si="87"/>
        <v>Morning</v>
      </c>
      <c r="E1860">
        <f>HOUR(EV_Data[[#This Row],[Charging Start Time]])</f>
        <v>10</v>
      </c>
      <c r="F1860" s="1">
        <v>45004.416666666664</v>
      </c>
      <c r="G1860" s="1">
        <v>45004.459027777782</v>
      </c>
      <c r="H1860">
        <v>61</v>
      </c>
      <c r="I1860">
        <v>34.270000000000003</v>
      </c>
      <c r="J1860" t="str">
        <f t="shared" si="88"/>
        <v>Medium</v>
      </c>
      <c r="K1860" t="s">
        <v>69</v>
      </c>
      <c r="L1860">
        <v>46</v>
      </c>
      <c r="M1860">
        <v>76</v>
      </c>
      <c r="N1860" t="str">
        <f t="shared" si="89"/>
        <v>Medium Cost</v>
      </c>
      <c r="O1860">
        <v>11.04</v>
      </c>
      <c r="P1860" t="s">
        <v>51</v>
      </c>
      <c r="Q1860" t="s">
        <v>24</v>
      </c>
      <c r="R1860" t="s">
        <v>35</v>
      </c>
      <c r="S1860" t="s">
        <v>197</v>
      </c>
      <c r="T1860" t="s">
        <v>27</v>
      </c>
      <c r="U1860">
        <v>69</v>
      </c>
      <c r="V1860">
        <v>2.9</v>
      </c>
      <c r="W1860" t="s">
        <v>28</v>
      </c>
      <c r="X1860" t="s">
        <v>68</v>
      </c>
    </row>
    <row r="1861" spans="1:24" x14ac:dyDescent="0.3">
      <c r="A1861" t="s">
        <v>3137</v>
      </c>
      <c r="B1861" t="s">
        <v>92</v>
      </c>
      <c r="C1861" t="s">
        <v>93</v>
      </c>
      <c r="D1861" t="str">
        <f t="shared" si="87"/>
        <v>Morning</v>
      </c>
      <c r="E1861">
        <f>HOUR(EV_Data[[#This Row],[Charging Start Time]])</f>
        <v>11</v>
      </c>
      <c r="F1861" s="1">
        <v>45004.458333333336</v>
      </c>
      <c r="G1861" s="1">
        <v>45004.488194444442</v>
      </c>
      <c r="H1861">
        <v>43</v>
      </c>
      <c r="I1861">
        <v>28.7</v>
      </c>
      <c r="J1861" t="str">
        <f t="shared" si="88"/>
        <v>Medium</v>
      </c>
      <c r="K1861" t="s">
        <v>42</v>
      </c>
      <c r="L1861">
        <v>56</v>
      </c>
      <c r="M1861">
        <v>92</v>
      </c>
      <c r="N1861" t="str">
        <f t="shared" si="89"/>
        <v>Low Cost</v>
      </c>
      <c r="O1861">
        <v>6.62</v>
      </c>
      <c r="P1861" t="s">
        <v>51</v>
      </c>
      <c r="Q1861" t="s">
        <v>48</v>
      </c>
      <c r="R1861" t="s">
        <v>56</v>
      </c>
      <c r="S1861" t="s">
        <v>422</v>
      </c>
      <c r="T1861" t="s">
        <v>60</v>
      </c>
      <c r="U1861">
        <v>19</v>
      </c>
      <c r="V1861">
        <v>4.0999999999999996</v>
      </c>
      <c r="W1861" t="s">
        <v>47</v>
      </c>
      <c r="X1861" t="s">
        <v>29</v>
      </c>
    </row>
    <row r="1862" spans="1:24" x14ac:dyDescent="0.3">
      <c r="A1862" t="s">
        <v>3138</v>
      </c>
      <c r="B1862" t="s">
        <v>126</v>
      </c>
      <c r="C1862" t="s">
        <v>31</v>
      </c>
      <c r="D1862" t="str">
        <f t="shared" si="87"/>
        <v>Afternoon</v>
      </c>
      <c r="E1862">
        <f>HOUR(EV_Data[[#This Row],[Charging Start Time]])</f>
        <v>12</v>
      </c>
      <c r="F1862" s="1">
        <v>45004.5</v>
      </c>
      <c r="G1862" s="1">
        <v>45004.532638888893</v>
      </c>
      <c r="H1862">
        <v>47</v>
      </c>
      <c r="I1862">
        <v>10.71</v>
      </c>
      <c r="J1862" t="str">
        <f t="shared" si="88"/>
        <v>Low</v>
      </c>
      <c r="K1862" t="s">
        <v>69</v>
      </c>
      <c r="L1862">
        <v>18</v>
      </c>
      <c r="M1862">
        <v>42</v>
      </c>
      <c r="N1862" t="str">
        <f t="shared" si="89"/>
        <v>Low Cost</v>
      </c>
      <c r="O1862">
        <v>3.14</v>
      </c>
      <c r="P1862" t="s">
        <v>33</v>
      </c>
      <c r="Q1862" t="s">
        <v>24</v>
      </c>
      <c r="R1862" t="s">
        <v>56</v>
      </c>
      <c r="S1862" t="s">
        <v>1234</v>
      </c>
      <c r="T1862" t="s">
        <v>37</v>
      </c>
      <c r="U1862">
        <v>15</v>
      </c>
      <c r="V1862">
        <v>2.2999999999999998</v>
      </c>
      <c r="W1862" t="s">
        <v>47</v>
      </c>
      <c r="X1862" t="s">
        <v>29</v>
      </c>
    </row>
    <row r="1863" spans="1:24" x14ac:dyDescent="0.3">
      <c r="A1863" t="s">
        <v>3139</v>
      </c>
      <c r="B1863" t="s">
        <v>92</v>
      </c>
      <c r="C1863" t="s">
        <v>93</v>
      </c>
      <c r="D1863" t="str">
        <f t="shared" si="87"/>
        <v>Afternoon</v>
      </c>
      <c r="E1863">
        <f>HOUR(EV_Data[[#This Row],[Charging Start Time]])</f>
        <v>13</v>
      </c>
      <c r="F1863" s="1">
        <v>45004.541666666664</v>
      </c>
      <c r="G1863" s="1">
        <v>45004.558333333327</v>
      </c>
      <c r="H1863">
        <v>24</v>
      </c>
      <c r="I1863">
        <v>37.450000000000003</v>
      </c>
      <c r="J1863" t="str">
        <f t="shared" si="88"/>
        <v>Medium</v>
      </c>
      <c r="K1863" t="s">
        <v>55</v>
      </c>
      <c r="L1863">
        <v>41</v>
      </c>
      <c r="M1863">
        <v>68</v>
      </c>
      <c r="N1863" t="str">
        <f t="shared" si="89"/>
        <v>Medium Cost</v>
      </c>
      <c r="O1863">
        <v>16.690000000000001</v>
      </c>
      <c r="P1863" t="s">
        <v>64</v>
      </c>
      <c r="Q1863" t="s">
        <v>24</v>
      </c>
      <c r="R1863" t="s">
        <v>44</v>
      </c>
      <c r="S1863" t="s">
        <v>1235</v>
      </c>
      <c r="T1863" t="s">
        <v>46</v>
      </c>
      <c r="U1863">
        <v>3</v>
      </c>
      <c r="V1863">
        <v>1.6</v>
      </c>
      <c r="W1863" t="s">
        <v>38</v>
      </c>
      <c r="X1863" t="s">
        <v>85</v>
      </c>
    </row>
    <row r="1864" spans="1:24" x14ac:dyDescent="0.3">
      <c r="A1864" t="s">
        <v>3140</v>
      </c>
      <c r="B1864" t="s">
        <v>126</v>
      </c>
      <c r="C1864" t="s">
        <v>31</v>
      </c>
      <c r="D1864" t="str">
        <f t="shared" si="87"/>
        <v>Afternoon</v>
      </c>
      <c r="E1864">
        <f>HOUR(EV_Data[[#This Row],[Charging Start Time]])</f>
        <v>14</v>
      </c>
      <c r="F1864" s="1">
        <v>45004.583333333336</v>
      </c>
      <c r="G1864" s="1">
        <v>45004.611111111109</v>
      </c>
      <c r="H1864">
        <v>40</v>
      </c>
      <c r="I1864">
        <v>40.42</v>
      </c>
      <c r="J1864" t="str">
        <f t="shared" si="88"/>
        <v>Medium</v>
      </c>
      <c r="K1864" t="s">
        <v>22</v>
      </c>
      <c r="L1864">
        <v>21</v>
      </c>
      <c r="M1864">
        <v>41</v>
      </c>
      <c r="N1864" t="str">
        <f t="shared" si="89"/>
        <v>Medium Cost</v>
      </c>
      <c r="O1864">
        <v>13.46</v>
      </c>
      <c r="P1864" t="s">
        <v>33</v>
      </c>
      <c r="Q1864" t="s">
        <v>48</v>
      </c>
      <c r="R1864" t="s">
        <v>44</v>
      </c>
      <c r="S1864" t="s">
        <v>1127</v>
      </c>
      <c r="T1864" t="s">
        <v>27</v>
      </c>
      <c r="U1864">
        <v>65</v>
      </c>
      <c r="V1864">
        <v>3.3</v>
      </c>
      <c r="W1864" t="s">
        <v>28</v>
      </c>
      <c r="X1864" t="s">
        <v>68</v>
      </c>
    </row>
    <row r="1865" spans="1:24" x14ac:dyDescent="0.3">
      <c r="A1865" t="s">
        <v>3141</v>
      </c>
      <c r="B1865" t="s">
        <v>126</v>
      </c>
      <c r="C1865" t="s">
        <v>31</v>
      </c>
      <c r="D1865" t="str">
        <f t="shared" si="87"/>
        <v>Afternoon</v>
      </c>
      <c r="E1865">
        <f>HOUR(EV_Data[[#This Row],[Charging Start Time]])</f>
        <v>15</v>
      </c>
      <c r="F1865" s="1">
        <v>45004.625</v>
      </c>
      <c r="G1865" s="1">
        <v>45004.679861111108</v>
      </c>
      <c r="H1865">
        <v>79</v>
      </c>
      <c r="I1865">
        <v>34.909999999999997</v>
      </c>
      <c r="J1865" t="str">
        <f t="shared" si="88"/>
        <v>Medium</v>
      </c>
      <c r="K1865" t="s">
        <v>55</v>
      </c>
      <c r="L1865">
        <v>30</v>
      </c>
      <c r="M1865">
        <v>66</v>
      </c>
      <c r="N1865" t="str">
        <f t="shared" si="89"/>
        <v>Medium Cost</v>
      </c>
      <c r="O1865">
        <v>12.73</v>
      </c>
      <c r="P1865" t="s">
        <v>33</v>
      </c>
      <c r="Q1865" t="s">
        <v>48</v>
      </c>
      <c r="R1865" t="s">
        <v>35</v>
      </c>
      <c r="S1865" t="s">
        <v>1123</v>
      </c>
      <c r="T1865" t="s">
        <v>37</v>
      </c>
      <c r="U1865">
        <v>18</v>
      </c>
      <c r="V1865">
        <v>3.6</v>
      </c>
      <c r="W1865" t="s">
        <v>28</v>
      </c>
      <c r="X1865" t="s">
        <v>68</v>
      </c>
    </row>
    <row r="1866" spans="1:24" x14ac:dyDescent="0.3">
      <c r="A1866" t="s">
        <v>3142</v>
      </c>
      <c r="B1866" t="s">
        <v>53</v>
      </c>
      <c r="C1866" t="s">
        <v>54</v>
      </c>
      <c r="D1866" t="str">
        <f t="shared" si="87"/>
        <v>Afternoon</v>
      </c>
      <c r="E1866">
        <f>HOUR(EV_Data[[#This Row],[Charging Start Time]])</f>
        <v>16</v>
      </c>
      <c r="F1866" s="1">
        <v>45004.666666666664</v>
      </c>
      <c r="G1866" s="1">
        <v>45004.701388888891</v>
      </c>
      <c r="H1866">
        <v>50</v>
      </c>
      <c r="I1866">
        <v>14.1</v>
      </c>
      <c r="J1866" t="str">
        <f t="shared" si="88"/>
        <v>Low</v>
      </c>
      <c r="K1866" t="s">
        <v>42</v>
      </c>
      <c r="L1866">
        <v>10</v>
      </c>
      <c r="M1866">
        <v>25</v>
      </c>
      <c r="N1866" t="str">
        <f t="shared" si="89"/>
        <v>Low Cost</v>
      </c>
      <c r="O1866">
        <v>5.77</v>
      </c>
      <c r="P1866" t="s">
        <v>43</v>
      </c>
      <c r="Q1866" t="s">
        <v>48</v>
      </c>
      <c r="R1866" t="s">
        <v>44</v>
      </c>
      <c r="S1866" t="s">
        <v>1236</v>
      </c>
      <c r="T1866" t="s">
        <v>27</v>
      </c>
      <c r="U1866">
        <v>29</v>
      </c>
      <c r="V1866">
        <v>1.1000000000000001</v>
      </c>
      <c r="W1866" t="s">
        <v>28</v>
      </c>
      <c r="X1866" t="s">
        <v>68</v>
      </c>
    </row>
    <row r="1867" spans="1:24" x14ac:dyDescent="0.3">
      <c r="A1867" t="s">
        <v>3143</v>
      </c>
      <c r="B1867" t="s">
        <v>92</v>
      </c>
      <c r="C1867" t="s">
        <v>93</v>
      </c>
      <c r="D1867" t="str">
        <f t="shared" si="87"/>
        <v>Evening</v>
      </c>
      <c r="E1867">
        <f>HOUR(EV_Data[[#This Row],[Charging Start Time]])</f>
        <v>17</v>
      </c>
      <c r="F1867" s="1">
        <v>45004.708333333336</v>
      </c>
      <c r="G1867" s="1">
        <v>45004.729166666657</v>
      </c>
      <c r="H1867">
        <v>30</v>
      </c>
      <c r="I1867">
        <v>10.27</v>
      </c>
      <c r="J1867" t="str">
        <f t="shared" si="88"/>
        <v>Low</v>
      </c>
      <c r="K1867" t="s">
        <v>32</v>
      </c>
      <c r="L1867">
        <v>24</v>
      </c>
      <c r="M1867">
        <v>39</v>
      </c>
      <c r="N1867" t="str">
        <f t="shared" si="89"/>
        <v>Low Cost</v>
      </c>
      <c r="O1867">
        <v>2.27</v>
      </c>
      <c r="P1867" t="s">
        <v>33</v>
      </c>
      <c r="Q1867" t="s">
        <v>34</v>
      </c>
      <c r="R1867" t="s">
        <v>56</v>
      </c>
      <c r="S1867" t="s">
        <v>595</v>
      </c>
      <c r="T1867" t="s">
        <v>60</v>
      </c>
      <c r="U1867">
        <v>73</v>
      </c>
      <c r="V1867">
        <v>3.5</v>
      </c>
      <c r="W1867" t="s">
        <v>47</v>
      </c>
      <c r="X1867" t="s">
        <v>29</v>
      </c>
    </row>
    <row r="1868" spans="1:24" x14ac:dyDescent="0.3">
      <c r="A1868" t="s">
        <v>3144</v>
      </c>
      <c r="B1868" t="s">
        <v>77</v>
      </c>
      <c r="C1868" t="s">
        <v>78</v>
      </c>
      <c r="D1868" t="str">
        <f t="shared" si="87"/>
        <v>Evening</v>
      </c>
      <c r="E1868">
        <f>HOUR(EV_Data[[#This Row],[Charging Start Time]])</f>
        <v>18</v>
      </c>
      <c r="F1868" s="1">
        <v>45004.75</v>
      </c>
      <c r="G1868" s="1">
        <v>45004.792361111111</v>
      </c>
      <c r="H1868">
        <v>61</v>
      </c>
      <c r="I1868">
        <v>39.64</v>
      </c>
      <c r="J1868" t="str">
        <f t="shared" si="88"/>
        <v>Medium</v>
      </c>
      <c r="K1868" t="s">
        <v>32</v>
      </c>
      <c r="L1868">
        <v>28</v>
      </c>
      <c r="M1868">
        <v>50</v>
      </c>
      <c r="N1868" t="str">
        <f t="shared" si="89"/>
        <v>Medium Cost</v>
      </c>
      <c r="O1868">
        <v>10.91</v>
      </c>
      <c r="P1868" t="s">
        <v>33</v>
      </c>
      <c r="Q1868" t="s">
        <v>24</v>
      </c>
      <c r="R1868" t="s">
        <v>44</v>
      </c>
      <c r="S1868" t="s">
        <v>1237</v>
      </c>
      <c r="T1868" t="s">
        <v>27</v>
      </c>
      <c r="U1868">
        <v>62</v>
      </c>
      <c r="V1868">
        <v>2.5</v>
      </c>
      <c r="W1868" t="s">
        <v>28</v>
      </c>
      <c r="X1868" t="s">
        <v>68</v>
      </c>
    </row>
    <row r="1869" spans="1:24" x14ac:dyDescent="0.3">
      <c r="A1869" t="s">
        <v>3145</v>
      </c>
      <c r="B1869" t="s">
        <v>126</v>
      </c>
      <c r="C1869" t="s">
        <v>31</v>
      </c>
      <c r="D1869" t="str">
        <f t="shared" si="87"/>
        <v>Evening</v>
      </c>
      <c r="E1869">
        <f>HOUR(EV_Data[[#This Row],[Charging Start Time]])</f>
        <v>19</v>
      </c>
      <c r="F1869" s="1">
        <v>45004.791666666664</v>
      </c>
      <c r="G1869" s="1">
        <v>45004.824305555558</v>
      </c>
      <c r="H1869">
        <v>47</v>
      </c>
      <c r="I1869">
        <v>32.5</v>
      </c>
      <c r="J1869" t="str">
        <f t="shared" si="88"/>
        <v>Medium</v>
      </c>
      <c r="K1869" t="s">
        <v>22</v>
      </c>
      <c r="L1869">
        <v>37</v>
      </c>
      <c r="M1869">
        <v>67</v>
      </c>
      <c r="N1869" t="str">
        <f t="shared" si="89"/>
        <v>Medium Cost</v>
      </c>
      <c r="O1869">
        <v>8.08</v>
      </c>
      <c r="P1869" t="s">
        <v>33</v>
      </c>
      <c r="Q1869" t="s">
        <v>24</v>
      </c>
      <c r="R1869" t="s">
        <v>25</v>
      </c>
      <c r="S1869" t="s">
        <v>895</v>
      </c>
      <c r="T1869" t="s">
        <v>37</v>
      </c>
      <c r="U1869">
        <v>3</v>
      </c>
      <c r="V1869">
        <v>3.8</v>
      </c>
      <c r="W1869" t="s">
        <v>38</v>
      </c>
      <c r="X1869" t="s">
        <v>62</v>
      </c>
    </row>
    <row r="1870" spans="1:24" x14ac:dyDescent="0.3">
      <c r="A1870" t="s">
        <v>3146</v>
      </c>
      <c r="B1870" t="s">
        <v>40</v>
      </c>
      <c r="C1870" t="s">
        <v>41</v>
      </c>
      <c r="D1870" t="str">
        <f t="shared" si="87"/>
        <v>Evening</v>
      </c>
      <c r="E1870">
        <f>HOUR(EV_Data[[#This Row],[Charging Start Time]])</f>
        <v>20</v>
      </c>
      <c r="F1870" s="1">
        <v>45004.833333333336</v>
      </c>
      <c r="G1870" s="1">
        <v>45004.864583333343</v>
      </c>
      <c r="H1870">
        <v>45</v>
      </c>
      <c r="I1870">
        <v>49.75</v>
      </c>
      <c r="J1870" t="str">
        <f t="shared" si="88"/>
        <v>Medium</v>
      </c>
      <c r="K1870" t="s">
        <v>50</v>
      </c>
      <c r="L1870">
        <v>22</v>
      </c>
      <c r="M1870">
        <v>39</v>
      </c>
      <c r="N1870" t="str">
        <f t="shared" si="89"/>
        <v>Medium Cost</v>
      </c>
      <c r="O1870">
        <v>14.35</v>
      </c>
      <c r="P1870" t="s">
        <v>51</v>
      </c>
      <c r="Q1870" t="s">
        <v>58</v>
      </c>
      <c r="R1870" t="s">
        <v>56</v>
      </c>
      <c r="S1870" t="s">
        <v>777</v>
      </c>
      <c r="T1870" t="s">
        <v>60</v>
      </c>
      <c r="U1870">
        <v>15</v>
      </c>
      <c r="V1870">
        <v>3.5</v>
      </c>
      <c r="W1870" t="s">
        <v>28</v>
      </c>
      <c r="X1870" t="s">
        <v>68</v>
      </c>
    </row>
    <row r="1871" spans="1:24" x14ac:dyDescent="0.3">
      <c r="A1871" t="s">
        <v>3147</v>
      </c>
      <c r="B1871" t="s">
        <v>71</v>
      </c>
      <c r="C1871" t="s">
        <v>72</v>
      </c>
      <c r="D1871" t="str">
        <f t="shared" si="87"/>
        <v>Evening</v>
      </c>
      <c r="E1871">
        <f>HOUR(EV_Data[[#This Row],[Charging Start Time]])</f>
        <v>21</v>
      </c>
      <c r="F1871" s="1">
        <v>45004.875</v>
      </c>
      <c r="G1871" s="1">
        <v>45004.90625</v>
      </c>
      <c r="H1871">
        <v>45</v>
      </c>
      <c r="I1871">
        <v>46.89</v>
      </c>
      <c r="J1871" t="str">
        <f t="shared" si="88"/>
        <v>Medium</v>
      </c>
      <c r="K1871" t="s">
        <v>50</v>
      </c>
      <c r="L1871">
        <v>71</v>
      </c>
      <c r="M1871">
        <v>87</v>
      </c>
      <c r="N1871" t="str">
        <f t="shared" si="89"/>
        <v>Medium Cost</v>
      </c>
      <c r="O1871">
        <v>12.67</v>
      </c>
      <c r="P1871" t="s">
        <v>51</v>
      </c>
      <c r="Q1871" t="s">
        <v>48</v>
      </c>
      <c r="R1871" t="s">
        <v>44</v>
      </c>
      <c r="S1871" t="s">
        <v>491</v>
      </c>
      <c r="T1871" t="s">
        <v>60</v>
      </c>
      <c r="U1871">
        <v>73</v>
      </c>
      <c r="V1871">
        <v>2.1</v>
      </c>
      <c r="W1871" t="s">
        <v>47</v>
      </c>
      <c r="X1871" t="s">
        <v>29</v>
      </c>
    </row>
    <row r="1872" spans="1:24" x14ac:dyDescent="0.3">
      <c r="A1872" t="s">
        <v>3148</v>
      </c>
      <c r="B1872" t="s">
        <v>53</v>
      </c>
      <c r="C1872" t="s">
        <v>54</v>
      </c>
      <c r="D1872" t="str">
        <f t="shared" si="87"/>
        <v>Evening</v>
      </c>
      <c r="E1872">
        <f>HOUR(EV_Data[[#This Row],[Charging Start Time]])</f>
        <v>22</v>
      </c>
      <c r="F1872" s="1">
        <v>45004.916666666664</v>
      </c>
      <c r="G1872" s="1">
        <v>45004.987500000003</v>
      </c>
      <c r="H1872">
        <v>102</v>
      </c>
      <c r="I1872">
        <v>11.26</v>
      </c>
      <c r="J1872" t="str">
        <f t="shared" si="88"/>
        <v>Low</v>
      </c>
      <c r="K1872" t="s">
        <v>69</v>
      </c>
      <c r="L1872">
        <v>58</v>
      </c>
      <c r="M1872">
        <v>83</v>
      </c>
      <c r="N1872" t="str">
        <f t="shared" si="89"/>
        <v>Low Cost</v>
      </c>
      <c r="O1872">
        <v>2.27</v>
      </c>
      <c r="P1872" t="s">
        <v>23</v>
      </c>
      <c r="Q1872" t="s">
        <v>58</v>
      </c>
      <c r="R1872" t="s">
        <v>56</v>
      </c>
      <c r="S1872" t="s">
        <v>1238</v>
      </c>
      <c r="T1872" t="s">
        <v>37</v>
      </c>
      <c r="U1872">
        <v>68</v>
      </c>
      <c r="V1872">
        <v>4.5999999999999996</v>
      </c>
      <c r="W1872" t="s">
        <v>38</v>
      </c>
    </row>
    <row r="1873" spans="1:24" x14ac:dyDescent="0.3">
      <c r="A1873" t="s">
        <v>3149</v>
      </c>
      <c r="B1873" t="s">
        <v>92</v>
      </c>
      <c r="C1873" t="s">
        <v>93</v>
      </c>
      <c r="D1873" t="str">
        <f t="shared" si="87"/>
        <v>Evening</v>
      </c>
      <c r="E1873">
        <f>HOUR(EV_Data[[#This Row],[Charging Start Time]])</f>
        <v>23</v>
      </c>
      <c r="F1873" s="1">
        <v>45004.958333333336</v>
      </c>
      <c r="G1873" s="1">
        <v>45004.993750000001</v>
      </c>
      <c r="H1873">
        <v>51</v>
      </c>
      <c r="I1873">
        <v>16.079999999999998</v>
      </c>
      <c r="J1873" t="str">
        <f t="shared" si="88"/>
        <v>Low</v>
      </c>
      <c r="K1873" t="s">
        <v>50</v>
      </c>
      <c r="L1873">
        <v>74</v>
      </c>
      <c r="M1873">
        <v>100</v>
      </c>
      <c r="N1873" t="str">
        <f t="shared" si="89"/>
        <v>Low Cost</v>
      </c>
      <c r="O1873">
        <v>5.5</v>
      </c>
      <c r="P1873" t="s">
        <v>33</v>
      </c>
      <c r="Q1873" t="s">
        <v>24</v>
      </c>
      <c r="R1873" t="s">
        <v>25</v>
      </c>
      <c r="S1873" t="s">
        <v>1239</v>
      </c>
      <c r="T1873" t="s">
        <v>46</v>
      </c>
      <c r="U1873">
        <v>45</v>
      </c>
      <c r="V1873">
        <v>1.6</v>
      </c>
      <c r="W1873" t="s">
        <v>47</v>
      </c>
      <c r="X1873" t="s">
        <v>29</v>
      </c>
    </row>
    <row r="1874" spans="1:24" x14ac:dyDescent="0.3">
      <c r="A1874" t="s">
        <v>3150</v>
      </c>
      <c r="B1874" t="s">
        <v>77</v>
      </c>
      <c r="C1874" t="s">
        <v>78</v>
      </c>
      <c r="D1874" t="str">
        <f t="shared" si="87"/>
        <v>Morning</v>
      </c>
      <c r="E1874">
        <f>HOUR(EV_Data[[#This Row],[Charging Start Time]])</f>
        <v>0</v>
      </c>
      <c r="F1874" s="1">
        <v>45005</v>
      </c>
      <c r="G1874" s="1">
        <v>45005.041666666657</v>
      </c>
      <c r="H1874">
        <v>60</v>
      </c>
      <c r="I1874">
        <v>11.41</v>
      </c>
      <c r="J1874" t="str">
        <f t="shared" si="88"/>
        <v>Low</v>
      </c>
      <c r="K1874" t="s">
        <v>55</v>
      </c>
      <c r="L1874">
        <v>77</v>
      </c>
      <c r="M1874">
        <v>100</v>
      </c>
      <c r="N1874" t="str">
        <f t="shared" si="89"/>
        <v>Low Cost</v>
      </c>
      <c r="O1874">
        <v>3.15</v>
      </c>
      <c r="P1874" t="s">
        <v>51</v>
      </c>
      <c r="Q1874" t="s">
        <v>58</v>
      </c>
      <c r="R1874" t="s">
        <v>44</v>
      </c>
      <c r="S1874" t="s">
        <v>1240</v>
      </c>
      <c r="T1874" t="s">
        <v>37</v>
      </c>
      <c r="U1874">
        <v>5</v>
      </c>
      <c r="V1874">
        <v>3.6</v>
      </c>
      <c r="W1874" t="s">
        <v>47</v>
      </c>
      <c r="X1874" t="s">
        <v>29</v>
      </c>
    </row>
    <row r="1875" spans="1:24" x14ac:dyDescent="0.3">
      <c r="A1875" t="s">
        <v>3151</v>
      </c>
      <c r="B1875" t="s">
        <v>126</v>
      </c>
      <c r="C1875" t="s">
        <v>31</v>
      </c>
      <c r="D1875" t="str">
        <f t="shared" si="87"/>
        <v>Morning</v>
      </c>
      <c r="E1875">
        <f>HOUR(EV_Data[[#This Row],[Charging Start Time]])</f>
        <v>1</v>
      </c>
      <c r="F1875" s="1">
        <v>45005.041666666664</v>
      </c>
      <c r="G1875" s="1">
        <v>45005.054861111108</v>
      </c>
      <c r="H1875">
        <v>19</v>
      </c>
      <c r="I1875">
        <v>46.45</v>
      </c>
      <c r="J1875" t="str">
        <f t="shared" si="88"/>
        <v>Medium</v>
      </c>
      <c r="K1875" t="s">
        <v>22</v>
      </c>
      <c r="L1875">
        <v>67</v>
      </c>
      <c r="M1875">
        <v>100</v>
      </c>
      <c r="N1875" t="str">
        <f t="shared" si="89"/>
        <v>Medium Cost</v>
      </c>
      <c r="O1875">
        <v>16.05</v>
      </c>
      <c r="P1875" t="s">
        <v>51</v>
      </c>
      <c r="Q1875" t="s">
        <v>48</v>
      </c>
      <c r="R1875" t="s">
        <v>44</v>
      </c>
      <c r="S1875" t="s">
        <v>906</v>
      </c>
      <c r="T1875" t="s">
        <v>27</v>
      </c>
      <c r="U1875">
        <v>70</v>
      </c>
      <c r="V1875">
        <v>3.1</v>
      </c>
      <c r="W1875" t="s">
        <v>28</v>
      </c>
      <c r="X1875" t="s">
        <v>68</v>
      </c>
    </row>
    <row r="1876" spans="1:24" x14ac:dyDescent="0.3">
      <c r="A1876" t="s">
        <v>3152</v>
      </c>
      <c r="B1876" t="s">
        <v>40</v>
      </c>
      <c r="C1876" t="s">
        <v>41</v>
      </c>
      <c r="D1876" t="str">
        <f t="shared" si="87"/>
        <v>Morning</v>
      </c>
      <c r="E1876">
        <f>HOUR(EV_Data[[#This Row],[Charging Start Time]])</f>
        <v>2</v>
      </c>
      <c r="F1876" s="1">
        <v>45005.083333333336</v>
      </c>
      <c r="G1876" s="1">
        <v>45005.12777777778</v>
      </c>
      <c r="H1876">
        <v>64</v>
      </c>
      <c r="I1876">
        <v>35.840000000000003</v>
      </c>
      <c r="J1876" t="str">
        <f t="shared" si="88"/>
        <v>Medium</v>
      </c>
      <c r="K1876" t="s">
        <v>42</v>
      </c>
      <c r="L1876">
        <v>11</v>
      </c>
      <c r="M1876">
        <v>36</v>
      </c>
      <c r="N1876" t="str">
        <f t="shared" si="89"/>
        <v>Low Cost</v>
      </c>
      <c r="O1876">
        <v>7.87</v>
      </c>
      <c r="P1876" t="s">
        <v>23</v>
      </c>
      <c r="Q1876" t="s">
        <v>48</v>
      </c>
      <c r="R1876" t="s">
        <v>35</v>
      </c>
      <c r="S1876" t="s">
        <v>685</v>
      </c>
      <c r="T1876" t="s">
        <v>46</v>
      </c>
      <c r="U1876">
        <v>6</v>
      </c>
      <c r="V1876">
        <v>4.2</v>
      </c>
      <c r="W1876" t="s">
        <v>47</v>
      </c>
      <c r="X1876" t="s">
        <v>29</v>
      </c>
    </row>
    <row r="1877" spans="1:24" x14ac:dyDescent="0.3">
      <c r="A1877" t="s">
        <v>3153</v>
      </c>
      <c r="B1877" t="s">
        <v>40</v>
      </c>
      <c r="C1877" t="s">
        <v>41</v>
      </c>
      <c r="D1877" t="str">
        <f t="shared" si="87"/>
        <v>Morning</v>
      </c>
      <c r="E1877">
        <f>HOUR(EV_Data[[#This Row],[Charging Start Time]])</f>
        <v>3</v>
      </c>
      <c r="F1877" s="1">
        <v>45005.125</v>
      </c>
      <c r="G1877" s="1">
        <v>45005.134027777778</v>
      </c>
      <c r="H1877">
        <v>13</v>
      </c>
      <c r="I1877">
        <v>45.7</v>
      </c>
      <c r="J1877" t="str">
        <f t="shared" si="88"/>
        <v>Medium</v>
      </c>
      <c r="K1877" t="s">
        <v>50</v>
      </c>
      <c r="L1877">
        <v>56</v>
      </c>
      <c r="M1877">
        <v>96</v>
      </c>
      <c r="N1877" t="str">
        <f t="shared" si="89"/>
        <v>Medium Cost</v>
      </c>
      <c r="O1877">
        <v>12.02</v>
      </c>
      <c r="P1877" t="s">
        <v>23</v>
      </c>
      <c r="Q1877" t="s">
        <v>24</v>
      </c>
      <c r="R1877" t="s">
        <v>56</v>
      </c>
      <c r="S1877" t="s">
        <v>1241</v>
      </c>
      <c r="T1877" t="s">
        <v>46</v>
      </c>
      <c r="U1877">
        <v>47</v>
      </c>
      <c r="V1877">
        <v>1.6</v>
      </c>
      <c r="W1877" t="s">
        <v>28</v>
      </c>
      <c r="X1877" t="s">
        <v>68</v>
      </c>
    </row>
    <row r="1878" spans="1:24" x14ac:dyDescent="0.3">
      <c r="A1878" t="s">
        <v>3154</v>
      </c>
      <c r="B1878" t="s">
        <v>40</v>
      </c>
      <c r="C1878" t="s">
        <v>41</v>
      </c>
      <c r="D1878" t="str">
        <f t="shared" si="87"/>
        <v>Morning</v>
      </c>
      <c r="E1878">
        <f>HOUR(EV_Data[[#This Row],[Charging Start Time]])</f>
        <v>4</v>
      </c>
      <c r="F1878" s="1">
        <v>45005.166666666664</v>
      </c>
      <c r="G1878" s="1">
        <v>45005.197222222218</v>
      </c>
      <c r="H1878">
        <v>44</v>
      </c>
      <c r="I1878">
        <v>15.63</v>
      </c>
      <c r="J1878" t="str">
        <f t="shared" si="88"/>
        <v>Low</v>
      </c>
      <c r="K1878" t="s">
        <v>50</v>
      </c>
      <c r="L1878">
        <v>33</v>
      </c>
      <c r="M1878">
        <v>72</v>
      </c>
      <c r="N1878" t="str">
        <f t="shared" si="89"/>
        <v>Low Cost</v>
      </c>
      <c r="O1878">
        <v>6.24</v>
      </c>
      <c r="P1878" t="s">
        <v>51</v>
      </c>
      <c r="Q1878" t="s">
        <v>48</v>
      </c>
      <c r="R1878" t="s">
        <v>44</v>
      </c>
      <c r="S1878" t="s">
        <v>1226</v>
      </c>
      <c r="T1878" t="s">
        <v>46</v>
      </c>
      <c r="U1878">
        <v>86</v>
      </c>
      <c r="V1878">
        <v>1.2</v>
      </c>
      <c r="W1878" t="s">
        <v>28</v>
      </c>
      <c r="X1878" t="s">
        <v>68</v>
      </c>
    </row>
    <row r="1879" spans="1:24" x14ac:dyDescent="0.3">
      <c r="A1879" t="s">
        <v>3155</v>
      </c>
      <c r="B1879" t="s">
        <v>30</v>
      </c>
      <c r="C1879" t="s">
        <v>102</v>
      </c>
      <c r="D1879" t="str">
        <f t="shared" si="87"/>
        <v>Morning</v>
      </c>
      <c r="E1879">
        <f>HOUR(EV_Data[[#This Row],[Charging Start Time]])</f>
        <v>5</v>
      </c>
      <c r="F1879" s="1">
        <v>45005.208333333336</v>
      </c>
      <c r="G1879" s="1">
        <v>45005.209027777782</v>
      </c>
      <c r="H1879">
        <v>1</v>
      </c>
      <c r="I1879">
        <v>29.28</v>
      </c>
      <c r="J1879" t="str">
        <f t="shared" si="88"/>
        <v>Medium</v>
      </c>
      <c r="K1879" t="s">
        <v>22</v>
      </c>
      <c r="L1879">
        <v>39</v>
      </c>
      <c r="M1879">
        <v>66</v>
      </c>
      <c r="N1879" t="str">
        <f t="shared" si="89"/>
        <v>Medium Cost</v>
      </c>
      <c r="O1879">
        <v>13.19</v>
      </c>
      <c r="P1879" t="s">
        <v>51</v>
      </c>
      <c r="Q1879" t="s">
        <v>48</v>
      </c>
      <c r="R1879" t="s">
        <v>56</v>
      </c>
      <c r="S1879" t="s">
        <v>471</v>
      </c>
      <c r="T1879" t="s">
        <v>60</v>
      </c>
      <c r="U1879">
        <v>6</v>
      </c>
      <c r="V1879">
        <v>2.5</v>
      </c>
      <c r="W1879" t="s">
        <v>38</v>
      </c>
    </row>
    <row r="1880" spans="1:24" x14ac:dyDescent="0.3">
      <c r="A1880" t="s">
        <v>3156</v>
      </c>
      <c r="B1880" t="s">
        <v>40</v>
      </c>
      <c r="C1880" t="s">
        <v>41</v>
      </c>
      <c r="D1880" t="str">
        <f t="shared" si="87"/>
        <v>Morning</v>
      </c>
      <c r="E1880">
        <f>HOUR(EV_Data[[#This Row],[Charging Start Time]])</f>
        <v>6</v>
      </c>
      <c r="F1880" s="1">
        <v>45005.25</v>
      </c>
      <c r="G1880" s="1">
        <v>45005.280555555553</v>
      </c>
      <c r="H1880">
        <v>44</v>
      </c>
      <c r="I1880">
        <v>39.17</v>
      </c>
      <c r="J1880" t="str">
        <f t="shared" si="88"/>
        <v>Medium</v>
      </c>
      <c r="K1880" t="s">
        <v>42</v>
      </c>
      <c r="L1880">
        <v>36</v>
      </c>
      <c r="M1880">
        <v>72</v>
      </c>
      <c r="N1880" t="str">
        <f t="shared" si="89"/>
        <v>Medium Cost</v>
      </c>
      <c r="O1880">
        <v>11.3</v>
      </c>
      <c r="P1880" t="s">
        <v>43</v>
      </c>
      <c r="Q1880" t="s">
        <v>58</v>
      </c>
      <c r="R1880" t="s">
        <v>56</v>
      </c>
      <c r="S1880" t="s">
        <v>1242</v>
      </c>
      <c r="T1880" t="s">
        <v>27</v>
      </c>
      <c r="U1880">
        <v>57</v>
      </c>
      <c r="V1880">
        <v>4.7</v>
      </c>
      <c r="W1880" t="s">
        <v>28</v>
      </c>
      <c r="X1880" t="s">
        <v>68</v>
      </c>
    </row>
    <row r="1881" spans="1:24" x14ac:dyDescent="0.3">
      <c r="A1881" t="s">
        <v>3157</v>
      </c>
      <c r="B1881" t="s">
        <v>126</v>
      </c>
      <c r="C1881" t="s">
        <v>31</v>
      </c>
      <c r="D1881" t="str">
        <f t="shared" si="87"/>
        <v>Morning</v>
      </c>
      <c r="E1881">
        <f>HOUR(EV_Data[[#This Row],[Charging Start Time]])</f>
        <v>7</v>
      </c>
      <c r="F1881" s="1">
        <v>45005.291666666664</v>
      </c>
      <c r="G1881" s="1">
        <v>45005.331250000003</v>
      </c>
      <c r="H1881">
        <v>57</v>
      </c>
      <c r="I1881">
        <v>44.13</v>
      </c>
      <c r="J1881" t="str">
        <f t="shared" si="88"/>
        <v>Medium</v>
      </c>
      <c r="K1881" t="s">
        <v>69</v>
      </c>
      <c r="L1881">
        <v>26</v>
      </c>
      <c r="M1881">
        <v>37</v>
      </c>
      <c r="N1881" t="str">
        <f t="shared" si="89"/>
        <v>Medium Cost</v>
      </c>
      <c r="O1881">
        <v>13.15</v>
      </c>
      <c r="P1881" t="s">
        <v>51</v>
      </c>
      <c r="Q1881" t="s">
        <v>58</v>
      </c>
      <c r="R1881" t="s">
        <v>44</v>
      </c>
      <c r="S1881" t="s">
        <v>1243</v>
      </c>
      <c r="T1881" t="s">
        <v>60</v>
      </c>
      <c r="U1881">
        <v>10</v>
      </c>
      <c r="V1881">
        <v>3</v>
      </c>
      <c r="W1881" t="s">
        <v>38</v>
      </c>
      <c r="X1881" t="s">
        <v>62</v>
      </c>
    </row>
    <row r="1882" spans="1:24" x14ac:dyDescent="0.3">
      <c r="A1882" t="s">
        <v>3158</v>
      </c>
      <c r="B1882" t="s">
        <v>30</v>
      </c>
      <c r="C1882" t="s">
        <v>102</v>
      </c>
      <c r="D1882" t="str">
        <f t="shared" si="87"/>
        <v>Morning</v>
      </c>
      <c r="E1882">
        <f>HOUR(EV_Data[[#This Row],[Charging Start Time]])</f>
        <v>8</v>
      </c>
      <c r="F1882" s="1">
        <v>45005.333333333336</v>
      </c>
      <c r="G1882" s="1">
        <v>45005.354861111111</v>
      </c>
      <c r="H1882">
        <v>31</v>
      </c>
      <c r="I1882">
        <v>10.43</v>
      </c>
      <c r="J1882" t="str">
        <f t="shared" si="88"/>
        <v>Low</v>
      </c>
      <c r="K1882" t="s">
        <v>55</v>
      </c>
      <c r="L1882">
        <v>18</v>
      </c>
      <c r="M1882">
        <v>44</v>
      </c>
      <c r="N1882" t="str">
        <f t="shared" si="89"/>
        <v>Low Cost</v>
      </c>
      <c r="O1882">
        <v>5.03</v>
      </c>
      <c r="P1882" t="s">
        <v>43</v>
      </c>
      <c r="Q1882" t="s">
        <v>24</v>
      </c>
      <c r="R1882" t="s">
        <v>44</v>
      </c>
      <c r="S1882" t="s">
        <v>1244</v>
      </c>
      <c r="T1882" t="s">
        <v>37</v>
      </c>
      <c r="U1882">
        <v>47</v>
      </c>
      <c r="V1882">
        <v>3.6</v>
      </c>
      <c r="W1882" t="s">
        <v>47</v>
      </c>
      <c r="X1882" t="s">
        <v>29</v>
      </c>
    </row>
    <row r="1883" spans="1:24" x14ac:dyDescent="0.3">
      <c r="A1883" t="s">
        <v>3159</v>
      </c>
      <c r="B1883" t="s">
        <v>71</v>
      </c>
      <c r="C1883" t="s">
        <v>72</v>
      </c>
      <c r="D1883" t="str">
        <f t="shared" si="87"/>
        <v>Morning</v>
      </c>
      <c r="E1883">
        <f>HOUR(EV_Data[[#This Row],[Charging Start Time]])</f>
        <v>9</v>
      </c>
      <c r="F1883" s="1">
        <v>45005.375</v>
      </c>
      <c r="G1883" s="1">
        <v>45005.425694444442</v>
      </c>
      <c r="H1883">
        <v>73</v>
      </c>
      <c r="I1883">
        <v>15.24</v>
      </c>
      <c r="J1883" t="str">
        <f t="shared" si="88"/>
        <v>Low</v>
      </c>
      <c r="K1883" t="s">
        <v>22</v>
      </c>
      <c r="L1883">
        <v>47</v>
      </c>
      <c r="M1883">
        <v>80</v>
      </c>
      <c r="N1883" t="str">
        <f t="shared" si="89"/>
        <v>Low Cost</v>
      </c>
      <c r="O1883">
        <v>5.4</v>
      </c>
      <c r="P1883" t="s">
        <v>23</v>
      </c>
      <c r="Q1883" t="s">
        <v>48</v>
      </c>
      <c r="R1883" t="s">
        <v>35</v>
      </c>
      <c r="S1883" t="s">
        <v>887</v>
      </c>
      <c r="T1883" t="s">
        <v>60</v>
      </c>
      <c r="U1883">
        <v>65</v>
      </c>
      <c r="V1883">
        <v>2</v>
      </c>
      <c r="W1883" t="s">
        <v>38</v>
      </c>
      <c r="X1883" t="s">
        <v>39</v>
      </c>
    </row>
    <row r="1884" spans="1:24" x14ac:dyDescent="0.3">
      <c r="A1884" t="s">
        <v>3160</v>
      </c>
      <c r="B1884" t="s">
        <v>92</v>
      </c>
      <c r="C1884" t="s">
        <v>93</v>
      </c>
      <c r="D1884" t="str">
        <f t="shared" si="87"/>
        <v>Morning</v>
      </c>
      <c r="E1884">
        <f>HOUR(EV_Data[[#This Row],[Charging Start Time]])</f>
        <v>10</v>
      </c>
      <c r="F1884" s="1">
        <v>45005.416666666664</v>
      </c>
      <c r="G1884" s="1">
        <v>45005.435416666667</v>
      </c>
      <c r="H1884">
        <v>27</v>
      </c>
      <c r="I1884">
        <v>36.369999999999997</v>
      </c>
      <c r="J1884" t="str">
        <f t="shared" si="88"/>
        <v>Medium</v>
      </c>
      <c r="K1884" t="s">
        <v>42</v>
      </c>
      <c r="L1884">
        <v>23</v>
      </c>
      <c r="M1884">
        <v>55</v>
      </c>
      <c r="N1884" t="str">
        <f t="shared" si="89"/>
        <v>Medium Cost</v>
      </c>
      <c r="O1884">
        <v>10.79</v>
      </c>
      <c r="P1884" t="s">
        <v>33</v>
      </c>
      <c r="Q1884" t="s">
        <v>58</v>
      </c>
      <c r="R1884" t="s">
        <v>44</v>
      </c>
      <c r="S1884" t="s">
        <v>1171</v>
      </c>
      <c r="T1884" t="s">
        <v>37</v>
      </c>
      <c r="U1884">
        <v>75</v>
      </c>
      <c r="V1884">
        <v>2.9</v>
      </c>
      <c r="W1884" t="s">
        <v>28</v>
      </c>
      <c r="X1884" t="s">
        <v>68</v>
      </c>
    </row>
    <row r="1885" spans="1:24" x14ac:dyDescent="0.3">
      <c r="A1885" t="s">
        <v>3161</v>
      </c>
      <c r="B1885" t="s">
        <v>40</v>
      </c>
      <c r="C1885" t="s">
        <v>41</v>
      </c>
      <c r="D1885" t="str">
        <f t="shared" si="87"/>
        <v>Morning</v>
      </c>
      <c r="E1885">
        <f>HOUR(EV_Data[[#This Row],[Charging Start Time]])</f>
        <v>11</v>
      </c>
      <c r="F1885" s="1">
        <v>45005.458333333336</v>
      </c>
      <c r="G1885" s="1">
        <v>45005.495833333327</v>
      </c>
      <c r="H1885">
        <v>54</v>
      </c>
      <c r="I1885">
        <v>35.39</v>
      </c>
      <c r="J1885" t="str">
        <f t="shared" si="88"/>
        <v>Medium</v>
      </c>
      <c r="K1885" t="s">
        <v>50</v>
      </c>
      <c r="L1885">
        <v>36</v>
      </c>
      <c r="M1885">
        <v>74</v>
      </c>
      <c r="N1885" t="str">
        <f t="shared" si="89"/>
        <v>Medium Cost</v>
      </c>
      <c r="O1885">
        <v>13.42</v>
      </c>
      <c r="P1885" t="s">
        <v>64</v>
      </c>
      <c r="Q1885" t="s">
        <v>48</v>
      </c>
      <c r="R1885" t="s">
        <v>25</v>
      </c>
      <c r="S1885" t="s">
        <v>119</v>
      </c>
      <c r="T1885" t="s">
        <v>37</v>
      </c>
      <c r="U1885">
        <v>30</v>
      </c>
      <c r="V1885">
        <v>4.3</v>
      </c>
      <c r="W1885" t="s">
        <v>38</v>
      </c>
      <c r="X1885" t="s">
        <v>83</v>
      </c>
    </row>
    <row r="1886" spans="1:24" x14ac:dyDescent="0.3">
      <c r="A1886" t="s">
        <v>3162</v>
      </c>
      <c r="B1886" t="s">
        <v>53</v>
      </c>
      <c r="C1886" t="s">
        <v>54</v>
      </c>
      <c r="D1886" t="str">
        <f t="shared" si="87"/>
        <v>Afternoon</v>
      </c>
      <c r="E1886">
        <f>HOUR(EV_Data[[#This Row],[Charging Start Time]])</f>
        <v>12</v>
      </c>
      <c r="F1886" s="1">
        <v>45005.5</v>
      </c>
      <c r="G1886" s="1">
        <v>45005.524305555547</v>
      </c>
      <c r="H1886">
        <v>35</v>
      </c>
      <c r="I1886">
        <v>27.62</v>
      </c>
      <c r="J1886" t="str">
        <f t="shared" si="88"/>
        <v>Medium</v>
      </c>
      <c r="K1886" t="s">
        <v>55</v>
      </c>
      <c r="L1886">
        <v>21</v>
      </c>
      <c r="M1886">
        <v>39</v>
      </c>
      <c r="N1886" t="str">
        <f t="shared" si="89"/>
        <v>Low Cost</v>
      </c>
      <c r="O1886">
        <v>5.71</v>
      </c>
      <c r="P1886" t="s">
        <v>23</v>
      </c>
      <c r="Q1886" t="s">
        <v>34</v>
      </c>
      <c r="R1886" t="s">
        <v>56</v>
      </c>
      <c r="S1886" t="s">
        <v>1245</v>
      </c>
      <c r="T1886" t="s">
        <v>37</v>
      </c>
      <c r="U1886">
        <v>30</v>
      </c>
      <c r="V1886">
        <v>1.5</v>
      </c>
      <c r="W1886" t="s">
        <v>47</v>
      </c>
      <c r="X1886" t="s">
        <v>29</v>
      </c>
    </row>
    <row r="1887" spans="1:24" x14ac:dyDescent="0.3">
      <c r="A1887" t="s">
        <v>3163</v>
      </c>
      <c r="B1887" t="s">
        <v>40</v>
      </c>
      <c r="C1887" t="s">
        <v>41</v>
      </c>
      <c r="D1887" t="str">
        <f t="shared" si="87"/>
        <v>Afternoon</v>
      </c>
      <c r="E1887">
        <f>HOUR(EV_Data[[#This Row],[Charging Start Time]])</f>
        <v>13</v>
      </c>
      <c r="F1887" s="1">
        <v>45005.541666666664</v>
      </c>
      <c r="G1887" s="1">
        <v>45005.581944444442</v>
      </c>
      <c r="H1887">
        <v>58</v>
      </c>
      <c r="I1887">
        <v>40.53</v>
      </c>
      <c r="J1887" t="str">
        <f t="shared" si="88"/>
        <v>Medium</v>
      </c>
      <c r="K1887" t="s">
        <v>69</v>
      </c>
      <c r="L1887">
        <v>60</v>
      </c>
      <c r="M1887">
        <v>79</v>
      </c>
      <c r="N1887" t="str">
        <f t="shared" si="89"/>
        <v>High Cost</v>
      </c>
      <c r="O1887">
        <v>19.59</v>
      </c>
      <c r="P1887" t="s">
        <v>43</v>
      </c>
      <c r="Q1887" t="s">
        <v>24</v>
      </c>
      <c r="R1887" t="s">
        <v>25</v>
      </c>
      <c r="S1887" t="s">
        <v>1124</v>
      </c>
      <c r="T1887" t="s">
        <v>37</v>
      </c>
      <c r="U1887">
        <v>22</v>
      </c>
      <c r="V1887">
        <v>2.9</v>
      </c>
      <c r="W1887" t="s">
        <v>38</v>
      </c>
      <c r="X1887" t="s">
        <v>62</v>
      </c>
    </row>
    <row r="1888" spans="1:24" x14ac:dyDescent="0.3">
      <c r="A1888" t="s">
        <v>3164</v>
      </c>
      <c r="B1888" t="s">
        <v>30</v>
      </c>
      <c r="C1888" t="s">
        <v>102</v>
      </c>
      <c r="D1888" t="str">
        <f t="shared" si="87"/>
        <v>Afternoon</v>
      </c>
      <c r="E1888">
        <f>HOUR(EV_Data[[#This Row],[Charging Start Time]])</f>
        <v>14</v>
      </c>
      <c r="F1888" s="1">
        <v>45005.583333333336</v>
      </c>
      <c r="G1888" s="1">
        <v>45005.659722222219</v>
      </c>
      <c r="H1888">
        <v>110</v>
      </c>
      <c r="I1888">
        <v>40.83</v>
      </c>
      <c r="J1888" t="str">
        <f t="shared" si="88"/>
        <v>Medium</v>
      </c>
      <c r="K1888" t="s">
        <v>42</v>
      </c>
      <c r="L1888">
        <v>23</v>
      </c>
      <c r="M1888">
        <v>60</v>
      </c>
      <c r="N1888" t="str">
        <f t="shared" si="89"/>
        <v>High Cost</v>
      </c>
      <c r="O1888">
        <v>19.03</v>
      </c>
      <c r="P1888" t="s">
        <v>23</v>
      </c>
      <c r="Q1888" t="s">
        <v>34</v>
      </c>
      <c r="R1888" t="s">
        <v>35</v>
      </c>
      <c r="S1888" t="s">
        <v>793</v>
      </c>
      <c r="T1888" t="s">
        <v>27</v>
      </c>
      <c r="U1888">
        <v>79</v>
      </c>
      <c r="V1888">
        <v>1.7</v>
      </c>
      <c r="W1888" t="s">
        <v>47</v>
      </c>
      <c r="X1888" t="s">
        <v>29</v>
      </c>
    </row>
    <row r="1889" spans="1:24" x14ac:dyDescent="0.3">
      <c r="A1889" t="s">
        <v>3165</v>
      </c>
      <c r="B1889" t="s">
        <v>126</v>
      </c>
      <c r="C1889" t="s">
        <v>31</v>
      </c>
      <c r="D1889" t="str">
        <f t="shared" si="87"/>
        <v>Afternoon</v>
      </c>
      <c r="E1889">
        <f>HOUR(EV_Data[[#This Row],[Charging Start Time]])</f>
        <v>15</v>
      </c>
      <c r="F1889" s="1">
        <v>45005.625</v>
      </c>
      <c r="G1889" s="1">
        <v>45005.657638888893</v>
      </c>
      <c r="H1889">
        <v>47</v>
      </c>
      <c r="I1889">
        <v>22.44</v>
      </c>
      <c r="J1889" t="str">
        <f t="shared" si="88"/>
        <v>Medium</v>
      </c>
      <c r="K1889" t="s">
        <v>50</v>
      </c>
      <c r="L1889">
        <v>62</v>
      </c>
      <c r="M1889">
        <v>96</v>
      </c>
      <c r="N1889" t="str">
        <f t="shared" si="89"/>
        <v>Low Cost</v>
      </c>
      <c r="O1889">
        <v>7.11</v>
      </c>
      <c r="P1889" t="s">
        <v>33</v>
      </c>
      <c r="Q1889" t="s">
        <v>48</v>
      </c>
      <c r="R1889" t="s">
        <v>35</v>
      </c>
      <c r="S1889" t="s">
        <v>726</v>
      </c>
      <c r="T1889" t="s">
        <v>27</v>
      </c>
      <c r="U1889">
        <v>86</v>
      </c>
      <c r="V1889">
        <v>3.4</v>
      </c>
      <c r="W1889" t="s">
        <v>28</v>
      </c>
      <c r="X1889" t="s">
        <v>68</v>
      </c>
    </row>
    <row r="1890" spans="1:24" x14ac:dyDescent="0.3">
      <c r="A1890" t="s">
        <v>3166</v>
      </c>
      <c r="B1890" t="s">
        <v>40</v>
      </c>
      <c r="C1890" t="s">
        <v>41</v>
      </c>
      <c r="D1890" t="str">
        <f t="shared" si="87"/>
        <v>Afternoon</v>
      </c>
      <c r="E1890">
        <f>HOUR(EV_Data[[#This Row],[Charging Start Time]])</f>
        <v>16</v>
      </c>
      <c r="F1890" s="1">
        <v>45005.666666666664</v>
      </c>
      <c r="G1890" s="1">
        <v>45005.737500000003</v>
      </c>
      <c r="H1890">
        <v>102</v>
      </c>
      <c r="I1890">
        <v>27.27</v>
      </c>
      <c r="J1890" t="str">
        <f t="shared" si="88"/>
        <v>Medium</v>
      </c>
      <c r="K1890" t="s">
        <v>42</v>
      </c>
      <c r="L1890">
        <v>70</v>
      </c>
      <c r="M1890">
        <v>90</v>
      </c>
      <c r="N1890" t="str">
        <f t="shared" si="89"/>
        <v>Medium Cost</v>
      </c>
      <c r="O1890">
        <v>8.6199999999999992</v>
      </c>
      <c r="P1890" t="s">
        <v>64</v>
      </c>
      <c r="Q1890" t="s">
        <v>24</v>
      </c>
      <c r="R1890" t="s">
        <v>44</v>
      </c>
      <c r="S1890" t="s">
        <v>1246</v>
      </c>
      <c r="T1890" t="s">
        <v>37</v>
      </c>
      <c r="U1890">
        <v>14</v>
      </c>
      <c r="V1890">
        <v>4.5999999999999996</v>
      </c>
      <c r="W1890" t="s">
        <v>38</v>
      </c>
      <c r="X1890" t="s">
        <v>83</v>
      </c>
    </row>
    <row r="1891" spans="1:24" x14ac:dyDescent="0.3">
      <c r="A1891" t="s">
        <v>3167</v>
      </c>
      <c r="B1891" t="s">
        <v>77</v>
      </c>
      <c r="C1891" t="s">
        <v>78</v>
      </c>
      <c r="D1891" t="str">
        <f t="shared" si="87"/>
        <v>Evening</v>
      </c>
      <c r="E1891">
        <f>HOUR(EV_Data[[#This Row],[Charging Start Time]])</f>
        <v>17</v>
      </c>
      <c r="F1891" s="1">
        <v>45005.708333333336</v>
      </c>
      <c r="G1891" s="1">
        <v>45005.785416666673</v>
      </c>
      <c r="H1891">
        <v>111</v>
      </c>
      <c r="I1891">
        <v>21.7</v>
      </c>
      <c r="J1891" t="str">
        <f t="shared" si="88"/>
        <v>Medium</v>
      </c>
      <c r="K1891" t="s">
        <v>55</v>
      </c>
      <c r="L1891">
        <v>67</v>
      </c>
      <c r="M1891">
        <v>89</v>
      </c>
      <c r="N1891" t="str">
        <f t="shared" si="89"/>
        <v>Low Cost</v>
      </c>
      <c r="O1891">
        <v>6.01</v>
      </c>
      <c r="P1891" t="s">
        <v>33</v>
      </c>
      <c r="Q1891" t="s">
        <v>48</v>
      </c>
      <c r="R1891" t="s">
        <v>25</v>
      </c>
      <c r="S1891" t="s">
        <v>368</v>
      </c>
      <c r="T1891" t="s">
        <v>60</v>
      </c>
      <c r="U1891">
        <v>92</v>
      </c>
      <c r="V1891">
        <v>2.4</v>
      </c>
      <c r="W1891" t="s">
        <v>28</v>
      </c>
      <c r="X1891" t="s">
        <v>68</v>
      </c>
    </row>
    <row r="1892" spans="1:24" x14ac:dyDescent="0.3">
      <c r="A1892" t="s">
        <v>3168</v>
      </c>
      <c r="B1892" t="s">
        <v>77</v>
      </c>
      <c r="C1892" t="s">
        <v>78</v>
      </c>
      <c r="D1892" t="str">
        <f t="shared" si="87"/>
        <v>Evening</v>
      </c>
      <c r="E1892">
        <f>HOUR(EV_Data[[#This Row],[Charging Start Time]])</f>
        <v>18</v>
      </c>
      <c r="F1892" s="1">
        <v>45005.75</v>
      </c>
      <c r="G1892" s="1">
        <v>45005.788194444453</v>
      </c>
      <c r="H1892">
        <v>55</v>
      </c>
      <c r="I1892">
        <v>27.83</v>
      </c>
      <c r="J1892" t="str">
        <f t="shared" si="88"/>
        <v>Medium</v>
      </c>
      <c r="K1892" t="s">
        <v>55</v>
      </c>
      <c r="L1892">
        <v>67</v>
      </c>
      <c r="M1892">
        <v>84</v>
      </c>
      <c r="N1892" t="str">
        <f t="shared" si="89"/>
        <v>Medium Cost</v>
      </c>
      <c r="O1892">
        <v>11.73</v>
      </c>
      <c r="P1892" t="s">
        <v>43</v>
      </c>
      <c r="Q1892" t="s">
        <v>34</v>
      </c>
      <c r="R1892" t="s">
        <v>44</v>
      </c>
      <c r="S1892" t="s">
        <v>1014</v>
      </c>
      <c r="T1892" t="s">
        <v>46</v>
      </c>
      <c r="U1892">
        <v>5</v>
      </c>
      <c r="V1892">
        <v>4.7</v>
      </c>
      <c r="W1892" t="s">
        <v>38</v>
      </c>
      <c r="X1892" t="s">
        <v>39</v>
      </c>
    </row>
    <row r="1893" spans="1:24" x14ac:dyDescent="0.3">
      <c r="A1893" t="s">
        <v>3169</v>
      </c>
      <c r="B1893" t="s">
        <v>126</v>
      </c>
      <c r="C1893" t="s">
        <v>31</v>
      </c>
      <c r="D1893" t="str">
        <f t="shared" si="87"/>
        <v>Evening</v>
      </c>
      <c r="E1893">
        <f>HOUR(EV_Data[[#This Row],[Charging Start Time]])</f>
        <v>19</v>
      </c>
      <c r="F1893" s="1">
        <v>45005.791666666664</v>
      </c>
      <c r="G1893" s="1">
        <v>45005.836805555547</v>
      </c>
      <c r="H1893">
        <v>65</v>
      </c>
      <c r="I1893">
        <v>6.91</v>
      </c>
      <c r="J1893" t="str">
        <f t="shared" si="88"/>
        <v>Low</v>
      </c>
      <c r="K1893" t="s">
        <v>42</v>
      </c>
      <c r="L1893">
        <v>9</v>
      </c>
      <c r="M1893">
        <v>37</v>
      </c>
      <c r="N1893" t="str">
        <f t="shared" si="89"/>
        <v>Low Cost</v>
      </c>
      <c r="O1893">
        <v>1.72</v>
      </c>
      <c r="P1893" t="s">
        <v>23</v>
      </c>
      <c r="Q1893" t="s">
        <v>48</v>
      </c>
      <c r="R1893" t="s">
        <v>35</v>
      </c>
      <c r="S1893" t="s">
        <v>777</v>
      </c>
      <c r="T1893" t="s">
        <v>46</v>
      </c>
      <c r="U1893">
        <v>96</v>
      </c>
      <c r="V1893">
        <v>3.6</v>
      </c>
      <c r="W1893" t="s">
        <v>47</v>
      </c>
      <c r="X1893" t="s">
        <v>29</v>
      </c>
    </row>
    <row r="1894" spans="1:24" x14ac:dyDescent="0.3">
      <c r="A1894" t="s">
        <v>3170</v>
      </c>
      <c r="B1894" t="s">
        <v>92</v>
      </c>
      <c r="C1894" t="s">
        <v>93</v>
      </c>
      <c r="D1894" t="str">
        <f t="shared" si="87"/>
        <v>Evening</v>
      </c>
      <c r="E1894">
        <f>HOUR(EV_Data[[#This Row],[Charging Start Time]])</f>
        <v>20</v>
      </c>
      <c r="F1894" s="1">
        <v>45005.833333333336</v>
      </c>
      <c r="G1894" s="1">
        <v>45005.845833333333</v>
      </c>
      <c r="H1894">
        <v>18</v>
      </c>
      <c r="I1894">
        <v>48.29</v>
      </c>
      <c r="J1894" t="str">
        <f t="shared" si="88"/>
        <v>Medium</v>
      </c>
      <c r="K1894" t="s">
        <v>69</v>
      </c>
      <c r="L1894">
        <v>42</v>
      </c>
      <c r="M1894">
        <v>71</v>
      </c>
      <c r="N1894" t="str">
        <f t="shared" si="89"/>
        <v>Medium Cost</v>
      </c>
      <c r="O1894">
        <v>9.68</v>
      </c>
      <c r="P1894" t="s">
        <v>43</v>
      </c>
      <c r="Q1894" t="s">
        <v>58</v>
      </c>
      <c r="R1894" t="s">
        <v>25</v>
      </c>
      <c r="S1894" t="s">
        <v>721</v>
      </c>
      <c r="T1894" t="s">
        <v>60</v>
      </c>
      <c r="U1894">
        <v>70</v>
      </c>
      <c r="V1894">
        <v>3.1</v>
      </c>
      <c r="W1894" t="s">
        <v>28</v>
      </c>
      <c r="X1894" t="s">
        <v>68</v>
      </c>
    </row>
    <row r="1895" spans="1:24" x14ac:dyDescent="0.3">
      <c r="A1895" t="s">
        <v>3171</v>
      </c>
      <c r="B1895" t="s">
        <v>77</v>
      </c>
      <c r="C1895" t="s">
        <v>78</v>
      </c>
      <c r="D1895" t="str">
        <f t="shared" si="87"/>
        <v>Evening</v>
      </c>
      <c r="E1895">
        <f>HOUR(EV_Data[[#This Row],[Charging Start Time]])</f>
        <v>21</v>
      </c>
      <c r="F1895" s="1">
        <v>45005.875</v>
      </c>
      <c r="G1895" s="1">
        <v>45005.920138888891</v>
      </c>
      <c r="H1895">
        <v>65</v>
      </c>
      <c r="I1895">
        <v>45.38</v>
      </c>
      <c r="J1895" t="str">
        <f t="shared" si="88"/>
        <v>Medium</v>
      </c>
      <c r="K1895" t="s">
        <v>22</v>
      </c>
      <c r="L1895">
        <v>80</v>
      </c>
      <c r="M1895">
        <v>92</v>
      </c>
      <c r="N1895" t="str">
        <f t="shared" si="89"/>
        <v>High Cost</v>
      </c>
      <c r="O1895">
        <v>20.25</v>
      </c>
      <c r="P1895" t="s">
        <v>33</v>
      </c>
      <c r="Q1895" t="s">
        <v>48</v>
      </c>
      <c r="R1895" t="s">
        <v>35</v>
      </c>
      <c r="S1895" t="s">
        <v>1145</v>
      </c>
      <c r="T1895" t="s">
        <v>60</v>
      </c>
      <c r="U1895">
        <v>34</v>
      </c>
      <c r="V1895">
        <v>3.5</v>
      </c>
      <c r="W1895" t="s">
        <v>38</v>
      </c>
      <c r="X1895" t="s">
        <v>85</v>
      </c>
    </row>
    <row r="1896" spans="1:24" x14ac:dyDescent="0.3">
      <c r="A1896" t="s">
        <v>3172</v>
      </c>
      <c r="B1896" t="s">
        <v>40</v>
      </c>
      <c r="C1896" t="s">
        <v>41</v>
      </c>
      <c r="D1896" t="str">
        <f t="shared" si="87"/>
        <v>Evening</v>
      </c>
      <c r="E1896">
        <f>HOUR(EV_Data[[#This Row],[Charging Start Time]])</f>
        <v>22</v>
      </c>
      <c r="F1896" s="1">
        <v>45005.916666666664</v>
      </c>
      <c r="G1896" s="1">
        <v>45005.961805555547</v>
      </c>
      <c r="H1896">
        <v>65</v>
      </c>
      <c r="I1896">
        <v>32.770000000000003</v>
      </c>
      <c r="J1896" t="str">
        <f t="shared" si="88"/>
        <v>Medium</v>
      </c>
      <c r="K1896" t="s">
        <v>22</v>
      </c>
      <c r="L1896">
        <v>42</v>
      </c>
      <c r="M1896">
        <v>67</v>
      </c>
      <c r="N1896" t="str">
        <f t="shared" si="89"/>
        <v>Medium Cost</v>
      </c>
      <c r="O1896">
        <v>13.25</v>
      </c>
      <c r="P1896" t="s">
        <v>64</v>
      </c>
      <c r="Q1896" t="s">
        <v>24</v>
      </c>
      <c r="R1896" t="s">
        <v>56</v>
      </c>
      <c r="S1896" t="s">
        <v>1247</v>
      </c>
      <c r="T1896" t="s">
        <v>46</v>
      </c>
      <c r="U1896">
        <v>57</v>
      </c>
      <c r="V1896">
        <v>3.5</v>
      </c>
      <c r="W1896" t="s">
        <v>28</v>
      </c>
      <c r="X1896" t="s">
        <v>68</v>
      </c>
    </row>
    <row r="1897" spans="1:24" x14ac:dyDescent="0.3">
      <c r="A1897" t="s">
        <v>3173</v>
      </c>
      <c r="B1897" t="s">
        <v>30</v>
      </c>
      <c r="C1897" t="s">
        <v>102</v>
      </c>
      <c r="D1897" t="str">
        <f t="shared" si="87"/>
        <v>Evening</v>
      </c>
      <c r="E1897">
        <f>HOUR(EV_Data[[#This Row],[Charging Start Time]])</f>
        <v>23</v>
      </c>
      <c r="F1897" s="1">
        <v>45005.958333333336</v>
      </c>
      <c r="G1897" s="1">
        <v>45005.98541666667</v>
      </c>
      <c r="H1897">
        <v>39</v>
      </c>
      <c r="I1897">
        <v>12.49</v>
      </c>
      <c r="J1897" t="str">
        <f t="shared" si="88"/>
        <v>Low</v>
      </c>
      <c r="K1897" t="s">
        <v>69</v>
      </c>
      <c r="L1897">
        <v>37</v>
      </c>
      <c r="M1897">
        <v>69</v>
      </c>
      <c r="N1897" t="str">
        <f t="shared" si="89"/>
        <v>Low Cost</v>
      </c>
      <c r="O1897">
        <v>4.0599999999999996</v>
      </c>
      <c r="P1897" t="s">
        <v>64</v>
      </c>
      <c r="Q1897" t="s">
        <v>34</v>
      </c>
      <c r="R1897" t="s">
        <v>44</v>
      </c>
      <c r="S1897" t="s">
        <v>1248</v>
      </c>
      <c r="T1897" t="s">
        <v>60</v>
      </c>
      <c r="U1897">
        <v>92</v>
      </c>
      <c r="V1897">
        <v>1.5</v>
      </c>
      <c r="W1897" t="s">
        <v>28</v>
      </c>
      <c r="X1897" t="s">
        <v>68</v>
      </c>
    </row>
    <row r="1898" spans="1:24" x14ac:dyDescent="0.3">
      <c r="A1898" t="s">
        <v>3174</v>
      </c>
      <c r="B1898" t="s">
        <v>40</v>
      </c>
      <c r="C1898" t="s">
        <v>41</v>
      </c>
      <c r="D1898" t="str">
        <f t="shared" si="87"/>
        <v>Morning</v>
      </c>
      <c r="E1898">
        <f>HOUR(EV_Data[[#This Row],[Charging Start Time]])</f>
        <v>0</v>
      </c>
      <c r="F1898" s="1">
        <v>45006</v>
      </c>
      <c r="G1898" s="1">
        <v>45006.000694444447</v>
      </c>
      <c r="H1898">
        <v>1</v>
      </c>
      <c r="I1898">
        <v>28.61</v>
      </c>
      <c r="J1898" t="str">
        <f t="shared" si="88"/>
        <v>Medium</v>
      </c>
      <c r="K1898" t="s">
        <v>22</v>
      </c>
      <c r="L1898">
        <v>44</v>
      </c>
      <c r="M1898">
        <v>70</v>
      </c>
      <c r="N1898" t="str">
        <f t="shared" si="89"/>
        <v>Medium Cost</v>
      </c>
      <c r="O1898">
        <v>10.7</v>
      </c>
      <c r="P1898" t="s">
        <v>43</v>
      </c>
      <c r="Q1898" t="s">
        <v>58</v>
      </c>
      <c r="R1898" t="s">
        <v>56</v>
      </c>
      <c r="S1898" t="s">
        <v>952</v>
      </c>
      <c r="T1898" t="s">
        <v>46</v>
      </c>
      <c r="U1898">
        <v>36</v>
      </c>
      <c r="V1898">
        <v>3.4</v>
      </c>
      <c r="W1898" t="s">
        <v>28</v>
      </c>
      <c r="X1898" t="s">
        <v>68</v>
      </c>
    </row>
    <row r="1899" spans="1:24" x14ac:dyDescent="0.3">
      <c r="A1899" t="s">
        <v>3175</v>
      </c>
      <c r="B1899" t="s">
        <v>40</v>
      </c>
      <c r="C1899" t="s">
        <v>41</v>
      </c>
      <c r="D1899" t="str">
        <f t="shared" si="87"/>
        <v>Morning</v>
      </c>
      <c r="E1899">
        <f>HOUR(EV_Data[[#This Row],[Charging Start Time]])</f>
        <v>1</v>
      </c>
      <c r="F1899" s="1">
        <v>45006.041666666664</v>
      </c>
      <c r="G1899" s="1">
        <v>45006.06527777778</v>
      </c>
      <c r="H1899">
        <v>34</v>
      </c>
      <c r="I1899">
        <v>21.45</v>
      </c>
      <c r="J1899" t="str">
        <f t="shared" si="88"/>
        <v>Medium</v>
      </c>
      <c r="K1899" t="s">
        <v>22</v>
      </c>
      <c r="L1899">
        <v>48</v>
      </c>
      <c r="M1899">
        <v>78</v>
      </c>
      <c r="N1899" t="str">
        <f t="shared" si="89"/>
        <v>Low Cost</v>
      </c>
      <c r="O1899">
        <v>4.96</v>
      </c>
      <c r="P1899" t="s">
        <v>43</v>
      </c>
      <c r="Q1899" t="s">
        <v>34</v>
      </c>
      <c r="R1899" t="s">
        <v>56</v>
      </c>
      <c r="S1899" t="s">
        <v>1249</v>
      </c>
      <c r="T1899" t="s">
        <v>46</v>
      </c>
      <c r="U1899">
        <v>76</v>
      </c>
      <c r="V1899">
        <v>1.8</v>
      </c>
      <c r="W1899" t="s">
        <v>28</v>
      </c>
      <c r="X1899" t="s">
        <v>68</v>
      </c>
    </row>
    <row r="1900" spans="1:24" x14ac:dyDescent="0.3">
      <c r="A1900" t="s">
        <v>3176</v>
      </c>
      <c r="B1900" t="s">
        <v>71</v>
      </c>
      <c r="C1900" t="s">
        <v>72</v>
      </c>
      <c r="D1900" t="str">
        <f t="shared" si="87"/>
        <v>Morning</v>
      </c>
      <c r="E1900">
        <f>HOUR(EV_Data[[#This Row],[Charging Start Time]])</f>
        <v>2</v>
      </c>
      <c r="F1900" s="1">
        <v>45006.083333333336</v>
      </c>
      <c r="G1900" s="1">
        <v>45006.13958333333</v>
      </c>
      <c r="H1900">
        <v>81</v>
      </c>
      <c r="I1900">
        <v>21.34</v>
      </c>
      <c r="J1900" t="str">
        <f t="shared" si="88"/>
        <v>Medium</v>
      </c>
      <c r="K1900" t="s">
        <v>22</v>
      </c>
      <c r="L1900">
        <v>78</v>
      </c>
      <c r="M1900">
        <v>100</v>
      </c>
      <c r="N1900" t="str">
        <f t="shared" si="89"/>
        <v>Medium Cost</v>
      </c>
      <c r="O1900">
        <v>8.67</v>
      </c>
      <c r="P1900" t="s">
        <v>33</v>
      </c>
      <c r="Q1900" t="s">
        <v>24</v>
      </c>
      <c r="R1900" t="s">
        <v>25</v>
      </c>
      <c r="S1900" t="s">
        <v>891</v>
      </c>
      <c r="T1900" t="s">
        <v>37</v>
      </c>
      <c r="U1900">
        <v>29</v>
      </c>
      <c r="V1900">
        <v>4</v>
      </c>
      <c r="W1900" t="s">
        <v>28</v>
      </c>
      <c r="X1900" t="s">
        <v>68</v>
      </c>
    </row>
    <row r="1901" spans="1:24" x14ac:dyDescent="0.3">
      <c r="A1901" t="s">
        <v>3177</v>
      </c>
      <c r="B1901" t="s">
        <v>20</v>
      </c>
      <c r="C1901" t="s">
        <v>21</v>
      </c>
      <c r="D1901" t="str">
        <f t="shared" si="87"/>
        <v>Morning</v>
      </c>
      <c r="E1901">
        <f>HOUR(EV_Data[[#This Row],[Charging Start Time]])</f>
        <v>3</v>
      </c>
      <c r="F1901" s="1">
        <v>45006.125</v>
      </c>
      <c r="G1901" s="1">
        <v>45006.161805555559</v>
      </c>
      <c r="H1901">
        <v>53</v>
      </c>
      <c r="I1901">
        <v>21.66</v>
      </c>
      <c r="J1901" t="str">
        <f t="shared" si="88"/>
        <v>Medium</v>
      </c>
      <c r="K1901" t="s">
        <v>50</v>
      </c>
      <c r="L1901">
        <v>8</v>
      </c>
      <c r="M1901">
        <v>41</v>
      </c>
      <c r="N1901" t="str">
        <f t="shared" si="89"/>
        <v>Low Cost</v>
      </c>
      <c r="O1901">
        <v>6.47</v>
      </c>
      <c r="P1901" t="s">
        <v>33</v>
      </c>
      <c r="Q1901" t="s">
        <v>48</v>
      </c>
      <c r="R1901" t="s">
        <v>35</v>
      </c>
      <c r="S1901" t="s">
        <v>180</v>
      </c>
      <c r="T1901" t="s">
        <v>27</v>
      </c>
      <c r="U1901">
        <v>36</v>
      </c>
      <c r="V1901">
        <v>4.4000000000000004</v>
      </c>
      <c r="W1901" t="s">
        <v>28</v>
      </c>
      <c r="X1901" t="s">
        <v>68</v>
      </c>
    </row>
    <row r="1902" spans="1:24" x14ac:dyDescent="0.3">
      <c r="A1902" t="s">
        <v>3178</v>
      </c>
      <c r="B1902" t="s">
        <v>92</v>
      </c>
      <c r="C1902" t="s">
        <v>93</v>
      </c>
      <c r="D1902" t="str">
        <f t="shared" si="87"/>
        <v>Morning</v>
      </c>
      <c r="E1902">
        <f>HOUR(EV_Data[[#This Row],[Charging Start Time]])</f>
        <v>4</v>
      </c>
      <c r="F1902" s="1">
        <v>45006.166666666664</v>
      </c>
      <c r="G1902" s="1">
        <v>45006.219444444447</v>
      </c>
      <c r="H1902">
        <v>76</v>
      </c>
      <c r="I1902">
        <v>24.61</v>
      </c>
      <c r="J1902" t="str">
        <f t="shared" si="88"/>
        <v>Medium</v>
      </c>
      <c r="K1902" t="s">
        <v>69</v>
      </c>
      <c r="L1902">
        <v>40</v>
      </c>
      <c r="M1902">
        <v>78</v>
      </c>
      <c r="N1902" t="str">
        <f t="shared" si="89"/>
        <v>Medium Cost</v>
      </c>
      <c r="O1902">
        <v>11.26</v>
      </c>
      <c r="P1902" t="s">
        <v>33</v>
      </c>
      <c r="Q1902" t="s">
        <v>48</v>
      </c>
      <c r="R1902" t="s">
        <v>25</v>
      </c>
      <c r="S1902" t="s">
        <v>1104</v>
      </c>
      <c r="T1902" t="s">
        <v>37</v>
      </c>
      <c r="U1902">
        <v>53</v>
      </c>
      <c r="V1902">
        <v>1.5</v>
      </c>
      <c r="W1902" t="s">
        <v>47</v>
      </c>
      <c r="X1902" t="s">
        <v>29</v>
      </c>
    </row>
    <row r="1903" spans="1:24" x14ac:dyDescent="0.3">
      <c r="A1903" t="s">
        <v>3179</v>
      </c>
      <c r="B1903" t="s">
        <v>40</v>
      </c>
      <c r="C1903" t="s">
        <v>41</v>
      </c>
      <c r="D1903" t="str">
        <f t="shared" si="87"/>
        <v>Morning</v>
      </c>
      <c r="E1903">
        <f>HOUR(EV_Data[[#This Row],[Charging Start Time]])</f>
        <v>5</v>
      </c>
      <c r="F1903" s="1">
        <v>45006.208333333336</v>
      </c>
      <c r="G1903" s="1">
        <v>45006.231249999997</v>
      </c>
      <c r="H1903">
        <v>33</v>
      </c>
      <c r="I1903">
        <v>43.04</v>
      </c>
      <c r="J1903" t="str">
        <f t="shared" si="88"/>
        <v>Medium</v>
      </c>
      <c r="K1903" t="s">
        <v>32</v>
      </c>
      <c r="L1903">
        <v>40</v>
      </c>
      <c r="M1903">
        <v>64</v>
      </c>
      <c r="N1903" t="str">
        <f t="shared" si="89"/>
        <v>Medium Cost</v>
      </c>
      <c r="O1903">
        <v>11.28</v>
      </c>
      <c r="P1903" t="s">
        <v>23</v>
      </c>
      <c r="Q1903" t="s">
        <v>24</v>
      </c>
      <c r="R1903" t="s">
        <v>56</v>
      </c>
      <c r="S1903" t="s">
        <v>509</v>
      </c>
      <c r="T1903" t="s">
        <v>60</v>
      </c>
      <c r="U1903">
        <v>99</v>
      </c>
      <c r="V1903">
        <v>2.7</v>
      </c>
      <c r="W1903" t="s">
        <v>28</v>
      </c>
      <c r="X1903" t="s">
        <v>68</v>
      </c>
    </row>
    <row r="1904" spans="1:24" x14ac:dyDescent="0.3">
      <c r="A1904" t="s">
        <v>3180</v>
      </c>
      <c r="B1904" t="s">
        <v>77</v>
      </c>
      <c r="C1904" t="s">
        <v>78</v>
      </c>
      <c r="D1904" t="str">
        <f t="shared" si="87"/>
        <v>Morning</v>
      </c>
      <c r="E1904">
        <f>HOUR(EV_Data[[#This Row],[Charging Start Time]])</f>
        <v>6</v>
      </c>
      <c r="F1904" s="1">
        <v>45006.25</v>
      </c>
      <c r="G1904" s="1">
        <v>45006.323611111111</v>
      </c>
      <c r="H1904">
        <v>106</v>
      </c>
      <c r="I1904">
        <v>27.4</v>
      </c>
      <c r="J1904" t="str">
        <f t="shared" si="88"/>
        <v>Medium</v>
      </c>
      <c r="K1904" t="s">
        <v>55</v>
      </c>
      <c r="L1904">
        <v>15</v>
      </c>
      <c r="M1904">
        <v>54</v>
      </c>
      <c r="N1904" t="str">
        <f t="shared" si="89"/>
        <v>Medium Cost</v>
      </c>
      <c r="O1904">
        <v>11.76</v>
      </c>
      <c r="P1904" t="s">
        <v>43</v>
      </c>
      <c r="Q1904" t="s">
        <v>34</v>
      </c>
      <c r="R1904" t="s">
        <v>44</v>
      </c>
      <c r="S1904" t="s">
        <v>329</v>
      </c>
      <c r="T1904" t="s">
        <v>27</v>
      </c>
      <c r="U1904">
        <v>70</v>
      </c>
      <c r="V1904">
        <v>1.5</v>
      </c>
      <c r="W1904" t="s">
        <v>28</v>
      </c>
      <c r="X1904" t="s">
        <v>68</v>
      </c>
    </row>
    <row r="1905" spans="1:24" x14ac:dyDescent="0.3">
      <c r="A1905" t="s">
        <v>3181</v>
      </c>
      <c r="B1905" t="s">
        <v>40</v>
      </c>
      <c r="C1905" t="s">
        <v>41</v>
      </c>
      <c r="D1905" t="str">
        <f t="shared" si="87"/>
        <v>Morning</v>
      </c>
      <c r="E1905">
        <f>HOUR(EV_Data[[#This Row],[Charging Start Time]])</f>
        <v>7</v>
      </c>
      <c r="F1905" s="1">
        <v>45006.291666666664</v>
      </c>
      <c r="G1905" s="1">
        <v>45006.325694444437</v>
      </c>
      <c r="H1905">
        <v>49</v>
      </c>
      <c r="I1905">
        <v>41.13</v>
      </c>
      <c r="J1905" t="str">
        <f t="shared" si="88"/>
        <v>Medium</v>
      </c>
      <c r="K1905" t="s">
        <v>55</v>
      </c>
      <c r="L1905">
        <v>43</v>
      </c>
      <c r="M1905">
        <v>62</v>
      </c>
      <c r="N1905" t="str">
        <f t="shared" si="89"/>
        <v>Medium Cost</v>
      </c>
      <c r="O1905">
        <v>15.88</v>
      </c>
      <c r="P1905" t="s">
        <v>33</v>
      </c>
      <c r="Q1905" t="s">
        <v>48</v>
      </c>
      <c r="R1905" t="s">
        <v>56</v>
      </c>
      <c r="S1905" t="s">
        <v>1250</v>
      </c>
      <c r="T1905" t="s">
        <v>27</v>
      </c>
      <c r="U1905">
        <v>73</v>
      </c>
      <c r="V1905">
        <v>3.2</v>
      </c>
      <c r="W1905" t="s">
        <v>47</v>
      </c>
      <c r="X1905" t="s">
        <v>29</v>
      </c>
    </row>
    <row r="1906" spans="1:24" x14ac:dyDescent="0.3">
      <c r="A1906" t="s">
        <v>3182</v>
      </c>
      <c r="B1906" t="s">
        <v>40</v>
      </c>
      <c r="C1906" t="s">
        <v>41</v>
      </c>
      <c r="D1906" t="str">
        <f t="shared" si="87"/>
        <v>Morning</v>
      </c>
      <c r="E1906">
        <f>HOUR(EV_Data[[#This Row],[Charging Start Time]])</f>
        <v>8</v>
      </c>
      <c r="F1906" s="1">
        <v>45006.333333333336</v>
      </c>
      <c r="G1906" s="1">
        <v>45006.350694444453</v>
      </c>
      <c r="H1906">
        <v>25</v>
      </c>
      <c r="I1906">
        <v>18.78</v>
      </c>
      <c r="J1906" t="str">
        <f t="shared" si="88"/>
        <v>Low</v>
      </c>
      <c r="K1906" t="s">
        <v>69</v>
      </c>
      <c r="L1906">
        <v>80</v>
      </c>
      <c r="M1906">
        <v>100</v>
      </c>
      <c r="N1906" t="str">
        <f t="shared" si="89"/>
        <v>Low Cost</v>
      </c>
      <c r="O1906">
        <v>7.43</v>
      </c>
      <c r="P1906" t="s">
        <v>64</v>
      </c>
      <c r="Q1906" t="s">
        <v>24</v>
      </c>
      <c r="R1906" t="s">
        <v>35</v>
      </c>
      <c r="S1906" t="s">
        <v>1055</v>
      </c>
      <c r="T1906" t="s">
        <v>60</v>
      </c>
      <c r="U1906">
        <v>79</v>
      </c>
      <c r="V1906">
        <v>4.7</v>
      </c>
      <c r="W1906" t="s">
        <v>28</v>
      </c>
      <c r="X1906" t="s">
        <v>68</v>
      </c>
    </row>
    <row r="1907" spans="1:24" x14ac:dyDescent="0.3">
      <c r="A1907" t="s">
        <v>3183</v>
      </c>
      <c r="B1907" t="s">
        <v>20</v>
      </c>
      <c r="C1907" t="s">
        <v>21</v>
      </c>
      <c r="D1907" t="str">
        <f t="shared" si="87"/>
        <v>Morning</v>
      </c>
      <c r="E1907">
        <f>HOUR(EV_Data[[#This Row],[Charging Start Time]])</f>
        <v>9</v>
      </c>
      <c r="F1907" s="1">
        <v>45006.375</v>
      </c>
      <c r="G1907" s="1">
        <v>45006.415277777778</v>
      </c>
      <c r="H1907">
        <v>58</v>
      </c>
      <c r="I1907">
        <v>21.1</v>
      </c>
      <c r="J1907" t="str">
        <f t="shared" si="88"/>
        <v>Medium</v>
      </c>
      <c r="K1907" t="s">
        <v>32</v>
      </c>
      <c r="L1907">
        <v>38</v>
      </c>
      <c r="M1907">
        <v>62</v>
      </c>
      <c r="N1907" t="str">
        <f t="shared" si="89"/>
        <v>Low Cost</v>
      </c>
      <c r="O1907">
        <v>6.03</v>
      </c>
      <c r="P1907" t="s">
        <v>43</v>
      </c>
      <c r="Q1907" t="s">
        <v>24</v>
      </c>
      <c r="R1907" t="s">
        <v>56</v>
      </c>
      <c r="S1907" t="s">
        <v>376</v>
      </c>
      <c r="T1907" t="s">
        <v>27</v>
      </c>
      <c r="U1907">
        <v>45</v>
      </c>
      <c r="V1907">
        <v>4.4000000000000004</v>
      </c>
      <c r="W1907" t="s">
        <v>28</v>
      </c>
      <c r="X1907" t="s">
        <v>68</v>
      </c>
    </row>
    <row r="1908" spans="1:24" x14ac:dyDescent="0.3">
      <c r="A1908" t="s">
        <v>3184</v>
      </c>
      <c r="B1908" t="s">
        <v>40</v>
      </c>
      <c r="C1908" t="s">
        <v>41</v>
      </c>
      <c r="D1908" t="str">
        <f t="shared" si="87"/>
        <v>Morning</v>
      </c>
      <c r="E1908">
        <f>HOUR(EV_Data[[#This Row],[Charging Start Time]])</f>
        <v>10</v>
      </c>
      <c r="F1908" s="1">
        <v>45006.416666666664</v>
      </c>
      <c r="G1908" s="1">
        <v>45006.466666666667</v>
      </c>
      <c r="H1908">
        <v>72</v>
      </c>
      <c r="I1908">
        <v>38.83</v>
      </c>
      <c r="J1908" t="str">
        <f t="shared" si="88"/>
        <v>Medium</v>
      </c>
      <c r="K1908" t="s">
        <v>42</v>
      </c>
      <c r="L1908">
        <v>46</v>
      </c>
      <c r="M1908">
        <v>84</v>
      </c>
      <c r="N1908" t="str">
        <f t="shared" si="89"/>
        <v>Medium Cost</v>
      </c>
      <c r="O1908">
        <v>8.4499999999999993</v>
      </c>
      <c r="P1908" t="s">
        <v>64</v>
      </c>
      <c r="Q1908" t="s">
        <v>58</v>
      </c>
      <c r="R1908" t="s">
        <v>35</v>
      </c>
      <c r="S1908" t="s">
        <v>1251</v>
      </c>
      <c r="T1908" t="s">
        <v>37</v>
      </c>
      <c r="U1908">
        <v>59</v>
      </c>
      <c r="V1908">
        <v>1.7</v>
      </c>
      <c r="W1908" t="s">
        <v>28</v>
      </c>
      <c r="X1908" t="s">
        <v>68</v>
      </c>
    </row>
    <row r="1909" spans="1:24" x14ac:dyDescent="0.3">
      <c r="A1909" t="s">
        <v>3185</v>
      </c>
      <c r="B1909" t="s">
        <v>77</v>
      </c>
      <c r="C1909" t="s">
        <v>78</v>
      </c>
      <c r="D1909" t="str">
        <f t="shared" si="87"/>
        <v>Morning</v>
      </c>
      <c r="E1909">
        <f>HOUR(EV_Data[[#This Row],[Charging Start Time]])</f>
        <v>11</v>
      </c>
      <c r="F1909" s="1">
        <v>45006.458333333336</v>
      </c>
      <c r="G1909" s="1">
        <v>45006.48541666667</v>
      </c>
      <c r="H1909">
        <v>39</v>
      </c>
      <c r="I1909">
        <v>43.14</v>
      </c>
      <c r="J1909" t="str">
        <f t="shared" si="88"/>
        <v>Medium</v>
      </c>
      <c r="K1909" t="s">
        <v>32</v>
      </c>
      <c r="L1909">
        <v>18</v>
      </c>
      <c r="M1909">
        <v>49</v>
      </c>
      <c r="N1909" t="str">
        <f t="shared" si="89"/>
        <v>Medium Cost</v>
      </c>
      <c r="O1909">
        <v>11.89</v>
      </c>
      <c r="P1909" t="s">
        <v>64</v>
      </c>
      <c r="Q1909" t="s">
        <v>24</v>
      </c>
      <c r="R1909" t="s">
        <v>25</v>
      </c>
      <c r="S1909" t="s">
        <v>293</v>
      </c>
      <c r="T1909" t="s">
        <v>46</v>
      </c>
      <c r="U1909">
        <v>76</v>
      </c>
      <c r="V1909">
        <v>2.8</v>
      </c>
      <c r="W1909" t="s">
        <v>28</v>
      </c>
      <c r="X1909" t="s">
        <v>68</v>
      </c>
    </row>
    <row r="1910" spans="1:24" x14ac:dyDescent="0.3">
      <c r="A1910" t="s">
        <v>3186</v>
      </c>
      <c r="B1910" t="s">
        <v>20</v>
      </c>
      <c r="C1910" t="s">
        <v>21</v>
      </c>
      <c r="D1910" t="str">
        <f t="shared" si="87"/>
        <v>Afternoon</v>
      </c>
      <c r="E1910">
        <f>HOUR(EV_Data[[#This Row],[Charging Start Time]])</f>
        <v>12</v>
      </c>
      <c r="F1910" s="1">
        <v>45006.5</v>
      </c>
      <c r="G1910" s="1">
        <v>45006.553472222222</v>
      </c>
      <c r="H1910">
        <v>77</v>
      </c>
      <c r="I1910">
        <v>47.59</v>
      </c>
      <c r="J1910" t="str">
        <f t="shared" si="88"/>
        <v>Medium</v>
      </c>
      <c r="K1910" t="s">
        <v>22</v>
      </c>
      <c r="L1910">
        <v>77</v>
      </c>
      <c r="M1910">
        <v>100</v>
      </c>
      <c r="N1910" t="str">
        <f t="shared" si="89"/>
        <v>High Cost</v>
      </c>
      <c r="O1910">
        <v>18.600000000000001</v>
      </c>
      <c r="P1910" t="s">
        <v>23</v>
      </c>
      <c r="Q1910" t="s">
        <v>34</v>
      </c>
      <c r="R1910" t="s">
        <v>44</v>
      </c>
      <c r="S1910" t="s">
        <v>1252</v>
      </c>
      <c r="T1910" t="s">
        <v>60</v>
      </c>
      <c r="U1910">
        <v>39</v>
      </c>
      <c r="V1910">
        <v>4.5999999999999996</v>
      </c>
      <c r="W1910" t="s">
        <v>38</v>
      </c>
      <c r="X1910" t="s">
        <v>62</v>
      </c>
    </row>
    <row r="1911" spans="1:24" x14ac:dyDescent="0.3">
      <c r="A1911" t="s">
        <v>3187</v>
      </c>
      <c r="B1911" t="s">
        <v>71</v>
      </c>
      <c r="C1911" t="s">
        <v>72</v>
      </c>
      <c r="D1911" t="str">
        <f t="shared" si="87"/>
        <v>Afternoon</v>
      </c>
      <c r="E1911">
        <f>HOUR(EV_Data[[#This Row],[Charging Start Time]])</f>
        <v>13</v>
      </c>
      <c r="F1911" s="1">
        <v>45006.541666666664</v>
      </c>
      <c r="G1911" s="1">
        <v>45006.590277777781</v>
      </c>
      <c r="H1911">
        <v>70</v>
      </c>
      <c r="I1911">
        <v>46.47</v>
      </c>
      <c r="J1911" t="str">
        <f t="shared" si="88"/>
        <v>Medium</v>
      </c>
      <c r="K1911" t="s">
        <v>55</v>
      </c>
      <c r="L1911">
        <v>66</v>
      </c>
      <c r="M1911">
        <v>90</v>
      </c>
      <c r="N1911" t="str">
        <f t="shared" si="89"/>
        <v>Medium Cost</v>
      </c>
      <c r="O1911">
        <v>15.13</v>
      </c>
      <c r="P1911" t="s">
        <v>23</v>
      </c>
      <c r="Q1911" t="s">
        <v>58</v>
      </c>
      <c r="R1911" t="s">
        <v>25</v>
      </c>
      <c r="S1911" t="s">
        <v>1053</v>
      </c>
      <c r="T1911" t="s">
        <v>37</v>
      </c>
      <c r="U1911">
        <v>69</v>
      </c>
      <c r="V1911">
        <v>1.3</v>
      </c>
      <c r="W1911" t="s">
        <v>38</v>
      </c>
      <c r="X1911" t="s">
        <v>62</v>
      </c>
    </row>
    <row r="1912" spans="1:24" x14ac:dyDescent="0.3">
      <c r="A1912" t="s">
        <v>3188</v>
      </c>
      <c r="B1912" t="s">
        <v>126</v>
      </c>
      <c r="C1912" t="s">
        <v>31</v>
      </c>
      <c r="D1912" t="str">
        <f t="shared" si="87"/>
        <v>Afternoon</v>
      </c>
      <c r="E1912">
        <f>HOUR(EV_Data[[#This Row],[Charging Start Time]])</f>
        <v>14</v>
      </c>
      <c r="F1912" s="1">
        <v>45006.583333333336</v>
      </c>
      <c r="G1912" s="1">
        <v>45006.613194444442</v>
      </c>
      <c r="H1912">
        <v>43</v>
      </c>
      <c r="I1912">
        <v>16.03</v>
      </c>
      <c r="J1912" t="str">
        <f t="shared" si="88"/>
        <v>Low</v>
      </c>
      <c r="K1912" t="s">
        <v>22</v>
      </c>
      <c r="L1912">
        <v>57</v>
      </c>
      <c r="M1912">
        <v>86</v>
      </c>
      <c r="N1912" t="str">
        <f t="shared" si="89"/>
        <v>Low Cost</v>
      </c>
      <c r="O1912">
        <v>7.02</v>
      </c>
      <c r="P1912" t="s">
        <v>33</v>
      </c>
      <c r="Q1912" t="s">
        <v>34</v>
      </c>
      <c r="R1912" t="s">
        <v>56</v>
      </c>
      <c r="S1912" t="s">
        <v>1253</v>
      </c>
      <c r="T1912" t="s">
        <v>37</v>
      </c>
      <c r="U1912">
        <v>32</v>
      </c>
      <c r="V1912">
        <v>1.2</v>
      </c>
      <c r="W1912" t="s">
        <v>38</v>
      </c>
      <c r="X1912" t="s">
        <v>62</v>
      </c>
    </row>
    <row r="1913" spans="1:24" x14ac:dyDescent="0.3">
      <c r="A1913" t="s">
        <v>3189</v>
      </c>
      <c r="B1913" t="s">
        <v>77</v>
      </c>
      <c r="C1913" t="s">
        <v>78</v>
      </c>
      <c r="D1913" t="str">
        <f t="shared" si="87"/>
        <v>Afternoon</v>
      </c>
      <c r="E1913">
        <f>HOUR(EV_Data[[#This Row],[Charging Start Time]])</f>
        <v>15</v>
      </c>
      <c r="F1913" s="1">
        <v>45006.625</v>
      </c>
      <c r="G1913" s="1">
        <v>45006.665972222218</v>
      </c>
      <c r="H1913">
        <v>59</v>
      </c>
      <c r="I1913">
        <v>43.8</v>
      </c>
      <c r="J1913" t="str">
        <f t="shared" si="88"/>
        <v>Medium</v>
      </c>
      <c r="K1913" t="s">
        <v>32</v>
      </c>
      <c r="L1913">
        <v>47</v>
      </c>
      <c r="M1913">
        <v>73</v>
      </c>
      <c r="N1913" t="str">
        <f t="shared" si="89"/>
        <v>Medium Cost</v>
      </c>
      <c r="O1913">
        <v>11.93</v>
      </c>
      <c r="P1913" t="s">
        <v>43</v>
      </c>
      <c r="Q1913" t="s">
        <v>58</v>
      </c>
      <c r="R1913" t="s">
        <v>56</v>
      </c>
      <c r="S1913" t="s">
        <v>355</v>
      </c>
      <c r="T1913" t="s">
        <v>37</v>
      </c>
      <c r="U1913">
        <v>85</v>
      </c>
      <c r="V1913">
        <v>1.3</v>
      </c>
      <c r="W1913" t="s">
        <v>28</v>
      </c>
      <c r="X1913" t="s">
        <v>68</v>
      </c>
    </row>
    <row r="1914" spans="1:24" x14ac:dyDescent="0.3">
      <c r="A1914" t="s">
        <v>3190</v>
      </c>
      <c r="B1914" t="s">
        <v>92</v>
      </c>
      <c r="C1914" t="s">
        <v>93</v>
      </c>
      <c r="D1914" t="str">
        <f t="shared" si="87"/>
        <v>Afternoon</v>
      </c>
      <c r="E1914">
        <f>HOUR(EV_Data[[#This Row],[Charging Start Time]])</f>
        <v>16</v>
      </c>
      <c r="F1914" s="1">
        <v>45006.666666666664</v>
      </c>
      <c r="G1914" s="1">
        <v>45006.744444444441</v>
      </c>
      <c r="H1914">
        <v>112</v>
      </c>
      <c r="I1914">
        <v>35.08</v>
      </c>
      <c r="J1914" t="str">
        <f t="shared" si="88"/>
        <v>Medium</v>
      </c>
      <c r="K1914" t="s">
        <v>32</v>
      </c>
      <c r="L1914">
        <v>37</v>
      </c>
      <c r="M1914">
        <v>59</v>
      </c>
      <c r="N1914" t="str">
        <f t="shared" si="89"/>
        <v>Medium Cost</v>
      </c>
      <c r="O1914">
        <v>12.77</v>
      </c>
      <c r="P1914" t="s">
        <v>51</v>
      </c>
      <c r="Q1914" t="s">
        <v>58</v>
      </c>
      <c r="R1914" t="s">
        <v>56</v>
      </c>
      <c r="S1914" t="s">
        <v>983</v>
      </c>
      <c r="T1914" t="s">
        <v>37</v>
      </c>
      <c r="U1914">
        <v>72</v>
      </c>
      <c r="V1914">
        <v>4.2</v>
      </c>
      <c r="W1914" t="s">
        <v>47</v>
      </c>
      <c r="X1914" t="s">
        <v>29</v>
      </c>
    </row>
    <row r="1915" spans="1:24" x14ac:dyDescent="0.3">
      <c r="A1915" t="s">
        <v>3191</v>
      </c>
      <c r="B1915" t="s">
        <v>77</v>
      </c>
      <c r="C1915" t="s">
        <v>78</v>
      </c>
      <c r="D1915" t="str">
        <f t="shared" si="87"/>
        <v>Evening</v>
      </c>
      <c r="E1915">
        <f>HOUR(EV_Data[[#This Row],[Charging Start Time]])</f>
        <v>17</v>
      </c>
      <c r="F1915" s="1">
        <v>45006.708333333336</v>
      </c>
      <c r="G1915" s="1">
        <v>45006.779861111107</v>
      </c>
      <c r="H1915">
        <v>103</v>
      </c>
      <c r="I1915">
        <v>21.26</v>
      </c>
      <c r="J1915" t="str">
        <f t="shared" si="88"/>
        <v>Medium</v>
      </c>
      <c r="K1915" t="s">
        <v>42</v>
      </c>
      <c r="L1915">
        <v>53</v>
      </c>
      <c r="M1915">
        <v>68</v>
      </c>
      <c r="N1915" t="str">
        <f t="shared" si="89"/>
        <v>Low Cost</v>
      </c>
      <c r="O1915">
        <v>5.69</v>
      </c>
      <c r="P1915" t="s">
        <v>43</v>
      </c>
      <c r="Q1915" t="s">
        <v>48</v>
      </c>
      <c r="R1915" t="s">
        <v>25</v>
      </c>
      <c r="S1915" t="s">
        <v>1254</v>
      </c>
      <c r="T1915" t="s">
        <v>37</v>
      </c>
      <c r="U1915">
        <v>98</v>
      </c>
      <c r="V1915">
        <v>4.5999999999999996</v>
      </c>
      <c r="W1915" t="s">
        <v>28</v>
      </c>
      <c r="X1915" t="s">
        <v>68</v>
      </c>
    </row>
    <row r="1916" spans="1:24" x14ac:dyDescent="0.3">
      <c r="A1916" t="s">
        <v>3192</v>
      </c>
      <c r="B1916" t="s">
        <v>53</v>
      </c>
      <c r="C1916" t="s">
        <v>54</v>
      </c>
      <c r="D1916" t="str">
        <f t="shared" si="87"/>
        <v>Evening</v>
      </c>
      <c r="E1916">
        <f>HOUR(EV_Data[[#This Row],[Charging Start Time]])</f>
        <v>18</v>
      </c>
      <c r="F1916" s="1">
        <v>45006.75</v>
      </c>
      <c r="G1916" s="1">
        <v>45006.790972222218</v>
      </c>
      <c r="H1916">
        <v>59</v>
      </c>
      <c r="I1916">
        <v>8.17</v>
      </c>
      <c r="J1916" t="str">
        <f t="shared" si="88"/>
        <v>Low</v>
      </c>
      <c r="K1916" t="s">
        <v>32</v>
      </c>
      <c r="L1916">
        <v>49</v>
      </c>
      <c r="M1916">
        <v>81</v>
      </c>
      <c r="N1916" t="str">
        <f t="shared" si="89"/>
        <v>Low Cost</v>
      </c>
      <c r="O1916">
        <v>2.25</v>
      </c>
      <c r="P1916" t="s">
        <v>23</v>
      </c>
      <c r="Q1916" t="s">
        <v>48</v>
      </c>
      <c r="R1916" t="s">
        <v>25</v>
      </c>
      <c r="S1916" t="s">
        <v>1019</v>
      </c>
      <c r="T1916" t="s">
        <v>60</v>
      </c>
      <c r="U1916">
        <v>98</v>
      </c>
      <c r="V1916">
        <v>3.8</v>
      </c>
      <c r="W1916" t="s">
        <v>28</v>
      </c>
      <c r="X1916" t="s">
        <v>68</v>
      </c>
    </row>
    <row r="1917" spans="1:24" x14ac:dyDescent="0.3">
      <c r="A1917" t="s">
        <v>3193</v>
      </c>
      <c r="B1917" t="s">
        <v>40</v>
      </c>
      <c r="C1917" t="s">
        <v>41</v>
      </c>
      <c r="D1917" t="str">
        <f t="shared" si="87"/>
        <v>Evening</v>
      </c>
      <c r="E1917">
        <f>HOUR(EV_Data[[#This Row],[Charging Start Time]])</f>
        <v>19</v>
      </c>
      <c r="F1917" s="1">
        <v>45006.791666666664</v>
      </c>
      <c r="G1917" s="1">
        <v>45006.831944444442</v>
      </c>
      <c r="H1917">
        <v>58</v>
      </c>
      <c r="I1917">
        <v>18.11</v>
      </c>
      <c r="J1917" t="str">
        <f t="shared" si="88"/>
        <v>Low</v>
      </c>
      <c r="K1917" t="s">
        <v>22</v>
      </c>
      <c r="L1917">
        <v>80</v>
      </c>
      <c r="M1917">
        <v>100</v>
      </c>
      <c r="N1917" t="str">
        <f t="shared" si="89"/>
        <v>Low Cost</v>
      </c>
      <c r="O1917">
        <v>4.42</v>
      </c>
      <c r="P1917" t="s">
        <v>43</v>
      </c>
      <c r="Q1917" t="s">
        <v>48</v>
      </c>
      <c r="R1917" t="s">
        <v>56</v>
      </c>
      <c r="S1917" t="s">
        <v>1255</v>
      </c>
      <c r="T1917" t="s">
        <v>37</v>
      </c>
      <c r="U1917">
        <v>46</v>
      </c>
      <c r="V1917">
        <v>2.1</v>
      </c>
      <c r="W1917" t="s">
        <v>38</v>
      </c>
      <c r="X1917" t="s">
        <v>83</v>
      </c>
    </row>
    <row r="1918" spans="1:24" x14ac:dyDescent="0.3">
      <c r="A1918" t="s">
        <v>3194</v>
      </c>
      <c r="B1918" t="s">
        <v>20</v>
      </c>
      <c r="C1918" t="s">
        <v>21</v>
      </c>
      <c r="D1918" t="str">
        <f t="shared" si="87"/>
        <v>Evening</v>
      </c>
      <c r="E1918">
        <f>HOUR(EV_Data[[#This Row],[Charging Start Time]])</f>
        <v>20</v>
      </c>
      <c r="F1918" s="1">
        <v>45006.833333333336</v>
      </c>
      <c r="G1918" s="1">
        <v>45006.894444444442</v>
      </c>
      <c r="H1918">
        <v>88</v>
      </c>
      <c r="I1918">
        <v>12</v>
      </c>
      <c r="J1918" t="str">
        <f t="shared" si="88"/>
        <v>Low</v>
      </c>
      <c r="K1918" t="s">
        <v>22</v>
      </c>
      <c r="L1918">
        <v>30</v>
      </c>
      <c r="M1918">
        <v>40</v>
      </c>
      <c r="N1918" t="str">
        <f t="shared" si="89"/>
        <v>Low Cost</v>
      </c>
      <c r="O1918">
        <v>4.55</v>
      </c>
      <c r="P1918" t="s">
        <v>23</v>
      </c>
      <c r="Q1918" t="s">
        <v>24</v>
      </c>
      <c r="R1918" t="s">
        <v>56</v>
      </c>
      <c r="S1918" t="s">
        <v>245</v>
      </c>
      <c r="T1918" t="s">
        <v>27</v>
      </c>
      <c r="U1918">
        <v>9</v>
      </c>
      <c r="V1918">
        <v>2.5</v>
      </c>
      <c r="W1918" t="s">
        <v>47</v>
      </c>
      <c r="X1918" t="s">
        <v>29</v>
      </c>
    </row>
    <row r="1919" spans="1:24" x14ac:dyDescent="0.3">
      <c r="A1919" t="s">
        <v>3195</v>
      </c>
      <c r="B1919" t="s">
        <v>77</v>
      </c>
      <c r="C1919" t="s">
        <v>78</v>
      </c>
      <c r="D1919" t="str">
        <f t="shared" si="87"/>
        <v>Evening</v>
      </c>
      <c r="E1919">
        <f>HOUR(EV_Data[[#This Row],[Charging Start Time]])</f>
        <v>21</v>
      </c>
      <c r="F1919" s="1">
        <v>45006.875</v>
      </c>
      <c r="G1919" s="1">
        <v>45006.893055555563</v>
      </c>
      <c r="H1919">
        <v>26</v>
      </c>
      <c r="I1919">
        <v>8.49</v>
      </c>
      <c r="J1919" t="str">
        <f t="shared" si="88"/>
        <v>Low</v>
      </c>
      <c r="K1919" t="s">
        <v>50</v>
      </c>
      <c r="L1919">
        <v>61</v>
      </c>
      <c r="M1919">
        <v>77</v>
      </c>
      <c r="N1919" t="str">
        <f t="shared" si="89"/>
        <v>Low Cost</v>
      </c>
      <c r="O1919">
        <v>2.58</v>
      </c>
      <c r="P1919" t="s">
        <v>64</v>
      </c>
      <c r="Q1919" t="s">
        <v>48</v>
      </c>
      <c r="R1919" t="s">
        <v>35</v>
      </c>
      <c r="S1919" t="s">
        <v>1256</v>
      </c>
      <c r="T1919" t="s">
        <v>60</v>
      </c>
      <c r="U1919">
        <v>98</v>
      </c>
      <c r="V1919">
        <v>3</v>
      </c>
      <c r="W1919" t="s">
        <v>28</v>
      </c>
      <c r="X1919" t="s">
        <v>68</v>
      </c>
    </row>
    <row r="1920" spans="1:24" x14ac:dyDescent="0.3">
      <c r="A1920" t="s">
        <v>3196</v>
      </c>
      <c r="B1920" t="s">
        <v>53</v>
      </c>
      <c r="C1920" t="s">
        <v>54</v>
      </c>
      <c r="D1920" t="str">
        <f t="shared" si="87"/>
        <v>Evening</v>
      </c>
      <c r="E1920">
        <f>HOUR(EV_Data[[#This Row],[Charging Start Time]])</f>
        <v>22</v>
      </c>
      <c r="F1920" s="1">
        <v>45006.916666666664</v>
      </c>
      <c r="G1920" s="1">
        <v>45006.938888888893</v>
      </c>
      <c r="H1920">
        <v>32</v>
      </c>
      <c r="I1920">
        <v>42.79</v>
      </c>
      <c r="J1920" t="str">
        <f t="shared" si="88"/>
        <v>Medium</v>
      </c>
      <c r="K1920" t="s">
        <v>55</v>
      </c>
      <c r="L1920">
        <v>22</v>
      </c>
      <c r="M1920">
        <v>38</v>
      </c>
      <c r="N1920" t="str">
        <f t="shared" si="89"/>
        <v>Medium Cost</v>
      </c>
      <c r="O1920">
        <v>13.83</v>
      </c>
      <c r="P1920" t="s">
        <v>23</v>
      </c>
      <c r="Q1920" t="s">
        <v>34</v>
      </c>
      <c r="R1920" t="s">
        <v>35</v>
      </c>
      <c r="S1920" t="s">
        <v>951</v>
      </c>
      <c r="T1920" t="s">
        <v>27</v>
      </c>
      <c r="U1920">
        <v>93</v>
      </c>
      <c r="V1920">
        <v>2.7</v>
      </c>
      <c r="W1920" t="s">
        <v>38</v>
      </c>
      <c r="X1920" t="s">
        <v>62</v>
      </c>
    </row>
    <row r="1921" spans="1:24" x14ac:dyDescent="0.3">
      <c r="A1921" t="s">
        <v>3197</v>
      </c>
      <c r="B1921" t="s">
        <v>40</v>
      </c>
      <c r="C1921" t="s">
        <v>41</v>
      </c>
      <c r="D1921" t="str">
        <f t="shared" si="87"/>
        <v>Evening</v>
      </c>
      <c r="E1921">
        <f>HOUR(EV_Data[[#This Row],[Charging Start Time]])</f>
        <v>23</v>
      </c>
      <c r="F1921" s="1">
        <v>45006.958333333336</v>
      </c>
      <c r="G1921" s="1">
        <v>45006.98333333333</v>
      </c>
      <c r="H1921">
        <v>36</v>
      </c>
      <c r="I1921">
        <v>37.03</v>
      </c>
      <c r="J1921" t="str">
        <f t="shared" si="88"/>
        <v>Medium</v>
      </c>
      <c r="K1921" t="s">
        <v>32</v>
      </c>
      <c r="L1921">
        <v>60</v>
      </c>
      <c r="M1921">
        <v>73</v>
      </c>
      <c r="N1921" t="str">
        <f t="shared" si="89"/>
        <v>Medium Cost</v>
      </c>
      <c r="O1921">
        <v>14.83</v>
      </c>
      <c r="P1921" t="s">
        <v>51</v>
      </c>
      <c r="Q1921" t="s">
        <v>48</v>
      </c>
      <c r="R1921" t="s">
        <v>56</v>
      </c>
      <c r="S1921" t="s">
        <v>1238</v>
      </c>
      <c r="T1921" t="s">
        <v>37</v>
      </c>
      <c r="U1921">
        <v>5</v>
      </c>
      <c r="V1921">
        <v>3.3</v>
      </c>
      <c r="W1921" t="s">
        <v>38</v>
      </c>
    </row>
    <row r="1922" spans="1:24" x14ac:dyDescent="0.3">
      <c r="A1922" t="s">
        <v>3198</v>
      </c>
      <c r="B1922" t="s">
        <v>40</v>
      </c>
      <c r="C1922" t="s">
        <v>41</v>
      </c>
      <c r="D1922" t="str">
        <f t="shared" ref="D1922:D1985" si="90">IF(E1922&lt;12,"Morning",IF(E1922&lt;17,"Afternoon","Evening"))</f>
        <v>Morning</v>
      </c>
      <c r="E1922">
        <f>HOUR(EV_Data[[#This Row],[Charging Start Time]])</f>
        <v>0</v>
      </c>
      <c r="F1922" s="1">
        <v>45007</v>
      </c>
      <c r="G1922" s="1">
        <v>45007.03402777778</v>
      </c>
      <c r="H1922">
        <v>49</v>
      </c>
      <c r="I1922">
        <v>25.96</v>
      </c>
      <c r="J1922" t="str">
        <f t="shared" ref="J1922:J1985" si="91">IF(I1922&lt;20,"Low",IF(I1922&lt;50,"Medium","High"))</f>
        <v>Medium</v>
      </c>
      <c r="K1922" t="s">
        <v>50</v>
      </c>
      <c r="L1922">
        <v>61</v>
      </c>
      <c r="M1922">
        <v>91</v>
      </c>
      <c r="N1922" t="str">
        <f t="shared" ref="N1922:N1985" si="92">IF(O1922&lt;8,"Low Cost",IF(O1922&lt;17,"Medium Cost","High Cost"))</f>
        <v>Medium Cost</v>
      </c>
      <c r="O1922">
        <v>8.56</v>
      </c>
      <c r="P1922" t="s">
        <v>33</v>
      </c>
      <c r="Q1922" t="s">
        <v>58</v>
      </c>
      <c r="R1922" t="s">
        <v>25</v>
      </c>
      <c r="S1922" t="s">
        <v>1257</v>
      </c>
      <c r="T1922" t="s">
        <v>37</v>
      </c>
      <c r="U1922">
        <v>87</v>
      </c>
      <c r="V1922">
        <v>2.1</v>
      </c>
      <c r="W1922" t="s">
        <v>28</v>
      </c>
      <c r="X1922" t="s">
        <v>68</v>
      </c>
    </row>
    <row r="1923" spans="1:24" x14ac:dyDescent="0.3">
      <c r="A1923" t="s">
        <v>3199</v>
      </c>
      <c r="B1923" t="s">
        <v>92</v>
      </c>
      <c r="C1923" t="s">
        <v>93</v>
      </c>
      <c r="D1923" t="str">
        <f t="shared" si="90"/>
        <v>Morning</v>
      </c>
      <c r="E1923">
        <f>HOUR(EV_Data[[#This Row],[Charging Start Time]])</f>
        <v>1</v>
      </c>
      <c r="F1923" s="1">
        <v>45007.041666666664</v>
      </c>
      <c r="G1923" s="1">
        <v>45007.070138888892</v>
      </c>
      <c r="H1923">
        <v>41</v>
      </c>
      <c r="I1923">
        <v>42.91</v>
      </c>
      <c r="J1923" t="str">
        <f t="shared" si="91"/>
        <v>Medium</v>
      </c>
      <c r="K1923" t="s">
        <v>69</v>
      </c>
      <c r="L1923">
        <v>62</v>
      </c>
      <c r="M1923">
        <v>77</v>
      </c>
      <c r="N1923" t="str">
        <f t="shared" si="92"/>
        <v>Medium Cost</v>
      </c>
      <c r="O1923">
        <v>13.54</v>
      </c>
      <c r="P1923" t="s">
        <v>33</v>
      </c>
      <c r="Q1923" t="s">
        <v>58</v>
      </c>
      <c r="R1923" t="s">
        <v>56</v>
      </c>
      <c r="S1923" t="s">
        <v>342</v>
      </c>
      <c r="T1923" t="s">
        <v>46</v>
      </c>
      <c r="U1923">
        <v>9</v>
      </c>
      <c r="V1923">
        <v>2.6</v>
      </c>
      <c r="W1923" t="s">
        <v>28</v>
      </c>
      <c r="X1923" t="s">
        <v>68</v>
      </c>
    </row>
    <row r="1924" spans="1:24" x14ac:dyDescent="0.3">
      <c r="A1924" t="s">
        <v>3200</v>
      </c>
      <c r="B1924" t="s">
        <v>40</v>
      </c>
      <c r="C1924" t="s">
        <v>41</v>
      </c>
      <c r="D1924" t="str">
        <f t="shared" si="90"/>
        <v>Morning</v>
      </c>
      <c r="E1924">
        <f>HOUR(EV_Data[[#This Row],[Charging Start Time]])</f>
        <v>2</v>
      </c>
      <c r="F1924" s="1">
        <v>45007.083333333336</v>
      </c>
      <c r="G1924" s="1">
        <v>45007.134027777778</v>
      </c>
      <c r="H1924">
        <v>73</v>
      </c>
      <c r="I1924">
        <v>21.08</v>
      </c>
      <c r="J1924" t="str">
        <f t="shared" si="91"/>
        <v>Medium</v>
      </c>
      <c r="K1924" t="s">
        <v>22</v>
      </c>
      <c r="L1924">
        <v>44</v>
      </c>
      <c r="M1924">
        <v>71</v>
      </c>
      <c r="N1924" t="str">
        <f t="shared" si="92"/>
        <v>Medium Cost</v>
      </c>
      <c r="O1924">
        <v>9.33</v>
      </c>
      <c r="P1924" t="s">
        <v>23</v>
      </c>
      <c r="Q1924" t="s">
        <v>24</v>
      </c>
      <c r="R1924" t="s">
        <v>44</v>
      </c>
      <c r="S1924" t="s">
        <v>398</v>
      </c>
      <c r="T1924" t="s">
        <v>37</v>
      </c>
      <c r="U1924">
        <v>91</v>
      </c>
      <c r="V1924">
        <v>1.8</v>
      </c>
      <c r="W1924" t="s">
        <v>38</v>
      </c>
      <c r="X1924" t="s">
        <v>62</v>
      </c>
    </row>
    <row r="1925" spans="1:24" x14ac:dyDescent="0.3">
      <c r="A1925" t="s">
        <v>3201</v>
      </c>
      <c r="B1925" t="s">
        <v>77</v>
      </c>
      <c r="C1925" t="s">
        <v>78</v>
      </c>
      <c r="D1925" t="str">
        <f t="shared" si="90"/>
        <v>Morning</v>
      </c>
      <c r="E1925">
        <f>HOUR(EV_Data[[#This Row],[Charging Start Time]])</f>
        <v>3</v>
      </c>
      <c r="F1925" s="1">
        <v>45007.125</v>
      </c>
      <c r="G1925" s="1">
        <v>45007.150694444441</v>
      </c>
      <c r="H1925">
        <v>37</v>
      </c>
      <c r="I1925">
        <v>24.46</v>
      </c>
      <c r="J1925" t="str">
        <f t="shared" si="91"/>
        <v>Medium</v>
      </c>
      <c r="K1925" t="s">
        <v>55</v>
      </c>
      <c r="L1925">
        <v>67</v>
      </c>
      <c r="M1925">
        <v>92</v>
      </c>
      <c r="N1925" t="str">
        <f t="shared" si="92"/>
        <v>Low Cost</v>
      </c>
      <c r="O1925">
        <v>7.65</v>
      </c>
      <c r="P1925" t="s">
        <v>64</v>
      </c>
      <c r="Q1925" t="s">
        <v>48</v>
      </c>
      <c r="R1925" t="s">
        <v>44</v>
      </c>
      <c r="S1925" t="s">
        <v>946</v>
      </c>
      <c r="T1925" t="s">
        <v>60</v>
      </c>
      <c r="U1925">
        <v>79</v>
      </c>
      <c r="V1925">
        <v>1.3</v>
      </c>
      <c r="W1925" t="s">
        <v>47</v>
      </c>
      <c r="X1925" t="s">
        <v>29</v>
      </c>
    </row>
    <row r="1926" spans="1:24" x14ac:dyDescent="0.3">
      <c r="A1926" t="s">
        <v>3202</v>
      </c>
      <c r="B1926" t="s">
        <v>20</v>
      </c>
      <c r="C1926" t="s">
        <v>21</v>
      </c>
      <c r="D1926" t="str">
        <f t="shared" si="90"/>
        <v>Morning</v>
      </c>
      <c r="E1926">
        <f>HOUR(EV_Data[[#This Row],[Charging Start Time]])</f>
        <v>4</v>
      </c>
      <c r="F1926" s="1">
        <v>45007.166666666664</v>
      </c>
      <c r="G1926" s="1">
        <v>45007.193055555559</v>
      </c>
      <c r="H1926">
        <v>38</v>
      </c>
      <c r="I1926">
        <v>19.649999999999999</v>
      </c>
      <c r="J1926" t="str">
        <f t="shared" si="91"/>
        <v>Low</v>
      </c>
      <c r="K1926" t="s">
        <v>55</v>
      </c>
      <c r="L1926">
        <v>37</v>
      </c>
      <c r="M1926">
        <v>55</v>
      </c>
      <c r="N1926" t="str">
        <f t="shared" si="92"/>
        <v>Low Cost</v>
      </c>
      <c r="O1926">
        <v>4.6100000000000003</v>
      </c>
      <c r="P1926" t="s">
        <v>51</v>
      </c>
      <c r="Q1926" t="s">
        <v>34</v>
      </c>
      <c r="R1926" t="s">
        <v>25</v>
      </c>
      <c r="S1926" t="s">
        <v>653</v>
      </c>
      <c r="T1926" t="s">
        <v>60</v>
      </c>
      <c r="U1926">
        <v>100</v>
      </c>
      <c r="V1926">
        <v>1.2</v>
      </c>
      <c r="W1926" t="s">
        <v>28</v>
      </c>
      <c r="X1926" t="s">
        <v>68</v>
      </c>
    </row>
    <row r="1927" spans="1:24" x14ac:dyDescent="0.3">
      <c r="A1927" t="s">
        <v>3203</v>
      </c>
      <c r="B1927" t="s">
        <v>20</v>
      </c>
      <c r="C1927" t="s">
        <v>21</v>
      </c>
      <c r="D1927" t="str">
        <f t="shared" si="90"/>
        <v>Morning</v>
      </c>
      <c r="E1927">
        <f>HOUR(EV_Data[[#This Row],[Charging Start Time]])</f>
        <v>5</v>
      </c>
      <c r="F1927" s="1">
        <v>45007.208333333336</v>
      </c>
      <c r="G1927" s="1">
        <v>45007.291666666657</v>
      </c>
      <c r="H1927">
        <v>120</v>
      </c>
      <c r="I1927">
        <v>34.26</v>
      </c>
      <c r="J1927" t="str">
        <f t="shared" si="91"/>
        <v>Medium</v>
      </c>
      <c r="K1927" t="s">
        <v>69</v>
      </c>
      <c r="L1927">
        <v>53</v>
      </c>
      <c r="M1927">
        <v>64</v>
      </c>
      <c r="N1927" t="str">
        <f t="shared" si="92"/>
        <v>Medium Cost</v>
      </c>
      <c r="O1927">
        <v>9.86</v>
      </c>
      <c r="P1927" t="s">
        <v>51</v>
      </c>
      <c r="Q1927" t="s">
        <v>58</v>
      </c>
      <c r="R1927" t="s">
        <v>44</v>
      </c>
      <c r="S1927" t="s">
        <v>1258</v>
      </c>
      <c r="T1927" t="s">
        <v>46</v>
      </c>
      <c r="U1927">
        <v>58</v>
      </c>
      <c r="V1927">
        <v>2.1</v>
      </c>
      <c r="W1927" t="s">
        <v>47</v>
      </c>
      <c r="X1927" t="s">
        <v>29</v>
      </c>
    </row>
    <row r="1928" spans="1:24" x14ac:dyDescent="0.3">
      <c r="A1928" t="s">
        <v>3204</v>
      </c>
      <c r="B1928" t="s">
        <v>53</v>
      </c>
      <c r="C1928" t="s">
        <v>54</v>
      </c>
      <c r="D1928" t="str">
        <f t="shared" si="90"/>
        <v>Morning</v>
      </c>
      <c r="E1928">
        <f>HOUR(EV_Data[[#This Row],[Charging Start Time]])</f>
        <v>6</v>
      </c>
      <c r="F1928" s="1">
        <v>45007.25</v>
      </c>
      <c r="G1928" s="1">
        <v>45007.274305555547</v>
      </c>
      <c r="H1928">
        <v>35</v>
      </c>
      <c r="I1928">
        <v>9.5</v>
      </c>
      <c r="J1928" t="str">
        <f t="shared" si="91"/>
        <v>Low</v>
      </c>
      <c r="K1928" t="s">
        <v>22</v>
      </c>
      <c r="L1928">
        <v>31</v>
      </c>
      <c r="M1928">
        <v>60</v>
      </c>
      <c r="N1928" t="str">
        <f t="shared" si="92"/>
        <v>Low Cost</v>
      </c>
      <c r="O1928">
        <v>2.5299999999999998</v>
      </c>
      <c r="P1928" t="s">
        <v>23</v>
      </c>
      <c r="Q1928" t="s">
        <v>34</v>
      </c>
      <c r="R1928" t="s">
        <v>25</v>
      </c>
      <c r="S1928" t="s">
        <v>1210</v>
      </c>
      <c r="T1928" t="s">
        <v>46</v>
      </c>
      <c r="U1928">
        <v>87</v>
      </c>
      <c r="V1928">
        <v>1.6</v>
      </c>
      <c r="W1928" t="s">
        <v>28</v>
      </c>
      <c r="X1928" t="s">
        <v>68</v>
      </c>
    </row>
    <row r="1929" spans="1:24" x14ac:dyDescent="0.3">
      <c r="A1929" t="s">
        <v>3205</v>
      </c>
      <c r="B1929" t="s">
        <v>30</v>
      </c>
      <c r="C1929" t="s">
        <v>102</v>
      </c>
      <c r="D1929" t="str">
        <f t="shared" si="90"/>
        <v>Morning</v>
      </c>
      <c r="E1929">
        <f>HOUR(EV_Data[[#This Row],[Charging Start Time]])</f>
        <v>7</v>
      </c>
      <c r="F1929" s="1">
        <v>45007.291666666664</v>
      </c>
      <c r="G1929" s="1">
        <v>45007.324305555558</v>
      </c>
      <c r="H1929">
        <v>47</v>
      </c>
      <c r="I1929">
        <v>21.24</v>
      </c>
      <c r="J1929" t="str">
        <f t="shared" si="91"/>
        <v>Medium</v>
      </c>
      <c r="K1929" t="s">
        <v>55</v>
      </c>
      <c r="L1929">
        <v>36</v>
      </c>
      <c r="M1929">
        <v>69</v>
      </c>
      <c r="N1929" t="str">
        <f t="shared" si="92"/>
        <v>Medium Cost</v>
      </c>
      <c r="O1929">
        <v>10.43</v>
      </c>
      <c r="P1929" t="s">
        <v>23</v>
      </c>
      <c r="Q1929" t="s">
        <v>34</v>
      </c>
      <c r="R1929" t="s">
        <v>35</v>
      </c>
      <c r="S1929" t="s">
        <v>1093</v>
      </c>
      <c r="T1929" t="s">
        <v>37</v>
      </c>
      <c r="U1929">
        <v>9</v>
      </c>
      <c r="V1929">
        <v>1.2</v>
      </c>
      <c r="W1929" t="s">
        <v>47</v>
      </c>
      <c r="X1929" t="s">
        <v>29</v>
      </c>
    </row>
    <row r="1930" spans="1:24" x14ac:dyDescent="0.3">
      <c r="A1930" t="s">
        <v>3206</v>
      </c>
      <c r="B1930" t="s">
        <v>20</v>
      </c>
      <c r="C1930" t="s">
        <v>21</v>
      </c>
      <c r="D1930" t="str">
        <f t="shared" si="90"/>
        <v>Morning</v>
      </c>
      <c r="E1930">
        <f>HOUR(EV_Data[[#This Row],[Charging Start Time]])</f>
        <v>8</v>
      </c>
      <c r="F1930" s="1">
        <v>45007.333333333336</v>
      </c>
      <c r="G1930" s="1">
        <v>45007.379166666673</v>
      </c>
      <c r="H1930">
        <v>66</v>
      </c>
      <c r="I1930">
        <v>44.76</v>
      </c>
      <c r="J1930" t="str">
        <f t="shared" si="91"/>
        <v>Medium</v>
      </c>
      <c r="K1930" t="s">
        <v>50</v>
      </c>
      <c r="L1930">
        <v>42</v>
      </c>
      <c r="M1930">
        <v>78</v>
      </c>
      <c r="N1930" t="str">
        <f t="shared" si="92"/>
        <v>High Cost</v>
      </c>
      <c r="O1930">
        <v>18.02</v>
      </c>
      <c r="P1930" t="s">
        <v>33</v>
      </c>
      <c r="Q1930" t="s">
        <v>58</v>
      </c>
      <c r="R1930" t="s">
        <v>44</v>
      </c>
      <c r="S1930" t="s">
        <v>1259</v>
      </c>
      <c r="T1930" t="s">
        <v>46</v>
      </c>
      <c r="U1930">
        <v>34</v>
      </c>
      <c r="V1930">
        <v>2.2999999999999998</v>
      </c>
      <c r="W1930" t="s">
        <v>28</v>
      </c>
      <c r="X1930" t="s">
        <v>68</v>
      </c>
    </row>
    <row r="1931" spans="1:24" x14ac:dyDescent="0.3">
      <c r="A1931" t="s">
        <v>3207</v>
      </c>
      <c r="B1931" t="s">
        <v>71</v>
      </c>
      <c r="C1931" t="s">
        <v>72</v>
      </c>
      <c r="D1931" t="str">
        <f t="shared" si="90"/>
        <v>Morning</v>
      </c>
      <c r="E1931">
        <f>HOUR(EV_Data[[#This Row],[Charging Start Time]])</f>
        <v>9</v>
      </c>
      <c r="F1931" s="1">
        <v>45007.375</v>
      </c>
      <c r="G1931" s="1">
        <v>45007.420138888891</v>
      </c>
      <c r="H1931">
        <v>65</v>
      </c>
      <c r="I1931">
        <v>19.350000000000001</v>
      </c>
      <c r="J1931" t="str">
        <f t="shared" si="91"/>
        <v>Low</v>
      </c>
      <c r="K1931" t="s">
        <v>32</v>
      </c>
      <c r="L1931">
        <v>46</v>
      </c>
      <c r="M1931">
        <v>61</v>
      </c>
      <c r="N1931" t="str">
        <f t="shared" si="92"/>
        <v>Low Cost</v>
      </c>
      <c r="O1931">
        <v>6.9</v>
      </c>
      <c r="P1931" t="s">
        <v>43</v>
      </c>
      <c r="Q1931" t="s">
        <v>58</v>
      </c>
      <c r="R1931" t="s">
        <v>25</v>
      </c>
      <c r="S1931" t="s">
        <v>846</v>
      </c>
      <c r="T1931" t="s">
        <v>37</v>
      </c>
      <c r="U1931">
        <v>83</v>
      </c>
      <c r="V1931">
        <v>3.7</v>
      </c>
      <c r="W1931" t="s">
        <v>28</v>
      </c>
      <c r="X1931" t="s">
        <v>68</v>
      </c>
    </row>
    <row r="1932" spans="1:24" x14ac:dyDescent="0.3">
      <c r="A1932" t="s">
        <v>3208</v>
      </c>
      <c r="B1932" t="s">
        <v>53</v>
      </c>
      <c r="C1932" t="s">
        <v>54</v>
      </c>
      <c r="D1932" t="str">
        <f t="shared" si="90"/>
        <v>Morning</v>
      </c>
      <c r="E1932">
        <f>HOUR(EV_Data[[#This Row],[Charging Start Time]])</f>
        <v>10</v>
      </c>
      <c r="F1932" s="1">
        <v>45007.416666666664</v>
      </c>
      <c r="G1932" s="1">
        <v>45007.434027777781</v>
      </c>
      <c r="H1932">
        <v>25</v>
      </c>
      <c r="I1932">
        <v>19.53</v>
      </c>
      <c r="J1932" t="str">
        <f t="shared" si="91"/>
        <v>Low</v>
      </c>
      <c r="K1932" t="s">
        <v>50</v>
      </c>
      <c r="L1932">
        <v>65</v>
      </c>
      <c r="M1932">
        <v>100</v>
      </c>
      <c r="N1932" t="str">
        <f t="shared" si="92"/>
        <v>Low Cost</v>
      </c>
      <c r="O1932">
        <v>6.94</v>
      </c>
      <c r="P1932" t="s">
        <v>33</v>
      </c>
      <c r="Q1932" t="s">
        <v>48</v>
      </c>
      <c r="R1932" t="s">
        <v>56</v>
      </c>
      <c r="S1932" t="s">
        <v>877</v>
      </c>
      <c r="T1932" t="s">
        <v>37</v>
      </c>
      <c r="U1932">
        <v>79</v>
      </c>
      <c r="V1932">
        <v>3.6</v>
      </c>
      <c r="W1932" t="s">
        <v>47</v>
      </c>
      <c r="X1932" t="s">
        <v>29</v>
      </c>
    </row>
    <row r="1933" spans="1:24" x14ac:dyDescent="0.3">
      <c r="A1933" t="s">
        <v>3209</v>
      </c>
      <c r="B1933" t="s">
        <v>77</v>
      </c>
      <c r="C1933" t="s">
        <v>78</v>
      </c>
      <c r="D1933" t="str">
        <f t="shared" si="90"/>
        <v>Morning</v>
      </c>
      <c r="E1933">
        <f>HOUR(EV_Data[[#This Row],[Charging Start Time]])</f>
        <v>11</v>
      </c>
      <c r="F1933" s="1">
        <v>45007.458333333336</v>
      </c>
      <c r="G1933" s="1">
        <v>45007.506249999999</v>
      </c>
      <c r="H1933">
        <v>69</v>
      </c>
      <c r="I1933">
        <v>20.63</v>
      </c>
      <c r="J1933" t="str">
        <f t="shared" si="91"/>
        <v>Medium</v>
      </c>
      <c r="K1933" t="s">
        <v>69</v>
      </c>
      <c r="L1933">
        <v>39</v>
      </c>
      <c r="M1933">
        <v>75</v>
      </c>
      <c r="N1933" t="str">
        <f t="shared" si="92"/>
        <v>Low Cost</v>
      </c>
      <c r="O1933">
        <v>5.77</v>
      </c>
      <c r="P1933" t="s">
        <v>23</v>
      </c>
      <c r="Q1933" t="s">
        <v>24</v>
      </c>
      <c r="R1933" t="s">
        <v>25</v>
      </c>
      <c r="S1933" t="s">
        <v>1260</v>
      </c>
      <c r="T1933" t="s">
        <v>37</v>
      </c>
      <c r="U1933">
        <v>37</v>
      </c>
      <c r="V1933">
        <v>3.7</v>
      </c>
      <c r="W1933" t="s">
        <v>38</v>
      </c>
      <c r="X1933" t="s">
        <v>62</v>
      </c>
    </row>
    <row r="1934" spans="1:24" x14ac:dyDescent="0.3">
      <c r="A1934" t="s">
        <v>3210</v>
      </c>
      <c r="B1934" t="s">
        <v>53</v>
      </c>
      <c r="C1934" t="s">
        <v>54</v>
      </c>
      <c r="D1934" t="str">
        <f t="shared" si="90"/>
        <v>Afternoon</v>
      </c>
      <c r="E1934">
        <f>HOUR(EV_Data[[#This Row],[Charging Start Time]])</f>
        <v>12</v>
      </c>
      <c r="F1934" s="1">
        <v>45007.5</v>
      </c>
      <c r="G1934" s="1">
        <v>45007.54583333333</v>
      </c>
      <c r="H1934">
        <v>66</v>
      </c>
      <c r="I1934">
        <v>35.020000000000003</v>
      </c>
      <c r="J1934" t="str">
        <f t="shared" si="91"/>
        <v>Medium</v>
      </c>
      <c r="K1934" t="s">
        <v>42</v>
      </c>
      <c r="L1934">
        <v>60</v>
      </c>
      <c r="M1934">
        <v>71</v>
      </c>
      <c r="N1934" t="str">
        <f t="shared" si="92"/>
        <v>Medium Cost</v>
      </c>
      <c r="O1934">
        <v>9.81</v>
      </c>
      <c r="P1934" t="s">
        <v>43</v>
      </c>
      <c r="Q1934" t="s">
        <v>48</v>
      </c>
      <c r="R1934" t="s">
        <v>35</v>
      </c>
      <c r="S1934" t="s">
        <v>409</v>
      </c>
      <c r="T1934" t="s">
        <v>60</v>
      </c>
      <c r="U1934">
        <v>8</v>
      </c>
      <c r="V1934">
        <v>2.7</v>
      </c>
      <c r="W1934" t="s">
        <v>28</v>
      </c>
      <c r="X1934" t="s">
        <v>68</v>
      </c>
    </row>
    <row r="1935" spans="1:24" x14ac:dyDescent="0.3">
      <c r="A1935" t="s">
        <v>3211</v>
      </c>
      <c r="B1935" t="s">
        <v>40</v>
      </c>
      <c r="C1935" t="s">
        <v>41</v>
      </c>
      <c r="D1935" t="str">
        <f t="shared" si="90"/>
        <v>Afternoon</v>
      </c>
      <c r="E1935">
        <f>HOUR(EV_Data[[#This Row],[Charging Start Time]])</f>
        <v>13</v>
      </c>
      <c r="F1935" s="1">
        <v>45007.541666666664</v>
      </c>
      <c r="G1935" s="1">
        <v>45007.576388888891</v>
      </c>
      <c r="H1935">
        <v>50</v>
      </c>
      <c r="I1935">
        <v>19.22</v>
      </c>
      <c r="J1935" t="str">
        <f t="shared" si="91"/>
        <v>Low</v>
      </c>
      <c r="K1935" t="s">
        <v>42</v>
      </c>
      <c r="L1935">
        <v>27</v>
      </c>
      <c r="M1935">
        <v>46</v>
      </c>
      <c r="N1935" t="str">
        <f t="shared" si="92"/>
        <v>Low Cost</v>
      </c>
      <c r="O1935">
        <v>6.02</v>
      </c>
      <c r="P1935" t="s">
        <v>43</v>
      </c>
      <c r="Q1935" t="s">
        <v>48</v>
      </c>
      <c r="R1935" t="s">
        <v>56</v>
      </c>
      <c r="S1935" t="s">
        <v>1261</v>
      </c>
      <c r="T1935" t="s">
        <v>37</v>
      </c>
      <c r="U1935">
        <v>74</v>
      </c>
      <c r="V1935">
        <v>2.6</v>
      </c>
      <c r="W1935" t="s">
        <v>28</v>
      </c>
      <c r="X1935" t="s">
        <v>68</v>
      </c>
    </row>
    <row r="1936" spans="1:24" x14ac:dyDescent="0.3">
      <c r="A1936" t="s">
        <v>3212</v>
      </c>
      <c r="B1936" t="s">
        <v>20</v>
      </c>
      <c r="C1936" t="s">
        <v>21</v>
      </c>
      <c r="D1936" t="str">
        <f t="shared" si="90"/>
        <v>Afternoon</v>
      </c>
      <c r="E1936">
        <f>HOUR(EV_Data[[#This Row],[Charging Start Time]])</f>
        <v>14</v>
      </c>
      <c r="F1936" s="1">
        <v>45007.583333333336</v>
      </c>
      <c r="G1936" s="1">
        <v>45007.615972222222</v>
      </c>
      <c r="H1936">
        <v>47</v>
      </c>
      <c r="I1936">
        <v>48.46</v>
      </c>
      <c r="J1936" t="str">
        <f t="shared" si="91"/>
        <v>Medium</v>
      </c>
      <c r="K1936" t="s">
        <v>22</v>
      </c>
      <c r="L1936">
        <v>61</v>
      </c>
      <c r="M1936">
        <v>80</v>
      </c>
      <c r="N1936" t="str">
        <f t="shared" si="92"/>
        <v>Medium Cost</v>
      </c>
      <c r="O1936">
        <v>11.5</v>
      </c>
      <c r="P1936" t="s">
        <v>23</v>
      </c>
      <c r="Q1936" t="s">
        <v>34</v>
      </c>
      <c r="R1936" t="s">
        <v>25</v>
      </c>
      <c r="S1936" t="s">
        <v>297</v>
      </c>
      <c r="T1936" t="s">
        <v>60</v>
      </c>
      <c r="U1936">
        <v>61</v>
      </c>
      <c r="V1936">
        <v>3.2</v>
      </c>
      <c r="W1936" t="s">
        <v>28</v>
      </c>
      <c r="X1936" t="s">
        <v>68</v>
      </c>
    </row>
    <row r="1937" spans="1:24" x14ac:dyDescent="0.3">
      <c r="A1937" t="s">
        <v>3213</v>
      </c>
      <c r="B1937" t="s">
        <v>77</v>
      </c>
      <c r="C1937" t="s">
        <v>78</v>
      </c>
      <c r="D1937" t="str">
        <f t="shared" si="90"/>
        <v>Afternoon</v>
      </c>
      <c r="E1937">
        <f>HOUR(EV_Data[[#This Row],[Charging Start Time]])</f>
        <v>15</v>
      </c>
      <c r="F1937" s="1">
        <v>45007.625</v>
      </c>
      <c r="G1937" s="1">
        <v>45007.664583333331</v>
      </c>
      <c r="H1937">
        <v>57</v>
      </c>
      <c r="I1937">
        <v>44.39</v>
      </c>
      <c r="J1937" t="str">
        <f t="shared" si="91"/>
        <v>Medium</v>
      </c>
      <c r="K1937" t="s">
        <v>22</v>
      </c>
      <c r="L1937">
        <v>29</v>
      </c>
      <c r="M1937">
        <v>66</v>
      </c>
      <c r="N1937" t="str">
        <f t="shared" si="92"/>
        <v>High Cost</v>
      </c>
      <c r="O1937">
        <v>19.989999999999998</v>
      </c>
      <c r="P1937" t="s">
        <v>51</v>
      </c>
      <c r="Q1937" t="s">
        <v>48</v>
      </c>
      <c r="R1937" t="s">
        <v>25</v>
      </c>
      <c r="S1937" t="s">
        <v>1262</v>
      </c>
      <c r="T1937" t="s">
        <v>46</v>
      </c>
      <c r="U1937">
        <v>59</v>
      </c>
      <c r="V1937">
        <v>1.9</v>
      </c>
      <c r="W1937" t="s">
        <v>38</v>
      </c>
      <c r="X1937" t="s">
        <v>83</v>
      </c>
    </row>
    <row r="1938" spans="1:24" x14ac:dyDescent="0.3">
      <c r="A1938" t="s">
        <v>3214</v>
      </c>
      <c r="B1938" t="s">
        <v>126</v>
      </c>
      <c r="C1938" t="s">
        <v>31</v>
      </c>
      <c r="D1938" t="str">
        <f t="shared" si="90"/>
        <v>Afternoon</v>
      </c>
      <c r="E1938">
        <f>HOUR(EV_Data[[#This Row],[Charging Start Time]])</f>
        <v>16</v>
      </c>
      <c r="F1938" s="1">
        <v>45007.666666666664</v>
      </c>
      <c r="G1938" s="1">
        <v>45007.694444444453</v>
      </c>
      <c r="H1938">
        <v>40</v>
      </c>
      <c r="I1938">
        <v>8.57</v>
      </c>
      <c r="J1938" t="str">
        <f t="shared" si="91"/>
        <v>Low</v>
      </c>
      <c r="K1938" t="s">
        <v>55</v>
      </c>
      <c r="L1938">
        <v>47</v>
      </c>
      <c r="M1938">
        <v>74</v>
      </c>
      <c r="N1938" t="str">
        <f t="shared" si="92"/>
        <v>Low Cost</v>
      </c>
      <c r="O1938">
        <v>3.45</v>
      </c>
      <c r="P1938" t="s">
        <v>43</v>
      </c>
      <c r="Q1938" t="s">
        <v>48</v>
      </c>
      <c r="R1938" t="s">
        <v>25</v>
      </c>
      <c r="S1938" t="s">
        <v>916</v>
      </c>
      <c r="T1938" t="s">
        <v>46</v>
      </c>
      <c r="U1938">
        <v>39</v>
      </c>
      <c r="V1938">
        <v>2.6</v>
      </c>
      <c r="W1938" t="s">
        <v>38</v>
      </c>
    </row>
    <row r="1939" spans="1:24" x14ac:dyDescent="0.3">
      <c r="A1939" t="s">
        <v>3215</v>
      </c>
      <c r="B1939" t="s">
        <v>40</v>
      </c>
      <c r="C1939" t="s">
        <v>41</v>
      </c>
      <c r="D1939" t="str">
        <f t="shared" si="90"/>
        <v>Evening</v>
      </c>
      <c r="E1939">
        <f>HOUR(EV_Data[[#This Row],[Charging Start Time]])</f>
        <v>17</v>
      </c>
      <c r="F1939" s="1">
        <v>45007.708333333336</v>
      </c>
      <c r="G1939" s="1">
        <v>45007.732638888891</v>
      </c>
      <c r="H1939">
        <v>35</v>
      </c>
      <c r="I1939">
        <v>35.83</v>
      </c>
      <c r="J1939" t="str">
        <f t="shared" si="91"/>
        <v>Medium</v>
      </c>
      <c r="K1939" t="s">
        <v>32</v>
      </c>
      <c r="L1939">
        <v>43</v>
      </c>
      <c r="M1939">
        <v>57</v>
      </c>
      <c r="N1939" t="str">
        <f t="shared" si="92"/>
        <v>Low Cost</v>
      </c>
      <c r="O1939">
        <v>7.35</v>
      </c>
      <c r="P1939" t="s">
        <v>23</v>
      </c>
      <c r="Q1939" t="s">
        <v>58</v>
      </c>
      <c r="R1939" t="s">
        <v>35</v>
      </c>
      <c r="S1939" t="s">
        <v>550</v>
      </c>
      <c r="T1939" t="s">
        <v>27</v>
      </c>
      <c r="U1939">
        <v>71</v>
      </c>
      <c r="V1939">
        <v>1.3</v>
      </c>
      <c r="W1939" t="s">
        <v>47</v>
      </c>
      <c r="X1939" t="s">
        <v>29</v>
      </c>
    </row>
    <row r="1940" spans="1:24" x14ac:dyDescent="0.3">
      <c r="A1940" t="s">
        <v>3216</v>
      </c>
      <c r="B1940" t="s">
        <v>77</v>
      </c>
      <c r="C1940" t="s">
        <v>78</v>
      </c>
      <c r="D1940" t="str">
        <f t="shared" si="90"/>
        <v>Evening</v>
      </c>
      <c r="E1940">
        <f>HOUR(EV_Data[[#This Row],[Charging Start Time]])</f>
        <v>18</v>
      </c>
      <c r="F1940" s="1">
        <v>45007.75</v>
      </c>
      <c r="G1940" s="1">
        <v>45007.76458333333</v>
      </c>
      <c r="H1940">
        <v>21</v>
      </c>
      <c r="I1940">
        <v>9.57</v>
      </c>
      <c r="J1940" t="str">
        <f t="shared" si="91"/>
        <v>Low</v>
      </c>
      <c r="K1940" t="s">
        <v>55</v>
      </c>
      <c r="L1940">
        <v>55</v>
      </c>
      <c r="M1940">
        <v>89</v>
      </c>
      <c r="N1940" t="str">
        <f t="shared" si="92"/>
        <v>Low Cost</v>
      </c>
      <c r="O1940">
        <v>3.16</v>
      </c>
      <c r="P1940" t="s">
        <v>23</v>
      </c>
      <c r="Q1940" t="s">
        <v>58</v>
      </c>
      <c r="R1940" t="s">
        <v>56</v>
      </c>
      <c r="S1940" t="s">
        <v>351</v>
      </c>
      <c r="T1940" t="s">
        <v>60</v>
      </c>
      <c r="U1940">
        <v>44</v>
      </c>
      <c r="V1940">
        <v>1.5</v>
      </c>
      <c r="W1940" t="s">
        <v>47</v>
      </c>
      <c r="X1940" t="s">
        <v>29</v>
      </c>
    </row>
    <row r="1941" spans="1:24" x14ac:dyDescent="0.3">
      <c r="A1941" t="s">
        <v>3217</v>
      </c>
      <c r="B1941" t="s">
        <v>92</v>
      </c>
      <c r="C1941" t="s">
        <v>93</v>
      </c>
      <c r="D1941" t="str">
        <f t="shared" si="90"/>
        <v>Evening</v>
      </c>
      <c r="E1941">
        <f>HOUR(EV_Data[[#This Row],[Charging Start Time]])</f>
        <v>19</v>
      </c>
      <c r="F1941" s="1">
        <v>45007.791666666664</v>
      </c>
      <c r="G1941" s="1">
        <v>45007.875</v>
      </c>
      <c r="H1941">
        <v>120</v>
      </c>
      <c r="I1941">
        <v>27.54</v>
      </c>
      <c r="J1941" t="str">
        <f t="shared" si="91"/>
        <v>Medium</v>
      </c>
      <c r="K1941" t="s">
        <v>50</v>
      </c>
      <c r="L1941">
        <v>20</v>
      </c>
      <c r="M1941">
        <v>51</v>
      </c>
      <c r="N1941" t="str">
        <f t="shared" si="92"/>
        <v>Low Cost</v>
      </c>
      <c r="O1941">
        <v>6.87</v>
      </c>
      <c r="P1941" t="s">
        <v>64</v>
      </c>
      <c r="Q1941" t="s">
        <v>24</v>
      </c>
      <c r="R1941" t="s">
        <v>25</v>
      </c>
      <c r="S1941" t="s">
        <v>210</v>
      </c>
      <c r="T1941" t="s">
        <v>27</v>
      </c>
      <c r="U1941">
        <v>21</v>
      </c>
      <c r="V1941">
        <v>4</v>
      </c>
      <c r="W1941" t="s">
        <v>38</v>
      </c>
      <c r="X1941" t="s">
        <v>39</v>
      </c>
    </row>
    <row r="1942" spans="1:24" x14ac:dyDescent="0.3">
      <c r="A1942" t="s">
        <v>3218</v>
      </c>
      <c r="B1942" t="s">
        <v>71</v>
      </c>
      <c r="C1942" t="s">
        <v>72</v>
      </c>
      <c r="D1942" t="str">
        <f t="shared" si="90"/>
        <v>Evening</v>
      </c>
      <c r="E1942">
        <f>HOUR(EV_Data[[#This Row],[Charging Start Time]])</f>
        <v>20</v>
      </c>
      <c r="F1942" s="1">
        <v>45007.833333333336</v>
      </c>
      <c r="G1942" s="1">
        <v>45007.863194444442</v>
      </c>
      <c r="H1942">
        <v>43</v>
      </c>
      <c r="I1942">
        <v>32.72</v>
      </c>
      <c r="J1942" t="str">
        <f t="shared" si="91"/>
        <v>Medium</v>
      </c>
      <c r="K1942" t="s">
        <v>69</v>
      </c>
      <c r="L1942">
        <v>19</v>
      </c>
      <c r="M1942">
        <v>33</v>
      </c>
      <c r="N1942" t="str">
        <f t="shared" si="92"/>
        <v>Medium Cost</v>
      </c>
      <c r="O1942">
        <v>15.01</v>
      </c>
      <c r="P1942" t="s">
        <v>64</v>
      </c>
      <c r="Q1942" t="s">
        <v>34</v>
      </c>
      <c r="R1942" t="s">
        <v>35</v>
      </c>
      <c r="S1942" t="s">
        <v>394</v>
      </c>
      <c r="T1942" t="s">
        <v>27</v>
      </c>
      <c r="U1942">
        <v>86</v>
      </c>
      <c r="V1942">
        <v>2.5</v>
      </c>
      <c r="W1942" t="s">
        <v>47</v>
      </c>
      <c r="X1942" t="s">
        <v>29</v>
      </c>
    </row>
    <row r="1943" spans="1:24" x14ac:dyDescent="0.3">
      <c r="A1943" t="s">
        <v>3219</v>
      </c>
      <c r="B1943" t="s">
        <v>126</v>
      </c>
      <c r="C1943" t="s">
        <v>31</v>
      </c>
      <c r="D1943" t="str">
        <f t="shared" si="90"/>
        <v>Evening</v>
      </c>
      <c r="E1943">
        <f>HOUR(EV_Data[[#This Row],[Charging Start Time]])</f>
        <v>21</v>
      </c>
      <c r="F1943" s="1">
        <v>45007.875</v>
      </c>
      <c r="G1943" s="1">
        <v>45007.95416666667</v>
      </c>
      <c r="H1943">
        <v>114</v>
      </c>
      <c r="I1943">
        <v>10.08</v>
      </c>
      <c r="J1943" t="str">
        <f t="shared" si="91"/>
        <v>Low</v>
      </c>
      <c r="K1943" t="s">
        <v>69</v>
      </c>
      <c r="L1943">
        <v>72</v>
      </c>
      <c r="M1943">
        <v>86</v>
      </c>
      <c r="N1943" t="str">
        <f t="shared" si="92"/>
        <v>Low Cost</v>
      </c>
      <c r="O1943">
        <v>2.29</v>
      </c>
      <c r="P1943" t="s">
        <v>51</v>
      </c>
      <c r="Q1943" t="s">
        <v>48</v>
      </c>
      <c r="R1943" t="s">
        <v>44</v>
      </c>
      <c r="S1943" t="s">
        <v>1263</v>
      </c>
      <c r="T1943" t="s">
        <v>60</v>
      </c>
      <c r="U1943">
        <v>61</v>
      </c>
      <c r="V1943">
        <v>4.4000000000000004</v>
      </c>
      <c r="W1943" t="s">
        <v>38</v>
      </c>
    </row>
    <row r="1944" spans="1:24" x14ac:dyDescent="0.3">
      <c r="A1944" t="s">
        <v>3220</v>
      </c>
      <c r="B1944" t="s">
        <v>92</v>
      </c>
      <c r="C1944" t="s">
        <v>93</v>
      </c>
      <c r="D1944" t="str">
        <f t="shared" si="90"/>
        <v>Evening</v>
      </c>
      <c r="E1944">
        <f>HOUR(EV_Data[[#This Row],[Charging Start Time]])</f>
        <v>22</v>
      </c>
      <c r="F1944" s="1">
        <v>45007.916666666664</v>
      </c>
      <c r="G1944" s="1">
        <v>45007.957638888889</v>
      </c>
      <c r="H1944">
        <v>59</v>
      </c>
      <c r="I1944">
        <v>38.58</v>
      </c>
      <c r="J1944" t="str">
        <f t="shared" si="91"/>
        <v>Medium</v>
      </c>
      <c r="K1944" t="s">
        <v>69</v>
      </c>
      <c r="L1944">
        <v>6</v>
      </c>
      <c r="M1944">
        <v>44</v>
      </c>
      <c r="N1944" t="str">
        <f t="shared" si="92"/>
        <v>Medium Cost</v>
      </c>
      <c r="O1944">
        <v>10</v>
      </c>
      <c r="P1944" t="s">
        <v>64</v>
      </c>
      <c r="Q1944" t="s">
        <v>48</v>
      </c>
      <c r="R1944" t="s">
        <v>25</v>
      </c>
      <c r="S1944" t="s">
        <v>928</v>
      </c>
      <c r="T1944" t="s">
        <v>46</v>
      </c>
      <c r="U1944">
        <v>46</v>
      </c>
      <c r="V1944">
        <v>4.5</v>
      </c>
      <c r="W1944" t="s">
        <v>28</v>
      </c>
      <c r="X1944" t="s">
        <v>68</v>
      </c>
    </row>
    <row r="1945" spans="1:24" x14ac:dyDescent="0.3">
      <c r="A1945" t="s">
        <v>3221</v>
      </c>
      <c r="B1945" t="s">
        <v>20</v>
      </c>
      <c r="C1945" t="s">
        <v>21</v>
      </c>
      <c r="D1945" t="str">
        <f t="shared" si="90"/>
        <v>Evening</v>
      </c>
      <c r="E1945">
        <f>HOUR(EV_Data[[#This Row],[Charging Start Time]])</f>
        <v>23</v>
      </c>
      <c r="F1945" s="1">
        <v>45007.958333333336</v>
      </c>
      <c r="G1945" s="1">
        <v>45008.00277777778</v>
      </c>
      <c r="H1945">
        <v>64</v>
      </c>
      <c r="I1945">
        <v>27.67</v>
      </c>
      <c r="J1945" t="str">
        <f t="shared" si="91"/>
        <v>Medium</v>
      </c>
      <c r="K1945" t="s">
        <v>55</v>
      </c>
      <c r="L1945">
        <v>28</v>
      </c>
      <c r="M1945">
        <v>49</v>
      </c>
      <c r="N1945" t="str">
        <f t="shared" si="92"/>
        <v>Medium Cost</v>
      </c>
      <c r="O1945">
        <v>8.9700000000000006</v>
      </c>
      <c r="P1945" t="s">
        <v>64</v>
      </c>
      <c r="Q1945" t="s">
        <v>48</v>
      </c>
      <c r="R1945" t="s">
        <v>25</v>
      </c>
      <c r="S1945" t="s">
        <v>426</v>
      </c>
      <c r="T1945" t="s">
        <v>27</v>
      </c>
      <c r="U1945">
        <v>99</v>
      </c>
      <c r="V1945">
        <v>3.9</v>
      </c>
      <c r="W1945" t="s">
        <v>47</v>
      </c>
      <c r="X1945" t="s">
        <v>29</v>
      </c>
    </row>
    <row r="1946" spans="1:24" x14ac:dyDescent="0.3">
      <c r="A1946" t="s">
        <v>3222</v>
      </c>
      <c r="B1946" t="s">
        <v>92</v>
      </c>
      <c r="C1946" t="s">
        <v>93</v>
      </c>
      <c r="D1946" t="str">
        <f t="shared" si="90"/>
        <v>Morning</v>
      </c>
      <c r="E1946">
        <f>HOUR(EV_Data[[#This Row],[Charging Start Time]])</f>
        <v>0</v>
      </c>
      <c r="F1946" s="1">
        <v>45008</v>
      </c>
      <c r="G1946" s="1">
        <v>45008.038888888892</v>
      </c>
      <c r="H1946">
        <v>56</v>
      </c>
      <c r="I1946">
        <v>46.04</v>
      </c>
      <c r="J1946" t="str">
        <f t="shared" si="91"/>
        <v>Medium</v>
      </c>
      <c r="K1946" t="s">
        <v>55</v>
      </c>
      <c r="L1946">
        <v>8</v>
      </c>
      <c r="M1946">
        <v>47</v>
      </c>
      <c r="N1946" t="str">
        <f t="shared" si="92"/>
        <v>Medium Cost</v>
      </c>
      <c r="O1946">
        <v>14.42</v>
      </c>
      <c r="P1946" t="s">
        <v>33</v>
      </c>
      <c r="Q1946" t="s">
        <v>58</v>
      </c>
      <c r="R1946" t="s">
        <v>35</v>
      </c>
      <c r="S1946" t="s">
        <v>1264</v>
      </c>
      <c r="T1946" t="s">
        <v>27</v>
      </c>
      <c r="U1946">
        <v>24</v>
      </c>
      <c r="V1946">
        <v>1.7</v>
      </c>
      <c r="W1946" t="s">
        <v>38</v>
      </c>
      <c r="X1946" t="s">
        <v>39</v>
      </c>
    </row>
    <row r="1947" spans="1:24" x14ac:dyDescent="0.3">
      <c r="A1947" t="s">
        <v>3223</v>
      </c>
      <c r="B1947" t="s">
        <v>77</v>
      </c>
      <c r="C1947" t="s">
        <v>78</v>
      </c>
      <c r="D1947" t="str">
        <f t="shared" si="90"/>
        <v>Morning</v>
      </c>
      <c r="E1947">
        <f>HOUR(EV_Data[[#This Row],[Charging Start Time]])</f>
        <v>1</v>
      </c>
      <c r="F1947" s="1">
        <v>45008.041666666664</v>
      </c>
      <c r="G1947" s="1">
        <v>45008.082638888889</v>
      </c>
      <c r="H1947">
        <v>59</v>
      </c>
      <c r="I1947">
        <v>47.85</v>
      </c>
      <c r="J1947" t="str">
        <f t="shared" si="91"/>
        <v>Medium</v>
      </c>
      <c r="K1947" t="s">
        <v>69</v>
      </c>
      <c r="L1947">
        <v>10</v>
      </c>
      <c r="M1947">
        <v>26</v>
      </c>
      <c r="N1947" t="str">
        <f t="shared" si="92"/>
        <v>Medium Cost</v>
      </c>
      <c r="O1947">
        <v>13.58</v>
      </c>
      <c r="P1947" t="s">
        <v>33</v>
      </c>
      <c r="Q1947" t="s">
        <v>34</v>
      </c>
      <c r="R1947" t="s">
        <v>25</v>
      </c>
      <c r="S1947" t="s">
        <v>1265</v>
      </c>
      <c r="T1947" t="s">
        <v>46</v>
      </c>
      <c r="U1947">
        <v>28</v>
      </c>
      <c r="V1947">
        <v>4.5999999999999996</v>
      </c>
      <c r="W1947" t="s">
        <v>47</v>
      </c>
      <c r="X1947" t="s">
        <v>29</v>
      </c>
    </row>
    <row r="1948" spans="1:24" x14ac:dyDescent="0.3">
      <c r="A1948" t="s">
        <v>3224</v>
      </c>
      <c r="B1948" t="s">
        <v>40</v>
      </c>
      <c r="C1948" t="s">
        <v>41</v>
      </c>
      <c r="D1948" t="str">
        <f t="shared" si="90"/>
        <v>Morning</v>
      </c>
      <c r="E1948">
        <f>HOUR(EV_Data[[#This Row],[Charging Start Time]])</f>
        <v>2</v>
      </c>
      <c r="F1948" s="1">
        <v>45008.083333333336</v>
      </c>
      <c r="G1948" s="1">
        <v>45008.138888888891</v>
      </c>
      <c r="H1948">
        <v>80</v>
      </c>
      <c r="I1948">
        <v>32.950000000000003</v>
      </c>
      <c r="J1948" t="str">
        <f t="shared" si="91"/>
        <v>Medium</v>
      </c>
      <c r="K1948" t="s">
        <v>42</v>
      </c>
      <c r="L1948">
        <v>26</v>
      </c>
      <c r="M1948">
        <v>62</v>
      </c>
      <c r="N1948" t="str">
        <f t="shared" si="92"/>
        <v>Low Cost</v>
      </c>
      <c r="O1948">
        <v>7.01</v>
      </c>
      <c r="P1948" t="s">
        <v>51</v>
      </c>
      <c r="Q1948" t="s">
        <v>48</v>
      </c>
      <c r="R1948" t="s">
        <v>25</v>
      </c>
      <c r="S1948" t="s">
        <v>112</v>
      </c>
      <c r="T1948" t="s">
        <v>46</v>
      </c>
      <c r="U1948">
        <v>67</v>
      </c>
      <c r="V1948">
        <v>3</v>
      </c>
      <c r="W1948" t="s">
        <v>38</v>
      </c>
      <c r="X1948" t="s">
        <v>39</v>
      </c>
    </row>
    <row r="1949" spans="1:24" x14ac:dyDescent="0.3">
      <c r="A1949" t="s">
        <v>3225</v>
      </c>
      <c r="B1949" t="s">
        <v>20</v>
      </c>
      <c r="C1949" t="s">
        <v>21</v>
      </c>
      <c r="D1949" t="str">
        <f t="shared" si="90"/>
        <v>Morning</v>
      </c>
      <c r="E1949">
        <f>HOUR(EV_Data[[#This Row],[Charging Start Time]])</f>
        <v>3</v>
      </c>
      <c r="F1949" s="1">
        <v>45008.125</v>
      </c>
      <c r="G1949" s="1">
        <v>45008.128472222219</v>
      </c>
      <c r="H1949">
        <v>5</v>
      </c>
      <c r="I1949">
        <v>36.69</v>
      </c>
      <c r="J1949" t="str">
        <f t="shared" si="91"/>
        <v>Medium</v>
      </c>
      <c r="K1949" t="s">
        <v>22</v>
      </c>
      <c r="L1949">
        <v>43</v>
      </c>
      <c r="M1949">
        <v>58</v>
      </c>
      <c r="N1949" t="str">
        <f t="shared" si="92"/>
        <v>High Cost</v>
      </c>
      <c r="O1949">
        <v>17.510000000000002</v>
      </c>
      <c r="P1949" t="s">
        <v>64</v>
      </c>
      <c r="Q1949" t="s">
        <v>24</v>
      </c>
      <c r="R1949" t="s">
        <v>56</v>
      </c>
      <c r="S1949" t="s">
        <v>428</v>
      </c>
      <c r="T1949" t="s">
        <v>27</v>
      </c>
      <c r="U1949">
        <v>98</v>
      </c>
      <c r="V1949">
        <v>4.5</v>
      </c>
      <c r="W1949" t="s">
        <v>28</v>
      </c>
      <c r="X1949" t="s">
        <v>68</v>
      </c>
    </row>
    <row r="1950" spans="1:24" x14ac:dyDescent="0.3">
      <c r="A1950" t="s">
        <v>3226</v>
      </c>
      <c r="B1950" t="s">
        <v>77</v>
      </c>
      <c r="C1950" t="s">
        <v>78</v>
      </c>
      <c r="D1950" t="str">
        <f t="shared" si="90"/>
        <v>Morning</v>
      </c>
      <c r="E1950">
        <f>HOUR(EV_Data[[#This Row],[Charging Start Time]])</f>
        <v>4</v>
      </c>
      <c r="F1950" s="1">
        <v>45008.166666666664</v>
      </c>
      <c r="G1950" s="1">
        <v>45008.198611111111</v>
      </c>
      <c r="H1950">
        <v>46</v>
      </c>
      <c r="I1950">
        <v>42.37</v>
      </c>
      <c r="J1950" t="str">
        <f t="shared" si="91"/>
        <v>Medium</v>
      </c>
      <c r="K1950" t="s">
        <v>69</v>
      </c>
      <c r="L1950">
        <v>35</v>
      </c>
      <c r="M1950">
        <v>56</v>
      </c>
      <c r="N1950" t="str">
        <f t="shared" si="92"/>
        <v>Medium Cost</v>
      </c>
      <c r="O1950">
        <v>13.75</v>
      </c>
      <c r="P1950" t="s">
        <v>33</v>
      </c>
      <c r="Q1950" t="s">
        <v>34</v>
      </c>
      <c r="R1950" t="s">
        <v>56</v>
      </c>
      <c r="S1950" t="s">
        <v>889</v>
      </c>
      <c r="T1950" t="s">
        <v>60</v>
      </c>
      <c r="U1950">
        <v>0</v>
      </c>
      <c r="V1950">
        <v>4.9000000000000004</v>
      </c>
      <c r="W1950" t="s">
        <v>47</v>
      </c>
      <c r="X1950" t="s">
        <v>29</v>
      </c>
    </row>
    <row r="1951" spans="1:24" x14ac:dyDescent="0.3">
      <c r="A1951" t="s">
        <v>3227</v>
      </c>
      <c r="B1951" t="s">
        <v>53</v>
      </c>
      <c r="C1951" t="s">
        <v>54</v>
      </c>
      <c r="D1951" t="str">
        <f t="shared" si="90"/>
        <v>Morning</v>
      </c>
      <c r="E1951">
        <f>HOUR(EV_Data[[#This Row],[Charging Start Time]])</f>
        <v>5</v>
      </c>
      <c r="F1951" s="1">
        <v>45008.208333333336</v>
      </c>
      <c r="G1951" s="1">
        <v>45008.229166666657</v>
      </c>
      <c r="H1951">
        <v>30</v>
      </c>
      <c r="I1951">
        <v>21.45</v>
      </c>
      <c r="J1951" t="str">
        <f t="shared" si="91"/>
        <v>Medium</v>
      </c>
      <c r="K1951" t="s">
        <v>32</v>
      </c>
      <c r="L1951">
        <v>6</v>
      </c>
      <c r="M1951">
        <v>28</v>
      </c>
      <c r="N1951" t="str">
        <f t="shared" si="92"/>
        <v>Medium Cost</v>
      </c>
      <c r="O1951">
        <v>10.47</v>
      </c>
      <c r="P1951" t="s">
        <v>64</v>
      </c>
      <c r="Q1951" t="s">
        <v>48</v>
      </c>
      <c r="R1951" t="s">
        <v>35</v>
      </c>
      <c r="S1951" t="s">
        <v>295</v>
      </c>
      <c r="T1951" t="s">
        <v>27</v>
      </c>
      <c r="U1951">
        <v>10</v>
      </c>
      <c r="V1951">
        <v>3.7</v>
      </c>
      <c r="W1951" t="s">
        <v>47</v>
      </c>
      <c r="X1951" t="s">
        <v>29</v>
      </c>
    </row>
    <row r="1952" spans="1:24" x14ac:dyDescent="0.3">
      <c r="A1952" t="s">
        <v>3228</v>
      </c>
      <c r="B1952" t="s">
        <v>20</v>
      </c>
      <c r="C1952" t="s">
        <v>21</v>
      </c>
      <c r="D1952" t="str">
        <f t="shared" si="90"/>
        <v>Morning</v>
      </c>
      <c r="E1952">
        <f>HOUR(EV_Data[[#This Row],[Charging Start Time]])</f>
        <v>6</v>
      </c>
      <c r="F1952" s="1">
        <v>45008.25</v>
      </c>
      <c r="G1952" s="1">
        <v>45008.286111111112</v>
      </c>
      <c r="H1952">
        <v>52</v>
      </c>
      <c r="I1952">
        <v>37.049999999999997</v>
      </c>
      <c r="J1952" t="str">
        <f t="shared" si="91"/>
        <v>Medium</v>
      </c>
      <c r="K1952" t="s">
        <v>50</v>
      </c>
      <c r="L1952">
        <v>71</v>
      </c>
      <c r="M1952">
        <v>88</v>
      </c>
      <c r="N1952" t="str">
        <f t="shared" si="92"/>
        <v>Medium Cost</v>
      </c>
      <c r="O1952">
        <v>12.57</v>
      </c>
      <c r="P1952" t="s">
        <v>43</v>
      </c>
      <c r="Q1952" t="s">
        <v>48</v>
      </c>
      <c r="R1952" t="s">
        <v>44</v>
      </c>
      <c r="S1952" t="s">
        <v>303</v>
      </c>
      <c r="T1952" t="s">
        <v>46</v>
      </c>
      <c r="U1952">
        <v>34</v>
      </c>
      <c r="V1952">
        <v>4.0999999999999996</v>
      </c>
      <c r="W1952" t="s">
        <v>28</v>
      </c>
      <c r="X1952" t="s">
        <v>68</v>
      </c>
    </row>
    <row r="1953" spans="1:24" x14ac:dyDescent="0.3">
      <c r="A1953" t="s">
        <v>3229</v>
      </c>
      <c r="B1953" t="s">
        <v>126</v>
      </c>
      <c r="C1953" t="s">
        <v>31</v>
      </c>
      <c r="D1953" t="str">
        <f t="shared" si="90"/>
        <v>Morning</v>
      </c>
      <c r="E1953">
        <f>HOUR(EV_Data[[#This Row],[Charging Start Time]])</f>
        <v>7</v>
      </c>
      <c r="F1953" s="1">
        <v>45008.291666666664</v>
      </c>
      <c r="G1953" s="1">
        <v>45008.34097222222</v>
      </c>
      <c r="H1953">
        <v>71</v>
      </c>
      <c r="I1953">
        <v>11.94</v>
      </c>
      <c r="J1953" t="str">
        <f t="shared" si="91"/>
        <v>Low</v>
      </c>
      <c r="K1953" t="s">
        <v>50</v>
      </c>
      <c r="L1953">
        <v>24</v>
      </c>
      <c r="M1953">
        <v>62</v>
      </c>
      <c r="N1953" t="str">
        <f t="shared" si="92"/>
        <v>Low Cost</v>
      </c>
      <c r="O1953">
        <v>5.01</v>
      </c>
      <c r="P1953" t="s">
        <v>43</v>
      </c>
      <c r="Q1953" t="s">
        <v>34</v>
      </c>
      <c r="R1953" t="s">
        <v>44</v>
      </c>
      <c r="S1953" t="s">
        <v>1081</v>
      </c>
      <c r="T1953" t="s">
        <v>60</v>
      </c>
      <c r="U1953">
        <v>80</v>
      </c>
      <c r="V1953">
        <v>1.8</v>
      </c>
      <c r="W1953" t="s">
        <v>47</v>
      </c>
      <c r="X1953" t="s">
        <v>29</v>
      </c>
    </row>
    <row r="1954" spans="1:24" x14ac:dyDescent="0.3">
      <c r="A1954" t="s">
        <v>3230</v>
      </c>
      <c r="B1954" t="s">
        <v>30</v>
      </c>
      <c r="C1954" t="s">
        <v>102</v>
      </c>
      <c r="D1954" t="str">
        <f t="shared" si="90"/>
        <v>Morning</v>
      </c>
      <c r="E1954">
        <f>HOUR(EV_Data[[#This Row],[Charging Start Time]])</f>
        <v>8</v>
      </c>
      <c r="F1954" s="1">
        <v>45008.333333333336</v>
      </c>
      <c r="G1954" s="1">
        <v>45008.370833333327</v>
      </c>
      <c r="H1954">
        <v>54</v>
      </c>
      <c r="I1954">
        <v>20.32</v>
      </c>
      <c r="J1954" t="str">
        <f t="shared" si="91"/>
        <v>Medium</v>
      </c>
      <c r="K1954" t="s">
        <v>32</v>
      </c>
      <c r="L1954">
        <v>73</v>
      </c>
      <c r="M1954">
        <v>100</v>
      </c>
      <c r="N1954" t="str">
        <f t="shared" si="92"/>
        <v>Low Cost</v>
      </c>
      <c r="O1954">
        <v>6.26</v>
      </c>
      <c r="P1954" t="s">
        <v>33</v>
      </c>
      <c r="Q1954" t="s">
        <v>48</v>
      </c>
      <c r="R1954" t="s">
        <v>25</v>
      </c>
      <c r="S1954" t="s">
        <v>213</v>
      </c>
      <c r="T1954" t="s">
        <v>37</v>
      </c>
      <c r="U1954">
        <v>94</v>
      </c>
      <c r="V1954">
        <v>3.8</v>
      </c>
      <c r="W1954" t="s">
        <v>38</v>
      </c>
      <c r="X1954" t="s">
        <v>39</v>
      </c>
    </row>
    <row r="1955" spans="1:24" x14ac:dyDescent="0.3">
      <c r="A1955" t="s">
        <v>3231</v>
      </c>
      <c r="B1955" t="s">
        <v>126</v>
      </c>
      <c r="C1955" t="s">
        <v>31</v>
      </c>
      <c r="D1955" t="str">
        <f t="shared" si="90"/>
        <v>Morning</v>
      </c>
      <c r="E1955">
        <f>HOUR(EV_Data[[#This Row],[Charging Start Time]])</f>
        <v>9</v>
      </c>
      <c r="F1955" s="1">
        <v>45008.375</v>
      </c>
      <c r="G1955" s="1">
        <v>45008.386805555558</v>
      </c>
      <c r="H1955">
        <v>17</v>
      </c>
      <c r="I1955">
        <v>32.29</v>
      </c>
      <c r="J1955" t="str">
        <f t="shared" si="91"/>
        <v>Medium</v>
      </c>
      <c r="K1955" t="s">
        <v>69</v>
      </c>
      <c r="L1955">
        <v>42</v>
      </c>
      <c r="M1955">
        <v>77</v>
      </c>
      <c r="N1955" t="str">
        <f t="shared" si="92"/>
        <v>Low Cost</v>
      </c>
      <c r="O1955">
        <v>7.76</v>
      </c>
      <c r="P1955" t="s">
        <v>33</v>
      </c>
      <c r="Q1955" t="s">
        <v>24</v>
      </c>
      <c r="R1955" t="s">
        <v>35</v>
      </c>
      <c r="S1955" t="s">
        <v>1266</v>
      </c>
      <c r="T1955" t="s">
        <v>37</v>
      </c>
      <c r="U1955">
        <v>51</v>
      </c>
      <c r="V1955">
        <v>2.1</v>
      </c>
      <c r="W1955" t="s">
        <v>47</v>
      </c>
      <c r="X1955" t="s">
        <v>29</v>
      </c>
    </row>
    <row r="1956" spans="1:24" x14ac:dyDescent="0.3">
      <c r="A1956" t="s">
        <v>3232</v>
      </c>
      <c r="B1956" t="s">
        <v>126</v>
      </c>
      <c r="C1956" t="s">
        <v>31</v>
      </c>
      <c r="D1956" t="str">
        <f t="shared" si="90"/>
        <v>Morning</v>
      </c>
      <c r="E1956">
        <f>HOUR(EV_Data[[#This Row],[Charging Start Time]])</f>
        <v>10</v>
      </c>
      <c r="F1956" s="1">
        <v>45008.416666666664</v>
      </c>
      <c r="G1956" s="1">
        <v>45008.447916666657</v>
      </c>
      <c r="H1956">
        <v>45</v>
      </c>
      <c r="I1956">
        <v>9.7799999999999994</v>
      </c>
      <c r="J1956" t="str">
        <f t="shared" si="91"/>
        <v>Low</v>
      </c>
      <c r="K1956" t="s">
        <v>50</v>
      </c>
      <c r="L1956">
        <v>24</v>
      </c>
      <c r="M1956">
        <v>55</v>
      </c>
      <c r="N1956" t="str">
        <f t="shared" si="92"/>
        <v>Low Cost</v>
      </c>
      <c r="O1956">
        <v>2.67</v>
      </c>
      <c r="P1956" t="s">
        <v>43</v>
      </c>
      <c r="Q1956" t="s">
        <v>34</v>
      </c>
      <c r="R1956" t="s">
        <v>56</v>
      </c>
      <c r="S1956" t="s">
        <v>1267</v>
      </c>
      <c r="T1956" t="s">
        <v>60</v>
      </c>
      <c r="U1956">
        <v>74</v>
      </c>
      <c r="V1956">
        <v>4.0999999999999996</v>
      </c>
      <c r="W1956" t="s">
        <v>38</v>
      </c>
      <c r="X1956" t="s">
        <v>39</v>
      </c>
    </row>
    <row r="1957" spans="1:24" x14ac:dyDescent="0.3">
      <c r="A1957" t="s">
        <v>3233</v>
      </c>
      <c r="B1957" t="s">
        <v>20</v>
      </c>
      <c r="C1957" t="s">
        <v>21</v>
      </c>
      <c r="D1957" t="str">
        <f t="shared" si="90"/>
        <v>Morning</v>
      </c>
      <c r="E1957">
        <f>HOUR(EV_Data[[#This Row],[Charging Start Time]])</f>
        <v>11</v>
      </c>
      <c r="F1957" s="1">
        <v>45008.458333333336</v>
      </c>
      <c r="G1957" s="1">
        <v>45008.518750000003</v>
      </c>
      <c r="H1957">
        <v>87</v>
      </c>
      <c r="I1957">
        <v>15.49</v>
      </c>
      <c r="J1957" t="str">
        <f t="shared" si="91"/>
        <v>Low</v>
      </c>
      <c r="K1957" t="s">
        <v>69</v>
      </c>
      <c r="L1957">
        <v>64</v>
      </c>
      <c r="M1957">
        <v>94</v>
      </c>
      <c r="N1957" t="str">
        <f t="shared" si="92"/>
        <v>Low Cost</v>
      </c>
      <c r="O1957">
        <v>7.59</v>
      </c>
      <c r="P1957" t="s">
        <v>64</v>
      </c>
      <c r="Q1957" t="s">
        <v>34</v>
      </c>
      <c r="R1957" t="s">
        <v>56</v>
      </c>
      <c r="S1957" t="s">
        <v>240</v>
      </c>
      <c r="T1957" t="s">
        <v>37</v>
      </c>
      <c r="U1957">
        <v>68</v>
      </c>
      <c r="V1957">
        <v>1.8</v>
      </c>
      <c r="W1957" t="s">
        <v>28</v>
      </c>
      <c r="X1957" t="s">
        <v>68</v>
      </c>
    </row>
    <row r="1958" spans="1:24" x14ac:dyDescent="0.3">
      <c r="A1958" t="s">
        <v>3234</v>
      </c>
      <c r="B1958" t="s">
        <v>92</v>
      </c>
      <c r="C1958" t="s">
        <v>93</v>
      </c>
      <c r="D1958" t="str">
        <f t="shared" si="90"/>
        <v>Afternoon</v>
      </c>
      <c r="E1958">
        <f>HOUR(EV_Data[[#This Row],[Charging Start Time]])</f>
        <v>12</v>
      </c>
      <c r="F1958" s="1">
        <v>45008.5</v>
      </c>
      <c r="G1958" s="1">
        <v>45008.543749999997</v>
      </c>
      <c r="H1958">
        <v>63</v>
      </c>
      <c r="I1958">
        <v>45</v>
      </c>
      <c r="J1958" t="str">
        <f t="shared" si="91"/>
        <v>Medium</v>
      </c>
      <c r="K1958" t="s">
        <v>32</v>
      </c>
      <c r="L1958">
        <v>79</v>
      </c>
      <c r="M1958">
        <v>96</v>
      </c>
      <c r="N1958" t="str">
        <f t="shared" si="92"/>
        <v>High Cost</v>
      </c>
      <c r="O1958">
        <v>19.78</v>
      </c>
      <c r="P1958" t="s">
        <v>51</v>
      </c>
      <c r="Q1958" t="s">
        <v>34</v>
      </c>
      <c r="R1958" t="s">
        <v>35</v>
      </c>
      <c r="S1958" t="s">
        <v>127</v>
      </c>
      <c r="T1958" t="s">
        <v>37</v>
      </c>
      <c r="U1958">
        <v>72</v>
      </c>
      <c r="V1958">
        <v>3.7</v>
      </c>
      <c r="W1958" t="s">
        <v>28</v>
      </c>
      <c r="X1958" t="s">
        <v>68</v>
      </c>
    </row>
    <row r="1959" spans="1:24" x14ac:dyDescent="0.3">
      <c r="A1959" t="s">
        <v>3235</v>
      </c>
      <c r="B1959" t="s">
        <v>92</v>
      </c>
      <c r="C1959" t="s">
        <v>93</v>
      </c>
      <c r="D1959" t="str">
        <f t="shared" si="90"/>
        <v>Afternoon</v>
      </c>
      <c r="E1959">
        <f>HOUR(EV_Data[[#This Row],[Charging Start Time]])</f>
        <v>13</v>
      </c>
      <c r="F1959" s="1">
        <v>45008.541666666664</v>
      </c>
      <c r="G1959" s="1">
        <v>45008.554861111108</v>
      </c>
      <c r="H1959">
        <v>19</v>
      </c>
      <c r="I1959">
        <v>47.8</v>
      </c>
      <c r="J1959" t="str">
        <f t="shared" si="91"/>
        <v>Medium</v>
      </c>
      <c r="K1959" t="s">
        <v>32</v>
      </c>
      <c r="L1959">
        <v>34</v>
      </c>
      <c r="M1959">
        <v>54</v>
      </c>
      <c r="N1959" t="str">
        <f t="shared" si="92"/>
        <v>High Cost</v>
      </c>
      <c r="O1959">
        <v>22.1</v>
      </c>
      <c r="P1959" t="s">
        <v>23</v>
      </c>
      <c r="Q1959" t="s">
        <v>34</v>
      </c>
      <c r="R1959" t="s">
        <v>35</v>
      </c>
      <c r="S1959" t="s">
        <v>1257</v>
      </c>
      <c r="T1959" t="s">
        <v>60</v>
      </c>
      <c r="U1959">
        <v>88</v>
      </c>
      <c r="V1959">
        <v>3.6</v>
      </c>
      <c r="W1959" t="s">
        <v>47</v>
      </c>
      <c r="X1959" t="s">
        <v>29</v>
      </c>
    </row>
    <row r="1960" spans="1:24" x14ac:dyDescent="0.3">
      <c r="A1960" t="s">
        <v>3236</v>
      </c>
      <c r="B1960" t="s">
        <v>30</v>
      </c>
      <c r="C1960" t="s">
        <v>102</v>
      </c>
      <c r="D1960" t="str">
        <f t="shared" si="90"/>
        <v>Afternoon</v>
      </c>
      <c r="E1960">
        <f>HOUR(EV_Data[[#This Row],[Charging Start Time]])</f>
        <v>14</v>
      </c>
      <c r="F1960" s="1">
        <v>45008.583333333336</v>
      </c>
      <c r="G1960" s="1">
        <v>45008.597222222219</v>
      </c>
      <c r="H1960">
        <v>20</v>
      </c>
      <c r="I1960">
        <v>37.94</v>
      </c>
      <c r="J1960" t="str">
        <f t="shared" si="91"/>
        <v>Medium</v>
      </c>
      <c r="K1960" t="s">
        <v>22</v>
      </c>
      <c r="L1960">
        <v>67</v>
      </c>
      <c r="M1960">
        <v>94</v>
      </c>
      <c r="N1960" t="str">
        <f t="shared" si="92"/>
        <v>Medium Cost</v>
      </c>
      <c r="O1960">
        <v>14.94</v>
      </c>
      <c r="P1960" t="s">
        <v>64</v>
      </c>
      <c r="Q1960" t="s">
        <v>58</v>
      </c>
      <c r="R1960" t="s">
        <v>44</v>
      </c>
      <c r="S1960" t="s">
        <v>1268</v>
      </c>
      <c r="T1960" t="s">
        <v>60</v>
      </c>
      <c r="U1960">
        <v>56</v>
      </c>
      <c r="V1960">
        <v>2.2999999999999998</v>
      </c>
      <c r="W1960" t="s">
        <v>38</v>
      </c>
    </row>
    <row r="1961" spans="1:24" x14ac:dyDescent="0.3">
      <c r="A1961" t="s">
        <v>3237</v>
      </c>
      <c r="B1961" t="s">
        <v>92</v>
      </c>
      <c r="C1961" t="s">
        <v>93</v>
      </c>
      <c r="D1961" t="str">
        <f t="shared" si="90"/>
        <v>Afternoon</v>
      </c>
      <c r="E1961">
        <f>HOUR(EV_Data[[#This Row],[Charging Start Time]])</f>
        <v>15</v>
      </c>
      <c r="F1961" s="1">
        <v>45008.625</v>
      </c>
      <c r="G1961" s="1">
        <v>45008.666666666657</v>
      </c>
      <c r="H1961">
        <v>60</v>
      </c>
      <c r="I1961">
        <v>41.24</v>
      </c>
      <c r="J1961" t="str">
        <f t="shared" si="91"/>
        <v>Medium</v>
      </c>
      <c r="K1961" t="s">
        <v>32</v>
      </c>
      <c r="L1961">
        <v>62</v>
      </c>
      <c r="M1961">
        <v>100</v>
      </c>
      <c r="N1961" t="str">
        <f t="shared" si="92"/>
        <v>Medium Cost</v>
      </c>
      <c r="O1961">
        <v>14.94</v>
      </c>
      <c r="P1961" t="s">
        <v>33</v>
      </c>
      <c r="Q1961" t="s">
        <v>24</v>
      </c>
      <c r="R1961" t="s">
        <v>56</v>
      </c>
      <c r="S1961" t="s">
        <v>1238</v>
      </c>
      <c r="T1961" t="s">
        <v>27</v>
      </c>
      <c r="U1961">
        <v>8</v>
      </c>
      <c r="V1961">
        <v>1.7</v>
      </c>
      <c r="W1961" t="s">
        <v>28</v>
      </c>
      <c r="X1961" t="s">
        <v>68</v>
      </c>
    </row>
    <row r="1962" spans="1:24" x14ac:dyDescent="0.3">
      <c r="A1962" t="s">
        <v>3238</v>
      </c>
      <c r="B1962" t="s">
        <v>20</v>
      </c>
      <c r="C1962" t="s">
        <v>21</v>
      </c>
      <c r="D1962" t="str">
        <f t="shared" si="90"/>
        <v>Afternoon</v>
      </c>
      <c r="E1962">
        <f>HOUR(EV_Data[[#This Row],[Charging Start Time]])</f>
        <v>16</v>
      </c>
      <c r="F1962" s="1">
        <v>45008.666666666664</v>
      </c>
      <c r="G1962" s="1">
        <v>45008.693749999999</v>
      </c>
      <c r="H1962">
        <v>39</v>
      </c>
      <c r="I1962">
        <v>7.57</v>
      </c>
      <c r="J1962" t="str">
        <f t="shared" si="91"/>
        <v>Low</v>
      </c>
      <c r="K1962" t="s">
        <v>32</v>
      </c>
      <c r="L1962">
        <v>9</v>
      </c>
      <c r="M1962">
        <v>28</v>
      </c>
      <c r="N1962" t="str">
        <f t="shared" si="92"/>
        <v>Low Cost</v>
      </c>
      <c r="O1962">
        <v>2.69</v>
      </c>
      <c r="P1962" t="s">
        <v>23</v>
      </c>
      <c r="Q1962" t="s">
        <v>24</v>
      </c>
      <c r="R1962" t="s">
        <v>44</v>
      </c>
      <c r="S1962" t="s">
        <v>935</v>
      </c>
      <c r="T1962" t="s">
        <v>37</v>
      </c>
      <c r="U1962">
        <v>80</v>
      </c>
      <c r="V1962">
        <v>4</v>
      </c>
      <c r="W1962" t="s">
        <v>47</v>
      </c>
      <c r="X1962" t="s">
        <v>29</v>
      </c>
    </row>
    <row r="1963" spans="1:24" x14ac:dyDescent="0.3">
      <c r="A1963" t="s">
        <v>3239</v>
      </c>
      <c r="B1963" t="s">
        <v>40</v>
      </c>
      <c r="C1963" t="s">
        <v>41</v>
      </c>
      <c r="D1963" t="str">
        <f t="shared" si="90"/>
        <v>Evening</v>
      </c>
      <c r="E1963">
        <f>HOUR(EV_Data[[#This Row],[Charging Start Time]])</f>
        <v>17</v>
      </c>
      <c r="F1963" s="1">
        <v>45008.708333333336</v>
      </c>
      <c r="G1963" s="1">
        <v>45008.736111111109</v>
      </c>
      <c r="H1963">
        <v>40</v>
      </c>
      <c r="I1963">
        <v>31.23</v>
      </c>
      <c r="J1963" t="str">
        <f t="shared" si="91"/>
        <v>Medium</v>
      </c>
      <c r="K1963" t="s">
        <v>69</v>
      </c>
      <c r="L1963">
        <v>11</v>
      </c>
      <c r="M1963">
        <v>26</v>
      </c>
      <c r="N1963" t="str">
        <f t="shared" si="92"/>
        <v>Medium Cost</v>
      </c>
      <c r="O1963">
        <v>8.43</v>
      </c>
      <c r="P1963" t="s">
        <v>64</v>
      </c>
      <c r="Q1963" t="s">
        <v>24</v>
      </c>
      <c r="R1963" t="s">
        <v>56</v>
      </c>
      <c r="S1963" t="s">
        <v>1138</v>
      </c>
      <c r="T1963" t="s">
        <v>37</v>
      </c>
      <c r="U1963">
        <v>69</v>
      </c>
      <c r="V1963">
        <v>3.1</v>
      </c>
      <c r="W1963" t="s">
        <v>28</v>
      </c>
      <c r="X1963" t="s">
        <v>68</v>
      </c>
    </row>
    <row r="1964" spans="1:24" x14ac:dyDescent="0.3">
      <c r="A1964" t="s">
        <v>3240</v>
      </c>
      <c r="B1964" t="s">
        <v>71</v>
      </c>
      <c r="C1964" t="s">
        <v>72</v>
      </c>
      <c r="D1964" t="str">
        <f t="shared" si="90"/>
        <v>Evening</v>
      </c>
      <c r="E1964">
        <f>HOUR(EV_Data[[#This Row],[Charging Start Time]])</f>
        <v>18</v>
      </c>
      <c r="F1964" s="1">
        <v>45008.75</v>
      </c>
      <c r="G1964" s="1">
        <v>45008.765277777777</v>
      </c>
      <c r="H1964">
        <v>22</v>
      </c>
      <c r="I1964">
        <v>27.36</v>
      </c>
      <c r="J1964" t="str">
        <f t="shared" si="91"/>
        <v>Medium</v>
      </c>
      <c r="K1964" t="s">
        <v>42</v>
      </c>
      <c r="L1964">
        <v>78</v>
      </c>
      <c r="M1964">
        <v>96</v>
      </c>
      <c r="N1964" t="str">
        <f t="shared" si="92"/>
        <v>Medium Cost</v>
      </c>
      <c r="O1964">
        <v>12.17</v>
      </c>
      <c r="P1964" t="s">
        <v>43</v>
      </c>
      <c r="Q1964" t="s">
        <v>24</v>
      </c>
      <c r="R1964" t="s">
        <v>35</v>
      </c>
      <c r="S1964" t="s">
        <v>1269</v>
      </c>
      <c r="T1964" t="s">
        <v>27</v>
      </c>
      <c r="U1964">
        <v>30</v>
      </c>
      <c r="V1964">
        <v>3.8</v>
      </c>
      <c r="W1964" t="s">
        <v>28</v>
      </c>
      <c r="X1964" t="s">
        <v>68</v>
      </c>
    </row>
    <row r="1965" spans="1:24" x14ac:dyDescent="0.3">
      <c r="A1965" t="s">
        <v>3241</v>
      </c>
      <c r="B1965" t="s">
        <v>92</v>
      </c>
      <c r="C1965" t="s">
        <v>93</v>
      </c>
      <c r="D1965" t="str">
        <f t="shared" si="90"/>
        <v>Evening</v>
      </c>
      <c r="E1965">
        <f>HOUR(EV_Data[[#This Row],[Charging Start Time]])</f>
        <v>19</v>
      </c>
      <c r="F1965" s="1">
        <v>45008.791666666664</v>
      </c>
      <c r="G1965" s="1">
        <v>45008.861111111109</v>
      </c>
      <c r="H1965">
        <v>100</v>
      </c>
      <c r="I1965">
        <v>49.06</v>
      </c>
      <c r="J1965" t="str">
        <f t="shared" si="91"/>
        <v>Medium</v>
      </c>
      <c r="K1965" t="s">
        <v>32</v>
      </c>
      <c r="L1965">
        <v>45</v>
      </c>
      <c r="M1965">
        <v>68</v>
      </c>
      <c r="N1965" t="str">
        <f t="shared" si="92"/>
        <v>High Cost</v>
      </c>
      <c r="O1965">
        <v>19.690000000000001</v>
      </c>
      <c r="P1965" t="s">
        <v>64</v>
      </c>
      <c r="Q1965" t="s">
        <v>24</v>
      </c>
      <c r="R1965" t="s">
        <v>56</v>
      </c>
      <c r="S1965" t="s">
        <v>74</v>
      </c>
      <c r="T1965" t="s">
        <v>46</v>
      </c>
      <c r="U1965">
        <v>67</v>
      </c>
      <c r="V1965">
        <v>1.7</v>
      </c>
      <c r="W1965" t="s">
        <v>38</v>
      </c>
      <c r="X1965" t="s">
        <v>85</v>
      </c>
    </row>
    <row r="1966" spans="1:24" x14ac:dyDescent="0.3">
      <c r="A1966" t="s">
        <v>3242</v>
      </c>
      <c r="B1966" t="s">
        <v>71</v>
      </c>
      <c r="C1966" t="s">
        <v>72</v>
      </c>
      <c r="D1966" t="str">
        <f t="shared" si="90"/>
        <v>Evening</v>
      </c>
      <c r="E1966">
        <f>HOUR(EV_Data[[#This Row],[Charging Start Time]])</f>
        <v>20</v>
      </c>
      <c r="F1966" s="1">
        <v>45008.833333333336</v>
      </c>
      <c r="G1966" s="1">
        <v>45008.862500000003</v>
      </c>
      <c r="H1966">
        <v>42</v>
      </c>
      <c r="I1966">
        <v>27.44</v>
      </c>
      <c r="J1966" t="str">
        <f t="shared" si="91"/>
        <v>Medium</v>
      </c>
      <c r="K1966" t="s">
        <v>32</v>
      </c>
      <c r="L1966">
        <v>67</v>
      </c>
      <c r="M1966">
        <v>100</v>
      </c>
      <c r="N1966" t="str">
        <f t="shared" si="92"/>
        <v>Medium Cost</v>
      </c>
      <c r="O1966">
        <v>11.07</v>
      </c>
      <c r="P1966" t="s">
        <v>43</v>
      </c>
      <c r="Q1966" t="s">
        <v>34</v>
      </c>
      <c r="R1966" t="s">
        <v>25</v>
      </c>
      <c r="S1966" t="s">
        <v>321</v>
      </c>
      <c r="T1966" t="s">
        <v>46</v>
      </c>
      <c r="U1966">
        <v>32</v>
      </c>
      <c r="V1966">
        <v>2.9</v>
      </c>
      <c r="W1966" t="s">
        <v>28</v>
      </c>
      <c r="X1966" t="s">
        <v>68</v>
      </c>
    </row>
    <row r="1967" spans="1:24" x14ac:dyDescent="0.3">
      <c r="A1967" t="s">
        <v>3243</v>
      </c>
      <c r="B1967" t="s">
        <v>40</v>
      </c>
      <c r="C1967" t="s">
        <v>41</v>
      </c>
      <c r="D1967" t="str">
        <f t="shared" si="90"/>
        <v>Evening</v>
      </c>
      <c r="E1967">
        <f>HOUR(EV_Data[[#This Row],[Charging Start Time]])</f>
        <v>21</v>
      </c>
      <c r="F1967" s="1">
        <v>45008.875</v>
      </c>
      <c r="G1967" s="1">
        <v>45008.897222222222</v>
      </c>
      <c r="H1967">
        <v>32</v>
      </c>
      <c r="I1967">
        <v>37.39</v>
      </c>
      <c r="J1967" t="str">
        <f t="shared" si="91"/>
        <v>Medium</v>
      </c>
      <c r="K1967" t="s">
        <v>42</v>
      </c>
      <c r="L1967">
        <v>29</v>
      </c>
      <c r="M1967">
        <v>44</v>
      </c>
      <c r="N1967" t="str">
        <f t="shared" si="92"/>
        <v>Medium Cost</v>
      </c>
      <c r="O1967">
        <v>11.08</v>
      </c>
      <c r="P1967" t="s">
        <v>23</v>
      </c>
      <c r="Q1967" t="s">
        <v>48</v>
      </c>
      <c r="R1967" t="s">
        <v>35</v>
      </c>
      <c r="S1967" t="s">
        <v>511</v>
      </c>
      <c r="T1967" t="s">
        <v>27</v>
      </c>
      <c r="U1967">
        <v>28</v>
      </c>
      <c r="V1967">
        <v>4.9000000000000004</v>
      </c>
      <c r="W1967" t="s">
        <v>38</v>
      </c>
      <c r="X1967" t="s">
        <v>39</v>
      </c>
    </row>
    <row r="1968" spans="1:24" x14ac:dyDescent="0.3">
      <c r="A1968" t="s">
        <v>3244</v>
      </c>
      <c r="B1968" t="s">
        <v>20</v>
      </c>
      <c r="C1968" t="s">
        <v>21</v>
      </c>
      <c r="D1968" t="str">
        <f t="shared" si="90"/>
        <v>Evening</v>
      </c>
      <c r="E1968">
        <f>HOUR(EV_Data[[#This Row],[Charging Start Time]])</f>
        <v>22</v>
      </c>
      <c r="F1968" s="1">
        <v>45008.916666666664</v>
      </c>
      <c r="G1968" s="1">
        <v>45008.923611111109</v>
      </c>
      <c r="H1968">
        <v>10</v>
      </c>
      <c r="I1968">
        <v>45.2</v>
      </c>
      <c r="J1968" t="str">
        <f t="shared" si="91"/>
        <v>Medium</v>
      </c>
      <c r="K1968" t="s">
        <v>55</v>
      </c>
      <c r="L1968">
        <v>23</v>
      </c>
      <c r="M1968">
        <v>41</v>
      </c>
      <c r="N1968" t="str">
        <f t="shared" si="92"/>
        <v>Medium Cost</v>
      </c>
      <c r="O1968">
        <v>13.18</v>
      </c>
      <c r="P1968" t="s">
        <v>33</v>
      </c>
      <c r="Q1968" t="s">
        <v>58</v>
      </c>
      <c r="R1968" t="s">
        <v>25</v>
      </c>
      <c r="S1968" t="s">
        <v>1270</v>
      </c>
      <c r="T1968" t="s">
        <v>60</v>
      </c>
      <c r="U1968">
        <v>64</v>
      </c>
      <c r="V1968">
        <v>1.4</v>
      </c>
      <c r="W1968" t="s">
        <v>47</v>
      </c>
      <c r="X1968" t="s">
        <v>29</v>
      </c>
    </row>
    <row r="1969" spans="1:24" x14ac:dyDescent="0.3">
      <c r="A1969" t="s">
        <v>3245</v>
      </c>
      <c r="B1969" t="s">
        <v>71</v>
      </c>
      <c r="C1969" t="s">
        <v>72</v>
      </c>
      <c r="D1969" t="str">
        <f t="shared" si="90"/>
        <v>Evening</v>
      </c>
      <c r="E1969">
        <f>HOUR(EV_Data[[#This Row],[Charging Start Time]])</f>
        <v>23</v>
      </c>
      <c r="F1969" s="1">
        <v>45008.958333333336</v>
      </c>
      <c r="G1969" s="1">
        <v>45008.959027777782</v>
      </c>
      <c r="H1969">
        <v>1</v>
      </c>
      <c r="I1969">
        <v>10.28</v>
      </c>
      <c r="J1969" t="str">
        <f t="shared" si="91"/>
        <v>Low</v>
      </c>
      <c r="K1969" t="s">
        <v>42</v>
      </c>
      <c r="L1969">
        <v>53</v>
      </c>
      <c r="M1969">
        <v>88</v>
      </c>
      <c r="N1969" t="str">
        <f t="shared" si="92"/>
        <v>Low Cost</v>
      </c>
      <c r="O1969">
        <v>3.41</v>
      </c>
      <c r="P1969" t="s">
        <v>23</v>
      </c>
      <c r="Q1969" t="s">
        <v>34</v>
      </c>
      <c r="R1969" t="s">
        <v>35</v>
      </c>
      <c r="S1969" t="s">
        <v>247</v>
      </c>
      <c r="T1969" t="s">
        <v>27</v>
      </c>
      <c r="U1969">
        <v>76</v>
      </c>
      <c r="V1969">
        <v>1</v>
      </c>
      <c r="W1969" t="s">
        <v>28</v>
      </c>
      <c r="X1969" t="s">
        <v>68</v>
      </c>
    </row>
    <row r="1970" spans="1:24" x14ac:dyDescent="0.3">
      <c r="A1970" t="s">
        <v>3246</v>
      </c>
      <c r="B1970" t="s">
        <v>53</v>
      </c>
      <c r="C1970" t="s">
        <v>54</v>
      </c>
      <c r="D1970" t="str">
        <f t="shared" si="90"/>
        <v>Morning</v>
      </c>
      <c r="E1970">
        <f>HOUR(EV_Data[[#This Row],[Charging Start Time]])</f>
        <v>0</v>
      </c>
      <c r="F1970" s="1">
        <v>45009</v>
      </c>
      <c r="G1970" s="1">
        <v>45009.046527777777</v>
      </c>
      <c r="H1970">
        <v>67</v>
      </c>
      <c r="I1970">
        <v>13.27</v>
      </c>
      <c r="J1970" t="str">
        <f t="shared" si="91"/>
        <v>Low</v>
      </c>
      <c r="K1970" t="s">
        <v>69</v>
      </c>
      <c r="L1970">
        <v>75</v>
      </c>
      <c r="M1970">
        <v>93</v>
      </c>
      <c r="N1970" t="str">
        <f t="shared" si="92"/>
        <v>Low Cost</v>
      </c>
      <c r="O1970">
        <v>3.62</v>
      </c>
      <c r="P1970" t="s">
        <v>43</v>
      </c>
      <c r="Q1970" t="s">
        <v>24</v>
      </c>
      <c r="R1970" t="s">
        <v>44</v>
      </c>
      <c r="S1970" t="s">
        <v>1193</v>
      </c>
      <c r="T1970" t="s">
        <v>60</v>
      </c>
      <c r="U1970">
        <v>98</v>
      </c>
      <c r="V1970">
        <v>2.1</v>
      </c>
      <c r="W1970" t="s">
        <v>38</v>
      </c>
      <c r="X1970" t="s">
        <v>83</v>
      </c>
    </row>
    <row r="1971" spans="1:24" x14ac:dyDescent="0.3">
      <c r="A1971" t="s">
        <v>3247</v>
      </c>
      <c r="B1971" t="s">
        <v>92</v>
      </c>
      <c r="C1971" t="s">
        <v>93</v>
      </c>
      <c r="D1971" t="str">
        <f t="shared" si="90"/>
        <v>Morning</v>
      </c>
      <c r="E1971">
        <f>HOUR(EV_Data[[#This Row],[Charging Start Time]])</f>
        <v>1</v>
      </c>
      <c r="F1971" s="1">
        <v>45009.041666666664</v>
      </c>
      <c r="G1971" s="1">
        <v>45009.125694444447</v>
      </c>
      <c r="H1971">
        <v>121</v>
      </c>
      <c r="I1971">
        <v>47.17</v>
      </c>
      <c r="J1971" t="str">
        <f t="shared" si="91"/>
        <v>Medium</v>
      </c>
      <c r="K1971" t="s">
        <v>32</v>
      </c>
      <c r="L1971">
        <v>54</v>
      </c>
      <c r="M1971">
        <v>64</v>
      </c>
      <c r="N1971" t="str">
        <f t="shared" si="92"/>
        <v>High Cost</v>
      </c>
      <c r="O1971">
        <v>22.23</v>
      </c>
      <c r="P1971" t="s">
        <v>43</v>
      </c>
      <c r="Q1971" t="s">
        <v>24</v>
      </c>
      <c r="R1971" t="s">
        <v>25</v>
      </c>
      <c r="S1971" t="s">
        <v>496</v>
      </c>
      <c r="T1971" t="s">
        <v>60</v>
      </c>
      <c r="U1971">
        <v>90</v>
      </c>
      <c r="V1971">
        <v>2.9</v>
      </c>
      <c r="W1971" t="s">
        <v>28</v>
      </c>
      <c r="X1971" t="s">
        <v>68</v>
      </c>
    </row>
    <row r="1972" spans="1:24" x14ac:dyDescent="0.3">
      <c r="A1972" t="s">
        <v>3248</v>
      </c>
      <c r="B1972" t="s">
        <v>71</v>
      </c>
      <c r="C1972" t="s">
        <v>72</v>
      </c>
      <c r="D1972" t="str">
        <f t="shared" si="90"/>
        <v>Morning</v>
      </c>
      <c r="E1972">
        <f>HOUR(EV_Data[[#This Row],[Charging Start Time]])</f>
        <v>2</v>
      </c>
      <c r="F1972" s="1">
        <v>45009.083333333336</v>
      </c>
      <c r="G1972" s="1">
        <v>45009.134722222218</v>
      </c>
      <c r="H1972">
        <v>74</v>
      </c>
      <c r="I1972">
        <v>49.43</v>
      </c>
      <c r="J1972" t="str">
        <f t="shared" si="91"/>
        <v>Medium</v>
      </c>
      <c r="K1972" t="s">
        <v>22</v>
      </c>
      <c r="L1972">
        <v>55</v>
      </c>
      <c r="M1972">
        <v>75</v>
      </c>
      <c r="N1972" t="str">
        <f t="shared" si="92"/>
        <v>Medium Cost</v>
      </c>
      <c r="O1972">
        <v>14.78</v>
      </c>
      <c r="P1972" t="s">
        <v>33</v>
      </c>
      <c r="Q1972" t="s">
        <v>34</v>
      </c>
      <c r="R1972" t="s">
        <v>56</v>
      </c>
      <c r="S1972" t="s">
        <v>773</v>
      </c>
      <c r="T1972" t="s">
        <v>37</v>
      </c>
      <c r="U1972">
        <v>85</v>
      </c>
      <c r="V1972">
        <v>1.9</v>
      </c>
      <c r="W1972" t="s">
        <v>28</v>
      </c>
      <c r="X1972" t="s">
        <v>68</v>
      </c>
    </row>
    <row r="1973" spans="1:24" x14ac:dyDescent="0.3">
      <c r="A1973" t="s">
        <v>3249</v>
      </c>
      <c r="B1973" t="s">
        <v>40</v>
      </c>
      <c r="C1973" t="s">
        <v>41</v>
      </c>
      <c r="D1973" t="str">
        <f t="shared" si="90"/>
        <v>Morning</v>
      </c>
      <c r="E1973">
        <f>HOUR(EV_Data[[#This Row],[Charging Start Time]])</f>
        <v>3</v>
      </c>
      <c r="F1973" s="1">
        <v>45009.125</v>
      </c>
      <c r="G1973" s="1">
        <v>45009.166666666657</v>
      </c>
      <c r="H1973">
        <v>60</v>
      </c>
      <c r="I1973">
        <v>13.76</v>
      </c>
      <c r="J1973" t="str">
        <f t="shared" si="91"/>
        <v>Low</v>
      </c>
      <c r="K1973" t="s">
        <v>55</v>
      </c>
      <c r="L1973">
        <v>38</v>
      </c>
      <c r="M1973">
        <v>69</v>
      </c>
      <c r="N1973" t="str">
        <f t="shared" si="92"/>
        <v>Low Cost</v>
      </c>
      <c r="O1973">
        <v>5.64</v>
      </c>
      <c r="P1973" t="s">
        <v>23</v>
      </c>
      <c r="Q1973" t="s">
        <v>24</v>
      </c>
      <c r="R1973" t="s">
        <v>56</v>
      </c>
      <c r="S1973" t="s">
        <v>301</v>
      </c>
      <c r="T1973" t="s">
        <v>46</v>
      </c>
      <c r="U1973">
        <v>100</v>
      </c>
      <c r="V1973">
        <v>2.5</v>
      </c>
      <c r="W1973" t="s">
        <v>38</v>
      </c>
      <c r="X1973" t="s">
        <v>39</v>
      </c>
    </row>
    <row r="1974" spans="1:24" x14ac:dyDescent="0.3">
      <c r="A1974" t="s">
        <v>3250</v>
      </c>
      <c r="B1974" t="s">
        <v>20</v>
      </c>
      <c r="C1974" t="s">
        <v>21</v>
      </c>
      <c r="D1974" t="str">
        <f t="shared" si="90"/>
        <v>Morning</v>
      </c>
      <c r="E1974">
        <f>HOUR(EV_Data[[#This Row],[Charging Start Time]])</f>
        <v>4</v>
      </c>
      <c r="F1974" s="1">
        <v>45009.166666666664</v>
      </c>
      <c r="G1974" s="1">
        <v>45009.20208333333</v>
      </c>
      <c r="H1974">
        <v>51</v>
      </c>
      <c r="I1974">
        <v>42.08</v>
      </c>
      <c r="J1974" t="str">
        <f t="shared" si="91"/>
        <v>Medium</v>
      </c>
      <c r="K1974" t="s">
        <v>42</v>
      </c>
      <c r="L1974">
        <v>64</v>
      </c>
      <c r="M1974">
        <v>74</v>
      </c>
      <c r="N1974" t="str">
        <f t="shared" si="92"/>
        <v>Medium Cost</v>
      </c>
      <c r="O1974">
        <v>10.18</v>
      </c>
      <c r="P1974" t="s">
        <v>23</v>
      </c>
      <c r="Q1974" t="s">
        <v>58</v>
      </c>
      <c r="R1974" t="s">
        <v>44</v>
      </c>
      <c r="S1974" t="s">
        <v>1271</v>
      </c>
      <c r="T1974" t="s">
        <v>60</v>
      </c>
      <c r="U1974">
        <v>69</v>
      </c>
      <c r="V1974">
        <v>2.1</v>
      </c>
      <c r="W1974" t="s">
        <v>28</v>
      </c>
      <c r="X1974" t="s">
        <v>68</v>
      </c>
    </row>
    <row r="1975" spans="1:24" x14ac:dyDescent="0.3">
      <c r="A1975" t="s">
        <v>3251</v>
      </c>
      <c r="B1975" t="s">
        <v>92</v>
      </c>
      <c r="C1975" t="s">
        <v>93</v>
      </c>
      <c r="D1975" t="str">
        <f t="shared" si="90"/>
        <v>Morning</v>
      </c>
      <c r="E1975">
        <f>HOUR(EV_Data[[#This Row],[Charging Start Time]])</f>
        <v>5</v>
      </c>
      <c r="F1975" s="1">
        <v>45009.208333333336</v>
      </c>
      <c r="G1975" s="1">
        <v>45009.23333333333</v>
      </c>
      <c r="H1975">
        <v>36</v>
      </c>
      <c r="I1975">
        <v>43.62</v>
      </c>
      <c r="J1975" t="str">
        <f t="shared" si="91"/>
        <v>Medium</v>
      </c>
      <c r="K1975" t="s">
        <v>32</v>
      </c>
      <c r="L1975">
        <v>66</v>
      </c>
      <c r="M1975">
        <v>98</v>
      </c>
      <c r="N1975" t="str">
        <f t="shared" si="92"/>
        <v>Medium Cost</v>
      </c>
      <c r="O1975">
        <v>11.04</v>
      </c>
      <c r="P1975" t="s">
        <v>33</v>
      </c>
      <c r="Q1975" t="s">
        <v>24</v>
      </c>
      <c r="R1975" t="s">
        <v>25</v>
      </c>
      <c r="S1975" t="s">
        <v>700</v>
      </c>
      <c r="T1975" t="s">
        <v>27</v>
      </c>
      <c r="U1975">
        <v>67</v>
      </c>
      <c r="V1975">
        <v>3.4</v>
      </c>
      <c r="W1975" t="s">
        <v>47</v>
      </c>
      <c r="X1975" t="s">
        <v>29</v>
      </c>
    </row>
    <row r="1976" spans="1:24" x14ac:dyDescent="0.3">
      <c r="A1976" t="s">
        <v>3252</v>
      </c>
      <c r="B1976" t="s">
        <v>53</v>
      </c>
      <c r="C1976" t="s">
        <v>54</v>
      </c>
      <c r="D1976" t="str">
        <f t="shared" si="90"/>
        <v>Morning</v>
      </c>
      <c r="E1976">
        <f>HOUR(EV_Data[[#This Row],[Charging Start Time]])</f>
        <v>6</v>
      </c>
      <c r="F1976" s="1">
        <v>45009.25</v>
      </c>
      <c r="G1976" s="1">
        <v>45009.277083333327</v>
      </c>
      <c r="H1976">
        <v>39</v>
      </c>
      <c r="I1976">
        <v>44.12</v>
      </c>
      <c r="J1976" t="str">
        <f t="shared" si="91"/>
        <v>Medium</v>
      </c>
      <c r="K1976" t="s">
        <v>42</v>
      </c>
      <c r="L1976">
        <v>9</v>
      </c>
      <c r="M1976">
        <v>48</v>
      </c>
      <c r="N1976" t="str">
        <f t="shared" si="92"/>
        <v>Medium Cost</v>
      </c>
      <c r="O1976">
        <v>10.55</v>
      </c>
      <c r="P1976" t="s">
        <v>23</v>
      </c>
      <c r="Q1976" t="s">
        <v>24</v>
      </c>
      <c r="R1976" t="s">
        <v>35</v>
      </c>
      <c r="S1976" t="s">
        <v>266</v>
      </c>
      <c r="T1976" t="s">
        <v>37</v>
      </c>
      <c r="U1976">
        <v>95</v>
      </c>
      <c r="V1976">
        <v>2.5</v>
      </c>
      <c r="W1976" t="s">
        <v>28</v>
      </c>
      <c r="X1976" t="s">
        <v>68</v>
      </c>
    </row>
    <row r="1977" spans="1:24" x14ac:dyDescent="0.3">
      <c r="A1977" t="s">
        <v>3253</v>
      </c>
      <c r="B1977" t="s">
        <v>40</v>
      </c>
      <c r="C1977" t="s">
        <v>41</v>
      </c>
      <c r="D1977" t="str">
        <f t="shared" si="90"/>
        <v>Morning</v>
      </c>
      <c r="E1977">
        <f>HOUR(EV_Data[[#This Row],[Charging Start Time]])</f>
        <v>7</v>
      </c>
      <c r="F1977" s="1">
        <v>45009.291666666664</v>
      </c>
      <c r="G1977" s="1">
        <v>45009.34652777778</v>
      </c>
      <c r="H1977">
        <v>79</v>
      </c>
      <c r="I1977">
        <v>48.73</v>
      </c>
      <c r="J1977" t="str">
        <f t="shared" si="91"/>
        <v>Medium</v>
      </c>
      <c r="K1977" t="s">
        <v>32</v>
      </c>
      <c r="L1977">
        <v>58</v>
      </c>
      <c r="M1977">
        <v>91</v>
      </c>
      <c r="N1977" t="str">
        <f t="shared" si="92"/>
        <v>Medium Cost</v>
      </c>
      <c r="O1977">
        <v>13.35</v>
      </c>
      <c r="P1977" t="s">
        <v>51</v>
      </c>
      <c r="Q1977" t="s">
        <v>48</v>
      </c>
      <c r="R1977" t="s">
        <v>44</v>
      </c>
      <c r="S1977" t="s">
        <v>458</v>
      </c>
      <c r="T1977" t="s">
        <v>46</v>
      </c>
      <c r="U1977">
        <v>41</v>
      </c>
      <c r="V1977">
        <v>3.3</v>
      </c>
      <c r="W1977" t="s">
        <v>47</v>
      </c>
      <c r="X1977" t="s">
        <v>29</v>
      </c>
    </row>
    <row r="1978" spans="1:24" x14ac:dyDescent="0.3">
      <c r="A1978" t="s">
        <v>3254</v>
      </c>
      <c r="B1978" t="s">
        <v>40</v>
      </c>
      <c r="C1978" t="s">
        <v>41</v>
      </c>
      <c r="D1978" t="str">
        <f t="shared" si="90"/>
        <v>Morning</v>
      </c>
      <c r="E1978">
        <f>HOUR(EV_Data[[#This Row],[Charging Start Time]])</f>
        <v>8</v>
      </c>
      <c r="F1978" s="1">
        <v>45009.333333333336</v>
      </c>
      <c r="G1978" s="1">
        <v>45009.376388888893</v>
      </c>
      <c r="H1978">
        <v>62</v>
      </c>
      <c r="I1978">
        <v>35.85</v>
      </c>
      <c r="J1978" t="str">
        <f t="shared" si="91"/>
        <v>Medium</v>
      </c>
      <c r="K1978" t="s">
        <v>69</v>
      </c>
      <c r="L1978">
        <v>13</v>
      </c>
      <c r="M1978">
        <v>34</v>
      </c>
      <c r="N1978" t="str">
        <f t="shared" si="92"/>
        <v>Medium Cost</v>
      </c>
      <c r="O1978">
        <v>13.89</v>
      </c>
      <c r="P1978" t="s">
        <v>23</v>
      </c>
      <c r="Q1978" t="s">
        <v>58</v>
      </c>
      <c r="R1978" t="s">
        <v>56</v>
      </c>
      <c r="S1978" t="s">
        <v>691</v>
      </c>
      <c r="T1978" t="s">
        <v>46</v>
      </c>
      <c r="U1978">
        <v>70</v>
      </c>
      <c r="V1978">
        <v>3</v>
      </c>
      <c r="W1978" t="s">
        <v>28</v>
      </c>
      <c r="X1978" t="s">
        <v>68</v>
      </c>
    </row>
    <row r="1979" spans="1:24" x14ac:dyDescent="0.3">
      <c r="A1979" t="s">
        <v>3255</v>
      </c>
      <c r="B1979" t="s">
        <v>92</v>
      </c>
      <c r="C1979" t="s">
        <v>93</v>
      </c>
      <c r="D1979" t="str">
        <f t="shared" si="90"/>
        <v>Morning</v>
      </c>
      <c r="E1979">
        <f>HOUR(EV_Data[[#This Row],[Charging Start Time]])</f>
        <v>9</v>
      </c>
      <c r="F1979" s="1">
        <v>45009.375</v>
      </c>
      <c r="G1979" s="1">
        <v>45009.402777777781</v>
      </c>
      <c r="H1979">
        <v>40</v>
      </c>
      <c r="I1979">
        <v>48.42</v>
      </c>
      <c r="J1979" t="str">
        <f t="shared" si="91"/>
        <v>Medium</v>
      </c>
      <c r="K1979" t="s">
        <v>50</v>
      </c>
      <c r="L1979">
        <v>14</v>
      </c>
      <c r="M1979">
        <v>51</v>
      </c>
      <c r="N1979" t="str">
        <f t="shared" si="92"/>
        <v>High Cost</v>
      </c>
      <c r="O1979">
        <v>23.23</v>
      </c>
      <c r="P1979" t="s">
        <v>64</v>
      </c>
      <c r="Q1979" t="s">
        <v>58</v>
      </c>
      <c r="R1979" t="s">
        <v>44</v>
      </c>
      <c r="S1979" t="s">
        <v>949</v>
      </c>
      <c r="T1979" t="s">
        <v>60</v>
      </c>
      <c r="U1979">
        <v>92</v>
      </c>
      <c r="V1979">
        <v>1.3</v>
      </c>
      <c r="W1979" t="s">
        <v>47</v>
      </c>
      <c r="X1979" t="s">
        <v>29</v>
      </c>
    </row>
    <row r="1980" spans="1:24" x14ac:dyDescent="0.3">
      <c r="A1980" t="s">
        <v>3256</v>
      </c>
      <c r="B1980" t="s">
        <v>20</v>
      </c>
      <c r="C1980" t="s">
        <v>21</v>
      </c>
      <c r="D1980" t="str">
        <f t="shared" si="90"/>
        <v>Morning</v>
      </c>
      <c r="E1980">
        <f>HOUR(EV_Data[[#This Row],[Charging Start Time]])</f>
        <v>10</v>
      </c>
      <c r="F1980" s="1">
        <v>45009.416666666664</v>
      </c>
      <c r="G1980" s="1">
        <v>45009.461111111108</v>
      </c>
      <c r="H1980">
        <v>64</v>
      </c>
      <c r="I1980">
        <v>35.93</v>
      </c>
      <c r="J1980" t="str">
        <f t="shared" si="91"/>
        <v>Medium</v>
      </c>
      <c r="K1980" t="s">
        <v>22</v>
      </c>
      <c r="L1980">
        <v>62</v>
      </c>
      <c r="M1980">
        <v>94</v>
      </c>
      <c r="N1980" t="str">
        <f t="shared" si="92"/>
        <v>Medium Cost</v>
      </c>
      <c r="O1980">
        <v>10.31</v>
      </c>
      <c r="P1980" t="s">
        <v>43</v>
      </c>
      <c r="Q1980" t="s">
        <v>34</v>
      </c>
      <c r="R1980" t="s">
        <v>44</v>
      </c>
      <c r="S1980" t="s">
        <v>295</v>
      </c>
      <c r="T1980" t="s">
        <v>60</v>
      </c>
      <c r="U1980">
        <v>37</v>
      </c>
      <c r="V1980">
        <v>2.9</v>
      </c>
      <c r="W1980" t="s">
        <v>38</v>
      </c>
      <c r="X1980" t="s">
        <v>62</v>
      </c>
    </row>
    <row r="1981" spans="1:24" x14ac:dyDescent="0.3">
      <c r="A1981" t="s">
        <v>3257</v>
      </c>
      <c r="B1981" t="s">
        <v>71</v>
      </c>
      <c r="C1981" t="s">
        <v>72</v>
      </c>
      <c r="D1981" t="str">
        <f t="shared" si="90"/>
        <v>Morning</v>
      </c>
      <c r="E1981">
        <f>HOUR(EV_Data[[#This Row],[Charging Start Time]])</f>
        <v>11</v>
      </c>
      <c r="F1981" s="1">
        <v>45009.458333333336</v>
      </c>
      <c r="G1981" s="1">
        <v>45009.500694444447</v>
      </c>
      <c r="H1981">
        <v>61</v>
      </c>
      <c r="I1981">
        <v>20.07</v>
      </c>
      <c r="J1981" t="str">
        <f t="shared" si="91"/>
        <v>Medium</v>
      </c>
      <c r="K1981" t="s">
        <v>50</v>
      </c>
      <c r="L1981">
        <v>78</v>
      </c>
      <c r="M1981">
        <v>100</v>
      </c>
      <c r="N1981" t="str">
        <f t="shared" si="92"/>
        <v>Medium Cost</v>
      </c>
      <c r="O1981">
        <v>8.75</v>
      </c>
      <c r="P1981" t="s">
        <v>43</v>
      </c>
      <c r="Q1981" t="s">
        <v>48</v>
      </c>
      <c r="R1981" t="s">
        <v>56</v>
      </c>
      <c r="S1981" t="s">
        <v>469</v>
      </c>
      <c r="T1981" t="s">
        <v>37</v>
      </c>
      <c r="U1981">
        <v>73</v>
      </c>
      <c r="V1981">
        <v>3.8</v>
      </c>
      <c r="W1981" t="s">
        <v>38</v>
      </c>
      <c r="X1981" t="s">
        <v>85</v>
      </c>
    </row>
    <row r="1982" spans="1:24" x14ac:dyDescent="0.3">
      <c r="A1982" t="s">
        <v>3258</v>
      </c>
      <c r="B1982" t="s">
        <v>126</v>
      </c>
      <c r="C1982" t="s">
        <v>31</v>
      </c>
      <c r="D1982" t="str">
        <f t="shared" si="90"/>
        <v>Afternoon</v>
      </c>
      <c r="E1982">
        <f>HOUR(EV_Data[[#This Row],[Charging Start Time]])</f>
        <v>12</v>
      </c>
      <c r="F1982" s="1">
        <v>45009.5</v>
      </c>
      <c r="G1982" s="1">
        <v>45009.53125</v>
      </c>
      <c r="H1982">
        <v>45</v>
      </c>
      <c r="I1982">
        <v>5.54</v>
      </c>
      <c r="J1982" t="str">
        <f t="shared" si="91"/>
        <v>Low</v>
      </c>
      <c r="K1982" t="s">
        <v>22</v>
      </c>
      <c r="L1982">
        <v>62</v>
      </c>
      <c r="M1982">
        <v>86</v>
      </c>
      <c r="N1982" t="str">
        <f t="shared" si="92"/>
        <v>Low Cost</v>
      </c>
      <c r="O1982">
        <v>2.62</v>
      </c>
      <c r="P1982" t="s">
        <v>23</v>
      </c>
      <c r="Q1982" t="s">
        <v>24</v>
      </c>
      <c r="R1982" t="s">
        <v>56</v>
      </c>
      <c r="S1982" t="s">
        <v>624</v>
      </c>
      <c r="T1982" t="s">
        <v>27</v>
      </c>
      <c r="U1982">
        <v>21</v>
      </c>
      <c r="V1982">
        <v>2.7</v>
      </c>
      <c r="W1982" t="s">
        <v>38</v>
      </c>
      <c r="X1982" t="s">
        <v>62</v>
      </c>
    </row>
    <row r="1983" spans="1:24" x14ac:dyDescent="0.3">
      <c r="A1983" t="s">
        <v>3259</v>
      </c>
      <c r="B1983" t="s">
        <v>77</v>
      </c>
      <c r="C1983" t="s">
        <v>78</v>
      </c>
      <c r="D1983" t="str">
        <f t="shared" si="90"/>
        <v>Afternoon</v>
      </c>
      <c r="E1983">
        <f>HOUR(EV_Data[[#This Row],[Charging Start Time]])</f>
        <v>13</v>
      </c>
      <c r="F1983" s="1">
        <v>45009.541666666664</v>
      </c>
      <c r="G1983" s="1">
        <v>45009.606249999997</v>
      </c>
      <c r="H1983">
        <v>93</v>
      </c>
      <c r="I1983">
        <v>22.64</v>
      </c>
      <c r="J1983" t="str">
        <f t="shared" si="91"/>
        <v>Medium</v>
      </c>
      <c r="K1983" t="s">
        <v>22</v>
      </c>
      <c r="L1983">
        <v>43</v>
      </c>
      <c r="M1983">
        <v>54</v>
      </c>
      <c r="N1983" t="str">
        <f t="shared" si="92"/>
        <v>Low Cost</v>
      </c>
      <c r="O1983">
        <v>7.37</v>
      </c>
      <c r="P1983" t="s">
        <v>43</v>
      </c>
      <c r="Q1983" t="s">
        <v>24</v>
      </c>
      <c r="R1983" t="s">
        <v>35</v>
      </c>
      <c r="S1983" t="s">
        <v>1272</v>
      </c>
      <c r="T1983" t="s">
        <v>60</v>
      </c>
      <c r="U1983">
        <v>71</v>
      </c>
      <c r="V1983">
        <v>1.3</v>
      </c>
      <c r="W1983" t="s">
        <v>38</v>
      </c>
      <c r="X1983" t="s">
        <v>83</v>
      </c>
    </row>
    <row r="1984" spans="1:24" x14ac:dyDescent="0.3">
      <c r="A1984" t="s">
        <v>3260</v>
      </c>
      <c r="B1984" t="s">
        <v>30</v>
      </c>
      <c r="C1984" t="s">
        <v>102</v>
      </c>
      <c r="D1984" t="str">
        <f t="shared" si="90"/>
        <v>Afternoon</v>
      </c>
      <c r="E1984">
        <f>HOUR(EV_Data[[#This Row],[Charging Start Time]])</f>
        <v>14</v>
      </c>
      <c r="F1984" s="1">
        <v>45009.583333333336</v>
      </c>
      <c r="G1984" s="1">
        <v>45009.584027777782</v>
      </c>
      <c r="H1984">
        <v>1</v>
      </c>
      <c r="I1984">
        <v>39.17</v>
      </c>
      <c r="J1984" t="str">
        <f t="shared" si="91"/>
        <v>Medium</v>
      </c>
      <c r="K1984" t="s">
        <v>69</v>
      </c>
      <c r="L1984">
        <v>16</v>
      </c>
      <c r="M1984">
        <v>42</v>
      </c>
      <c r="N1984" t="str">
        <f t="shared" si="92"/>
        <v>High Cost</v>
      </c>
      <c r="O1984">
        <v>18.93</v>
      </c>
      <c r="P1984" t="s">
        <v>64</v>
      </c>
      <c r="Q1984" t="s">
        <v>34</v>
      </c>
      <c r="R1984" t="s">
        <v>56</v>
      </c>
      <c r="S1984" t="s">
        <v>1130</v>
      </c>
      <c r="T1984" t="s">
        <v>37</v>
      </c>
      <c r="U1984">
        <v>89</v>
      </c>
      <c r="V1984">
        <v>2.4</v>
      </c>
      <c r="W1984" t="s">
        <v>38</v>
      </c>
      <c r="X1984" t="s">
        <v>39</v>
      </c>
    </row>
    <row r="1985" spans="1:24" x14ac:dyDescent="0.3">
      <c r="A1985" t="s">
        <v>3261</v>
      </c>
      <c r="B1985" t="s">
        <v>126</v>
      </c>
      <c r="C1985" t="s">
        <v>31</v>
      </c>
      <c r="D1985" t="str">
        <f t="shared" si="90"/>
        <v>Afternoon</v>
      </c>
      <c r="E1985">
        <f>HOUR(EV_Data[[#This Row],[Charging Start Time]])</f>
        <v>15</v>
      </c>
      <c r="F1985" s="1">
        <v>45009.625</v>
      </c>
      <c r="G1985" s="1">
        <v>45009.664583333331</v>
      </c>
      <c r="H1985">
        <v>57</v>
      </c>
      <c r="I1985">
        <v>25.46</v>
      </c>
      <c r="J1985" t="str">
        <f t="shared" si="91"/>
        <v>Medium</v>
      </c>
      <c r="K1985" t="s">
        <v>22</v>
      </c>
      <c r="L1985">
        <v>60</v>
      </c>
      <c r="M1985">
        <v>83</v>
      </c>
      <c r="N1985" t="str">
        <f t="shared" si="92"/>
        <v>Medium Cost</v>
      </c>
      <c r="O1985">
        <v>12.2</v>
      </c>
      <c r="P1985" t="s">
        <v>51</v>
      </c>
      <c r="Q1985" t="s">
        <v>24</v>
      </c>
      <c r="R1985" t="s">
        <v>35</v>
      </c>
      <c r="S1985" t="s">
        <v>1273</v>
      </c>
      <c r="T1985" t="s">
        <v>60</v>
      </c>
      <c r="U1985">
        <v>43</v>
      </c>
      <c r="V1985">
        <v>4.5</v>
      </c>
      <c r="W1985" t="s">
        <v>47</v>
      </c>
      <c r="X1985" t="s">
        <v>29</v>
      </c>
    </row>
    <row r="1986" spans="1:24" x14ac:dyDescent="0.3">
      <c r="A1986" t="s">
        <v>3262</v>
      </c>
      <c r="B1986" t="s">
        <v>77</v>
      </c>
      <c r="C1986" t="s">
        <v>78</v>
      </c>
      <c r="D1986" t="str">
        <f t="shared" ref="D1986:D2001" si="93">IF(E1986&lt;12,"Morning",IF(E1986&lt;17,"Afternoon","Evening"))</f>
        <v>Afternoon</v>
      </c>
      <c r="E1986">
        <f>HOUR(EV_Data[[#This Row],[Charging Start Time]])</f>
        <v>16</v>
      </c>
      <c r="F1986" s="1">
        <v>45009.666666666664</v>
      </c>
      <c r="G1986" s="1">
        <v>45009.716666666667</v>
      </c>
      <c r="H1986">
        <v>72</v>
      </c>
      <c r="I1986">
        <v>45.78</v>
      </c>
      <c r="J1986" t="str">
        <f t="shared" ref="J1986:J2001" si="94">IF(I1986&lt;20,"Low",IF(I1986&lt;50,"Medium","High"))</f>
        <v>Medium</v>
      </c>
      <c r="K1986" t="s">
        <v>42</v>
      </c>
      <c r="L1986">
        <v>74</v>
      </c>
      <c r="M1986">
        <v>100</v>
      </c>
      <c r="N1986" t="str">
        <f t="shared" ref="N1986:N2001" si="95">IF(O1986&lt;8,"Low Cost",IF(O1986&lt;17,"Medium Cost","High Cost"))</f>
        <v>Medium Cost</v>
      </c>
      <c r="O1986">
        <v>12.12</v>
      </c>
      <c r="P1986" t="s">
        <v>23</v>
      </c>
      <c r="Q1986" t="s">
        <v>58</v>
      </c>
      <c r="R1986" t="s">
        <v>25</v>
      </c>
      <c r="S1986" t="s">
        <v>1274</v>
      </c>
      <c r="T1986" t="s">
        <v>37</v>
      </c>
      <c r="U1986">
        <v>50</v>
      </c>
      <c r="V1986">
        <v>4.4000000000000004</v>
      </c>
      <c r="W1986" t="s">
        <v>28</v>
      </c>
      <c r="X1986" t="s">
        <v>68</v>
      </c>
    </row>
    <row r="1987" spans="1:24" x14ac:dyDescent="0.3">
      <c r="A1987" t="s">
        <v>3263</v>
      </c>
      <c r="B1987" t="s">
        <v>77</v>
      </c>
      <c r="C1987" t="s">
        <v>78</v>
      </c>
      <c r="D1987" t="str">
        <f t="shared" si="93"/>
        <v>Evening</v>
      </c>
      <c r="E1987">
        <f>HOUR(EV_Data[[#This Row],[Charging Start Time]])</f>
        <v>17</v>
      </c>
      <c r="F1987" s="1">
        <v>45009.708333333336</v>
      </c>
      <c r="G1987" s="1">
        <v>45009.743055555547</v>
      </c>
      <c r="H1987">
        <v>50</v>
      </c>
      <c r="I1987">
        <v>18.78</v>
      </c>
      <c r="J1987" t="str">
        <f t="shared" si="94"/>
        <v>Low</v>
      </c>
      <c r="K1987" t="s">
        <v>50</v>
      </c>
      <c r="L1987">
        <v>71</v>
      </c>
      <c r="M1987">
        <v>86</v>
      </c>
      <c r="N1987" t="str">
        <f t="shared" si="95"/>
        <v>Low Cost</v>
      </c>
      <c r="O1987">
        <v>4.97</v>
      </c>
      <c r="P1987" t="s">
        <v>33</v>
      </c>
      <c r="Q1987" t="s">
        <v>34</v>
      </c>
      <c r="R1987" t="s">
        <v>35</v>
      </c>
      <c r="S1987" t="s">
        <v>574</v>
      </c>
      <c r="T1987" t="s">
        <v>37</v>
      </c>
      <c r="U1987">
        <v>39</v>
      </c>
      <c r="V1987">
        <v>2</v>
      </c>
      <c r="W1987" t="s">
        <v>28</v>
      </c>
      <c r="X1987" t="s">
        <v>68</v>
      </c>
    </row>
    <row r="1988" spans="1:24" x14ac:dyDescent="0.3">
      <c r="A1988" t="s">
        <v>3264</v>
      </c>
      <c r="B1988" t="s">
        <v>77</v>
      </c>
      <c r="C1988" t="s">
        <v>78</v>
      </c>
      <c r="D1988" t="str">
        <f t="shared" si="93"/>
        <v>Evening</v>
      </c>
      <c r="E1988">
        <f>HOUR(EV_Data[[#This Row],[Charging Start Time]])</f>
        <v>18</v>
      </c>
      <c r="F1988" s="1">
        <v>45009.75</v>
      </c>
      <c r="G1988" s="1">
        <v>45009.818055555559</v>
      </c>
      <c r="H1988">
        <v>98</v>
      </c>
      <c r="I1988">
        <v>25.68</v>
      </c>
      <c r="J1988" t="str">
        <f t="shared" si="94"/>
        <v>Medium</v>
      </c>
      <c r="K1988" t="s">
        <v>42</v>
      </c>
      <c r="L1988">
        <v>16</v>
      </c>
      <c r="M1988">
        <v>53</v>
      </c>
      <c r="N1988" t="str">
        <f t="shared" si="95"/>
        <v>Low Cost</v>
      </c>
      <c r="O1988">
        <v>5.42</v>
      </c>
      <c r="P1988" t="s">
        <v>51</v>
      </c>
      <c r="Q1988" t="s">
        <v>24</v>
      </c>
      <c r="R1988" t="s">
        <v>35</v>
      </c>
      <c r="S1988" t="s">
        <v>1253</v>
      </c>
      <c r="T1988" t="s">
        <v>46</v>
      </c>
      <c r="U1988">
        <v>63</v>
      </c>
      <c r="V1988">
        <v>2.7</v>
      </c>
      <c r="W1988" t="s">
        <v>38</v>
      </c>
    </row>
    <row r="1989" spans="1:24" x14ac:dyDescent="0.3">
      <c r="A1989" t="s">
        <v>3265</v>
      </c>
      <c r="B1989" t="s">
        <v>20</v>
      </c>
      <c r="C1989" t="s">
        <v>21</v>
      </c>
      <c r="D1989" t="str">
        <f t="shared" si="93"/>
        <v>Evening</v>
      </c>
      <c r="E1989">
        <f>HOUR(EV_Data[[#This Row],[Charging Start Time]])</f>
        <v>19</v>
      </c>
      <c r="F1989" s="1">
        <v>45009.791666666664</v>
      </c>
      <c r="G1989" s="1">
        <v>45009.828472222223</v>
      </c>
      <c r="H1989">
        <v>53</v>
      </c>
      <c r="I1989">
        <v>49.07</v>
      </c>
      <c r="J1989" t="str">
        <f t="shared" si="94"/>
        <v>Medium</v>
      </c>
      <c r="K1989" t="s">
        <v>55</v>
      </c>
      <c r="L1989">
        <v>70</v>
      </c>
      <c r="M1989">
        <v>85</v>
      </c>
      <c r="N1989" t="str">
        <f t="shared" si="95"/>
        <v>Medium Cost</v>
      </c>
      <c r="O1989">
        <v>14.73</v>
      </c>
      <c r="P1989" t="s">
        <v>23</v>
      </c>
      <c r="Q1989" t="s">
        <v>34</v>
      </c>
      <c r="R1989" t="s">
        <v>44</v>
      </c>
      <c r="S1989" t="s">
        <v>1275</v>
      </c>
      <c r="T1989" t="s">
        <v>60</v>
      </c>
      <c r="U1989">
        <v>95</v>
      </c>
      <c r="V1989">
        <v>3.2</v>
      </c>
      <c r="W1989" t="s">
        <v>38</v>
      </c>
      <c r="X1989" t="s">
        <v>39</v>
      </c>
    </row>
    <row r="1990" spans="1:24" x14ac:dyDescent="0.3">
      <c r="A1990" t="s">
        <v>3266</v>
      </c>
      <c r="B1990" t="s">
        <v>92</v>
      </c>
      <c r="C1990" t="s">
        <v>93</v>
      </c>
      <c r="D1990" t="str">
        <f t="shared" si="93"/>
        <v>Evening</v>
      </c>
      <c r="E1990">
        <f>HOUR(EV_Data[[#This Row],[Charging Start Time]])</f>
        <v>20</v>
      </c>
      <c r="F1990" s="1">
        <v>45009.833333333336</v>
      </c>
      <c r="G1990" s="1">
        <v>45009.870833333327</v>
      </c>
      <c r="H1990">
        <v>54</v>
      </c>
      <c r="I1990">
        <v>17.190000000000001</v>
      </c>
      <c r="J1990" t="str">
        <f t="shared" si="94"/>
        <v>Low</v>
      </c>
      <c r="K1990" t="s">
        <v>50</v>
      </c>
      <c r="L1990">
        <v>10</v>
      </c>
      <c r="M1990">
        <v>37</v>
      </c>
      <c r="N1990" t="str">
        <f t="shared" si="95"/>
        <v>Low Cost</v>
      </c>
      <c r="O1990">
        <v>4.01</v>
      </c>
      <c r="P1990" t="s">
        <v>33</v>
      </c>
      <c r="Q1990" t="s">
        <v>58</v>
      </c>
      <c r="R1990" t="s">
        <v>25</v>
      </c>
      <c r="S1990" t="s">
        <v>1239</v>
      </c>
      <c r="T1990" t="s">
        <v>27</v>
      </c>
      <c r="U1990">
        <v>65</v>
      </c>
      <c r="V1990">
        <v>1.9</v>
      </c>
      <c r="W1990" t="s">
        <v>47</v>
      </c>
      <c r="X1990" t="s">
        <v>29</v>
      </c>
    </row>
    <row r="1991" spans="1:24" x14ac:dyDescent="0.3">
      <c r="A1991" t="s">
        <v>3267</v>
      </c>
      <c r="B1991" t="s">
        <v>30</v>
      </c>
      <c r="C1991" t="s">
        <v>102</v>
      </c>
      <c r="D1991" t="str">
        <f t="shared" si="93"/>
        <v>Evening</v>
      </c>
      <c r="E1991">
        <f>HOUR(EV_Data[[#This Row],[Charging Start Time]])</f>
        <v>21</v>
      </c>
      <c r="F1991" s="1">
        <v>45009.875</v>
      </c>
      <c r="G1991" s="1">
        <v>45009.951388888891</v>
      </c>
      <c r="H1991">
        <v>110</v>
      </c>
      <c r="I1991">
        <v>24.68</v>
      </c>
      <c r="J1991" t="str">
        <f t="shared" si="94"/>
        <v>Medium</v>
      </c>
      <c r="K1991" t="s">
        <v>42</v>
      </c>
      <c r="L1991">
        <v>9</v>
      </c>
      <c r="M1991">
        <v>19</v>
      </c>
      <c r="N1991" t="str">
        <f t="shared" si="95"/>
        <v>Low Cost</v>
      </c>
      <c r="O1991">
        <v>7</v>
      </c>
      <c r="P1991" t="s">
        <v>51</v>
      </c>
      <c r="Q1991" t="s">
        <v>24</v>
      </c>
      <c r="R1991" t="s">
        <v>25</v>
      </c>
      <c r="S1991" t="s">
        <v>734</v>
      </c>
      <c r="T1991" t="s">
        <v>46</v>
      </c>
      <c r="U1991">
        <v>91</v>
      </c>
      <c r="V1991">
        <v>1.7</v>
      </c>
      <c r="W1991" t="s">
        <v>47</v>
      </c>
      <c r="X1991" t="s">
        <v>29</v>
      </c>
    </row>
    <row r="1992" spans="1:24" x14ac:dyDescent="0.3">
      <c r="A1992" t="s">
        <v>3268</v>
      </c>
      <c r="B1992" t="s">
        <v>20</v>
      </c>
      <c r="C1992" t="s">
        <v>21</v>
      </c>
      <c r="D1992" t="str">
        <f t="shared" si="93"/>
        <v>Evening</v>
      </c>
      <c r="E1992">
        <f>HOUR(EV_Data[[#This Row],[Charging Start Time]])</f>
        <v>22</v>
      </c>
      <c r="F1992" s="1">
        <v>45009.916666666664</v>
      </c>
      <c r="G1992" s="1">
        <v>45010.000694444447</v>
      </c>
      <c r="H1992">
        <v>121</v>
      </c>
      <c r="I1992">
        <v>30.42</v>
      </c>
      <c r="J1992" t="str">
        <f t="shared" si="94"/>
        <v>Medium</v>
      </c>
      <c r="K1992" t="s">
        <v>42</v>
      </c>
      <c r="L1992">
        <v>66</v>
      </c>
      <c r="M1992">
        <v>85</v>
      </c>
      <c r="N1992" t="str">
        <f t="shared" si="95"/>
        <v>Medium Cost</v>
      </c>
      <c r="O1992">
        <v>9.76</v>
      </c>
      <c r="P1992" t="s">
        <v>33</v>
      </c>
      <c r="Q1992" t="s">
        <v>58</v>
      </c>
      <c r="R1992" t="s">
        <v>56</v>
      </c>
      <c r="S1992" t="s">
        <v>523</v>
      </c>
      <c r="T1992" t="s">
        <v>60</v>
      </c>
      <c r="U1992">
        <v>49</v>
      </c>
      <c r="V1992">
        <v>4.4000000000000004</v>
      </c>
      <c r="W1992" t="s">
        <v>28</v>
      </c>
      <c r="X1992" t="s">
        <v>68</v>
      </c>
    </row>
    <row r="1993" spans="1:24" x14ac:dyDescent="0.3">
      <c r="A1993" t="s">
        <v>3269</v>
      </c>
      <c r="B1993" t="s">
        <v>126</v>
      </c>
      <c r="C1993" t="s">
        <v>31</v>
      </c>
      <c r="D1993" t="str">
        <f t="shared" si="93"/>
        <v>Evening</v>
      </c>
      <c r="E1993">
        <f>HOUR(EV_Data[[#This Row],[Charging Start Time]])</f>
        <v>23</v>
      </c>
      <c r="F1993" s="1">
        <v>45009.958333333336</v>
      </c>
      <c r="G1993" s="1">
        <v>45010.019444444442</v>
      </c>
      <c r="H1993">
        <v>88</v>
      </c>
      <c r="I1993">
        <v>37.39</v>
      </c>
      <c r="J1993" t="str">
        <f t="shared" si="94"/>
        <v>Medium</v>
      </c>
      <c r="K1993" t="s">
        <v>22</v>
      </c>
      <c r="L1993">
        <v>78</v>
      </c>
      <c r="M1993">
        <v>100</v>
      </c>
      <c r="N1993" t="str">
        <f t="shared" si="95"/>
        <v>Medium Cost</v>
      </c>
      <c r="O1993">
        <v>11.47</v>
      </c>
      <c r="P1993" t="s">
        <v>43</v>
      </c>
      <c r="Q1993" t="s">
        <v>48</v>
      </c>
      <c r="R1993" t="s">
        <v>25</v>
      </c>
      <c r="S1993" t="s">
        <v>799</v>
      </c>
      <c r="T1993" t="s">
        <v>60</v>
      </c>
      <c r="U1993">
        <v>88</v>
      </c>
      <c r="V1993">
        <v>4.7</v>
      </c>
      <c r="W1993" t="s">
        <v>28</v>
      </c>
      <c r="X1993" t="s">
        <v>68</v>
      </c>
    </row>
    <row r="1994" spans="1:24" x14ac:dyDescent="0.3">
      <c r="A1994" t="s">
        <v>3270</v>
      </c>
      <c r="B1994" t="s">
        <v>30</v>
      </c>
      <c r="C1994" t="s">
        <v>102</v>
      </c>
      <c r="D1994" t="str">
        <f t="shared" si="93"/>
        <v>Morning</v>
      </c>
      <c r="E1994">
        <f>HOUR(EV_Data[[#This Row],[Charging Start Time]])</f>
        <v>0</v>
      </c>
      <c r="F1994" s="1">
        <v>45010</v>
      </c>
      <c r="G1994" s="1">
        <v>45010.033333333333</v>
      </c>
      <c r="H1994">
        <v>48</v>
      </c>
      <c r="I1994">
        <v>32.31</v>
      </c>
      <c r="J1994" t="str">
        <f t="shared" si="94"/>
        <v>Medium</v>
      </c>
      <c r="K1994" t="s">
        <v>42</v>
      </c>
      <c r="L1994">
        <v>35</v>
      </c>
      <c r="M1994">
        <v>58</v>
      </c>
      <c r="N1994" t="str">
        <f t="shared" si="95"/>
        <v>Low Cost</v>
      </c>
      <c r="O1994">
        <v>7.8</v>
      </c>
      <c r="P1994" t="s">
        <v>64</v>
      </c>
      <c r="Q1994" t="s">
        <v>58</v>
      </c>
      <c r="R1994" t="s">
        <v>25</v>
      </c>
      <c r="S1994" t="s">
        <v>271</v>
      </c>
      <c r="T1994" t="s">
        <v>37</v>
      </c>
      <c r="U1994">
        <v>66</v>
      </c>
      <c r="V1994">
        <v>1.1000000000000001</v>
      </c>
      <c r="W1994" t="s">
        <v>47</v>
      </c>
      <c r="X1994" t="s">
        <v>29</v>
      </c>
    </row>
    <row r="1995" spans="1:24" x14ac:dyDescent="0.3">
      <c r="A1995" t="s">
        <v>3271</v>
      </c>
      <c r="B1995" t="s">
        <v>126</v>
      </c>
      <c r="C1995" t="s">
        <v>31</v>
      </c>
      <c r="D1995" t="str">
        <f t="shared" si="93"/>
        <v>Morning</v>
      </c>
      <c r="E1995">
        <f>HOUR(EV_Data[[#This Row],[Charging Start Time]])</f>
        <v>1</v>
      </c>
      <c r="F1995" s="1">
        <v>45010.041666666664</v>
      </c>
      <c r="G1995" s="1">
        <v>45010.085416666669</v>
      </c>
      <c r="H1995">
        <v>63</v>
      </c>
      <c r="I1995">
        <v>10.76</v>
      </c>
      <c r="J1995" t="str">
        <f t="shared" si="94"/>
        <v>Low</v>
      </c>
      <c r="K1995" t="s">
        <v>22</v>
      </c>
      <c r="L1995">
        <v>25</v>
      </c>
      <c r="M1995">
        <v>57</v>
      </c>
      <c r="N1995" t="str">
        <f t="shared" si="95"/>
        <v>Low Cost</v>
      </c>
      <c r="O1995">
        <v>3.38</v>
      </c>
      <c r="P1995" t="s">
        <v>64</v>
      </c>
      <c r="Q1995" t="s">
        <v>34</v>
      </c>
      <c r="R1995" t="s">
        <v>35</v>
      </c>
      <c r="S1995" t="s">
        <v>1276</v>
      </c>
      <c r="T1995" t="s">
        <v>60</v>
      </c>
      <c r="U1995">
        <v>13</v>
      </c>
      <c r="V1995">
        <v>3.9</v>
      </c>
      <c r="W1995" t="s">
        <v>28</v>
      </c>
      <c r="X1995" t="s">
        <v>68</v>
      </c>
    </row>
    <row r="1996" spans="1:24" x14ac:dyDescent="0.3">
      <c r="A1996" t="s">
        <v>3272</v>
      </c>
      <c r="B1996" t="s">
        <v>126</v>
      </c>
      <c r="C1996" t="s">
        <v>31</v>
      </c>
      <c r="D1996" t="str">
        <f t="shared" si="93"/>
        <v>Morning</v>
      </c>
      <c r="E1996">
        <f>HOUR(EV_Data[[#This Row],[Charging Start Time]])</f>
        <v>2</v>
      </c>
      <c r="F1996" s="1">
        <v>45010.083333333336</v>
      </c>
      <c r="G1996" s="1">
        <v>45010.161111111112</v>
      </c>
      <c r="H1996">
        <v>112</v>
      </c>
      <c r="I1996">
        <v>39.33</v>
      </c>
      <c r="J1996" t="str">
        <f t="shared" si="94"/>
        <v>Medium</v>
      </c>
      <c r="K1996" t="s">
        <v>22</v>
      </c>
      <c r="L1996">
        <v>56</v>
      </c>
      <c r="M1996">
        <v>86</v>
      </c>
      <c r="N1996" t="str">
        <f t="shared" si="95"/>
        <v>Medium Cost</v>
      </c>
      <c r="O1996">
        <v>8.01</v>
      </c>
      <c r="P1996" t="s">
        <v>33</v>
      </c>
      <c r="Q1996" t="s">
        <v>48</v>
      </c>
      <c r="R1996" t="s">
        <v>44</v>
      </c>
      <c r="S1996" t="s">
        <v>386</v>
      </c>
      <c r="T1996" t="s">
        <v>27</v>
      </c>
      <c r="U1996">
        <v>35</v>
      </c>
      <c r="V1996">
        <v>1.9</v>
      </c>
      <c r="W1996" t="s">
        <v>47</v>
      </c>
      <c r="X1996" t="s">
        <v>29</v>
      </c>
    </row>
    <row r="1997" spans="1:24" x14ac:dyDescent="0.3">
      <c r="A1997" t="s">
        <v>3273</v>
      </c>
      <c r="B1997" t="s">
        <v>20</v>
      </c>
      <c r="C1997" t="s">
        <v>21</v>
      </c>
      <c r="D1997" t="str">
        <f t="shared" si="93"/>
        <v>Morning</v>
      </c>
      <c r="E1997">
        <f>HOUR(EV_Data[[#This Row],[Charging Start Time]])</f>
        <v>3</v>
      </c>
      <c r="F1997" s="1">
        <v>45010.125</v>
      </c>
      <c r="G1997" s="1">
        <v>45010.161111111112</v>
      </c>
      <c r="H1997">
        <v>52</v>
      </c>
      <c r="I1997">
        <v>35.299999999999997</v>
      </c>
      <c r="J1997" t="str">
        <f t="shared" si="94"/>
        <v>Medium</v>
      </c>
      <c r="K1997" t="s">
        <v>55</v>
      </c>
      <c r="L1997">
        <v>62</v>
      </c>
      <c r="M1997">
        <v>83</v>
      </c>
      <c r="N1997" t="str">
        <f t="shared" si="95"/>
        <v>Medium Cost</v>
      </c>
      <c r="O1997">
        <v>8.42</v>
      </c>
      <c r="P1997" t="s">
        <v>23</v>
      </c>
      <c r="Q1997" t="s">
        <v>48</v>
      </c>
      <c r="R1997" t="s">
        <v>25</v>
      </c>
      <c r="S1997" t="s">
        <v>650</v>
      </c>
      <c r="T1997" t="s">
        <v>60</v>
      </c>
      <c r="U1997">
        <v>69</v>
      </c>
      <c r="V1997">
        <v>4.9000000000000004</v>
      </c>
      <c r="W1997" t="s">
        <v>38</v>
      </c>
      <c r="X1997" t="s">
        <v>62</v>
      </c>
    </row>
    <row r="1998" spans="1:24" x14ac:dyDescent="0.3">
      <c r="A1998" t="s">
        <v>3274</v>
      </c>
      <c r="B1998" t="s">
        <v>126</v>
      </c>
      <c r="C1998" t="s">
        <v>31</v>
      </c>
      <c r="D1998" t="str">
        <f t="shared" si="93"/>
        <v>Morning</v>
      </c>
      <c r="E1998">
        <f>HOUR(EV_Data[[#This Row],[Charging Start Time]])</f>
        <v>4</v>
      </c>
      <c r="F1998" s="1">
        <v>45010.166666666664</v>
      </c>
      <c r="G1998" s="1">
        <v>45010.234027777777</v>
      </c>
      <c r="H1998">
        <v>97</v>
      </c>
      <c r="I1998">
        <v>49.96</v>
      </c>
      <c r="J1998" t="str">
        <f t="shared" si="94"/>
        <v>Medium</v>
      </c>
      <c r="K1998" t="s">
        <v>69</v>
      </c>
      <c r="L1998">
        <v>9</v>
      </c>
      <c r="M1998">
        <v>45</v>
      </c>
      <c r="N1998" t="str">
        <f t="shared" si="95"/>
        <v>Medium Cost</v>
      </c>
      <c r="O1998">
        <v>16.170000000000002</v>
      </c>
      <c r="P1998" t="s">
        <v>23</v>
      </c>
      <c r="Q1998" t="s">
        <v>48</v>
      </c>
      <c r="R1998" t="s">
        <v>44</v>
      </c>
      <c r="S1998" t="s">
        <v>269</v>
      </c>
      <c r="T1998" t="s">
        <v>37</v>
      </c>
      <c r="U1998">
        <v>93</v>
      </c>
      <c r="V1998">
        <v>1.3</v>
      </c>
      <c r="W1998" t="s">
        <v>28</v>
      </c>
      <c r="X1998" t="s">
        <v>68</v>
      </c>
    </row>
    <row r="1999" spans="1:24" x14ac:dyDescent="0.3">
      <c r="A1999" t="s">
        <v>3275</v>
      </c>
      <c r="B1999" t="s">
        <v>77</v>
      </c>
      <c r="C1999" t="s">
        <v>78</v>
      </c>
      <c r="D1999" t="str">
        <f t="shared" si="93"/>
        <v>Morning</v>
      </c>
      <c r="E1999">
        <f>HOUR(EV_Data[[#This Row],[Charging Start Time]])</f>
        <v>5</v>
      </c>
      <c r="F1999" s="1">
        <v>45010.208333333336</v>
      </c>
      <c r="G1999" s="1">
        <v>45010.234722222223</v>
      </c>
      <c r="H1999">
        <v>38</v>
      </c>
      <c r="I1999">
        <v>6.08</v>
      </c>
      <c r="J1999" t="str">
        <f t="shared" si="94"/>
        <v>Low</v>
      </c>
      <c r="K1999" t="s">
        <v>50</v>
      </c>
      <c r="L1999">
        <v>26</v>
      </c>
      <c r="M1999">
        <v>53</v>
      </c>
      <c r="N1999" t="str">
        <f t="shared" si="95"/>
        <v>Low Cost</v>
      </c>
      <c r="O1999">
        <v>1.7</v>
      </c>
      <c r="P1999" t="s">
        <v>23</v>
      </c>
      <c r="Q1999" t="s">
        <v>34</v>
      </c>
      <c r="R1999" t="s">
        <v>25</v>
      </c>
      <c r="S1999" t="s">
        <v>577</v>
      </c>
      <c r="T1999" t="s">
        <v>46</v>
      </c>
      <c r="U1999">
        <v>80</v>
      </c>
      <c r="V1999">
        <v>2</v>
      </c>
      <c r="W1999" t="s">
        <v>47</v>
      </c>
      <c r="X1999" t="s">
        <v>29</v>
      </c>
    </row>
    <row r="2000" spans="1:24" x14ac:dyDescent="0.3">
      <c r="A2000" t="s">
        <v>3276</v>
      </c>
      <c r="B2000" t="s">
        <v>30</v>
      </c>
      <c r="C2000" t="s">
        <v>102</v>
      </c>
      <c r="D2000" t="str">
        <f t="shared" si="93"/>
        <v>Morning</v>
      </c>
      <c r="E2000">
        <f>HOUR(EV_Data[[#This Row],[Charging Start Time]])</f>
        <v>6</v>
      </c>
      <c r="F2000" s="1">
        <v>45010.25</v>
      </c>
      <c r="G2000" s="1">
        <v>45010.299305555563</v>
      </c>
      <c r="H2000">
        <v>71</v>
      </c>
      <c r="I2000">
        <v>30.22</v>
      </c>
      <c r="J2000" t="str">
        <f t="shared" si="94"/>
        <v>Medium</v>
      </c>
      <c r="K2000" t="s">
        <v>55</v>
      </c>
      <c r="L2000">
        <v>47</v>
      </c>
      <c r="M2000">
        <v>80</v>
      </c>
      <c r="N2000" t="str">
        <f t="shared" si="95"/>
        <v>Medium Cost</v>
      </c>
      <c r="O2000">
        <v>11.45</v>
      </c>
      <c r="P2000" t="s">
        <v>64</v>
      </c>
      <c r="Q2000" t="s">
        <v>34</v>
      </c>
      <c r="R2000" t="s">
        <v>44</v>
      </c>
      <c r="S2000" t="s">
        <v>1277</v>
      </c>
      <c r="T2000" t="s">
        <v>46</v>
      </c>
      <c r="U2000">
        <v>23</v>
      </c>
      <c r="V2000">
        <v>1.7</v>
      </c>
      <c r="W2000" t="s">
        <v>28</v>
      </c>
      <c r="X2000" t="s">
        <v>68</v>
      </c>
    </row>
    <row r="2001" spans="1:24" x14ac:dyDescent="0.3">
      <c r="A2001" t="s">
        <v>3277</v>
      </c>
      <c r="B2001" t="s">
        <v>71</v>
      </c>
      <c r="C2001" t="s">
        <v>72</v>
      </c>
      <c r="D2001" t="str">
        <f t="shared" si="93"/>
        <v>Morning</v>
      </c>
      <c r="E2001">
        <f>HOUR(EV_Data[[#This Row],[Charging Start Time]])</f>
        <v>7</v>
      </c>
      <c r="F2001" s="1">
        <v>45010.291666666664</v>
      </c>
      <c r="G2001" s="1">
        <v>45010.306250000001</v>
      </c>
      <c r="H2001">
        <v>21</v>
      </c>
      <c r="I2001">
        <v>10.72</v>
      </c>
      <c r="J2001" t="str">
        <f t="shared" si="94"/>
        <v>Low</v>
      </c>
      <c r="K2001" t="s">
        <v>55</v>
      </c>
      <c r="L2001">
        <v>36</v>
      </c>
      <c r="M2001">
        <v>60</v>
      </c>
      <c r="N2001" t="str">
        <f t="shared" si="95"/>
        <v>Low Cost</v>
      </c>
      <c r="O2001">
        <v>3.97</v>
      </c>
      <c r="P2001" t="s">
        <v>43</v>
      </c>
      <c r="Q2001" t="s">
        <v>58</v>
      </c>
      <c r="R2001" t="s">
        <v>56</v>
      </c>
      <c r="S2001" t="s">
        <v>393</v>
      </c>
      <c r="T2001" t="s">
        <v>60</v>
      </c>
      <c r="U2001">
        <v>21</v>
      </c>
      <c r="V2001">
        <v>1.1000000000000001</v>
      </c>
      <c r="W2001" t="s">
        <v>38</v>
      </c>
      <c r="X2001" t="s">
        <v>83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ev_charging_data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XYZ 123</cp:lastModifiedBy>
  <dcterms:created xsi:type="dcterms:W3CDTF">2025-08-18T18:58:32Z</dcterms:created>
  <dcterms:modified xsi:type="dcterms:W3CDTF">2026-10-12T16:46:24Z</dcterms:modified>
</cp:coreProperties>
</file>